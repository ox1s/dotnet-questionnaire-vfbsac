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0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1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2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Система менеджмента качества\Документация по СМК фк ПОСТ\4 уровень\МОНИТОРИНГ\2018-2019\2 семестр\"/>
    </mc:Choice>
  </mc:AlternateContent>
  <xr:revisionPtr revIDLastSave="0" documentId="13_ncr:1_{36FDC7F1-01C3-4AB0-B551-E45C6E2636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ЦМУ" sheetId="20" r:id="rId1"/>
    <sheet name="Программ" sheetId="4" r:id="rId2"/>
    <sheet name="ИГ" sheetId="7" r:id="rId3"/>
    <sheet name="ОКМЭЦ(2)" sheetId="16" r:id="rId4"/>
    <sheet name="ИТ" sheetId="19" r:id="rId5"/>
    <sheet name="ИСиБД" sheetId="13" r:id="rId6"/>
    <sheet name="КПиЯП" sheetId="10" r:id="rId7"/>
    <sheet name="ЭПОСТ(2)" sheetId="18" r:id="rId8"/>
    <sheet name="ТА" sheetId="8" r:id="rId9"/>
    <sheet name="ООП" sheetId="15" r:id="rId10"/>
    <sheet name="УПпоИТ" sheetId="17" r:id="rId11"/>
    <sheet name="Лист5" sheetId="11" r:id="rId12"/>
  </sheets>
  <externalReferences>
    <externalReference r:id="rId13"/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K10" i="7" l="1"/>
  <c r="BQ14" i="20"/>
  <c r="BJ14" i="20" s="1"/>
  <c r="AT14" i="20"/>
  <c r="AS14" i="20"/>
  <c r="AP14" i="20"/>
  <c r="AO14" i="20"/>
  <c r="AL14" i="20"/>
  <c r="AK14" i="20"/>
  <c r="AH14" i="20"/>
  <c r="AG14" i="20"/>
  <c r="AD14" i="20"/>
  <c r="AC14" i="20"/>
  <c r="Z14" i="20"/>
  <c r="Y14" i="20"/>
  <c r="V14" i="20"/>
  <c r="U14" i="20"/>
  <c r="R14" i="20"/>
  <c r="Q14" i="20"/>
  <c r="N14" i="20"/>
  <c r="M14" i="20"/>
  <c r="J14" i="20"/>
  <c r="I14" i="20"/>
  <c r="F14" i="20"/>
  <c r="E14" i="20"/>
  <c r="BQ13" i="20"/>
  <c r="BJ13" i="20" s="1"/>
  <c r="AT13" i="20"/>
  <c r="AS13" i="20"/>
  <c r="AP13" i="20"/>
  <c r="AO13" i="20"/>
  <c r="AL13" i="20"/>
  <c r="AK13" i="20"/>
  <c r="AH13" i="20"/>
  <c r="AG13" i="20"/>
  <c r="AD13" i="20"/>
  <c r="AC13" i="20"/>
  <c r="Z13" i="20"/>
  <c r="Y13" i="20"/>
  <c r="V13" i="20"/>
  <c r="U13" i="20"/>
  <c r="R13" i="20"/>
  <c r="Q13" i="20"/>
  <c r="N13" i="20"/>
  <c r="M13" i="20"/>
  <c r="J13" i="20"/>
  <c r="I13" i="20"/>
  <c r="D13" i="20"/>
  <c r="E13" i="20" s="1"/>
  <c r="C13" i="20"/>
  <c r="BQ12" i="20"/>
  <c r="BJ12" i="20" s="1"/>
  <c r="AT12" i="20"/>
  <c r="AS12" i="20"/>
  <c r="AP12" i="20"/>
  <c r="AO12" i="20"/>
  <c r="AL12" i="20"/>
  <c r="AK12" i="20"/>
  <c r="AH12" i="20"/>
  <c r="AG12" i="20"/>
  <c r="AD12" i="20"/>
  <c r="AC12" i="20"/>
  <c r="Z12" i="20"/>
  <c r="Y12" i="20"/>
  <c r="V12" i="20"/>
  <c r="U12" i="20"/>
  <c r="R12" i="20"/>
  <c r="Q12" i="20"/>
  <c r="N12" i="20"/>
  <c r="M12" i="20"/>
  <c r="H12" i="20"/>
  <c r="J12" i="20" s="1"/>
  <c r="G12" i="20"/>
  <c r="D12" i="20"/>
  <c r="F12" i="20" s="1"/>
  <c r="C12" i="20"/>
  <c r="BQ11" i="20"/>
  <c r="BN11" i="20" s="1"/>
  <c r="BO11" i="20"/>
  <c r="BM11" i="20"/>
  <c r="BI11" i="20"/>
  <c r="BE11" i="20"/>
  <c r="BA11" i="20"/>
  <c r="AW11" i="20"/>
  <c r="AS11" i="20"/>
  <c r="AO11" i="20"/>
  <c r="AK11" i="20"/>
  <c r="AH11" i="20"/>
  <c r="AG11" i="20"/>
  <c r="AD11" i="20"/>
  <c r="AC11" i="20"/>
  <c r="Y11" i="20"/>
  <c r="V11" i="20"/>
  <c r="U11" i="20"/>
  <c r="R11" i="20"/>
  <c r="Q11" i="20"/>
  <c r="N11" i="20"/>
  <c r="M11" i="20"/>
  <c r="J11" i="20"/>
  <c r="I11" i="20"/>
  <c r="F11" i="20"/>
  <c r="E11" i="20"/>
  <c r="BQ10" i="20"/>
  <c r="BN10" i="20" s="1"/>
  <c r="BO10" i="20"/>
  <c r="BM10" i="20"/>
  <c r="BI10" i="20"/>
  <c r="BE10" i="20"/>
  <c r="BA10" i="20"/>
  <c r="AW10" i="20"/>
  <c r="AS10" i="20"/>
  <c r="AO10" i="20"/>
  <c r="AK10" i="20"/>
  <c r="AG10" i="20"/>
  <c r="AC10" i="20"/>
  <c r="Y10" i="20"/>
  <c r="U10" i="20"/>
  <c r="Q10" i="20"/>
  <c r="M10" i="20"/>
  <c r="I10" i="20"/>
  <c r="E10" i="20"/>
  <c r="BQ9" i="20"/>
  <c r="BN9" i="20" s="1"/>
  <c r="BO9" i="20"/>
  <c r="BM9" i="20"/>
  <c r="BI9" i="20"/>
  <c r="BE9" i="20"/>
  <c r="BA9" i="20"/>
  <c r="AW9" i="20"/>
  <c r="AS9" i="20"/>
  <c r="AO9" i="20"/>
  <c r="AK9" i="20"/>
  <c r="AG9" i="20"/>
  <c r="AC9" i="20"/>
  <c r="Y9" i="20"/>
  <c r="U9" i="20"/>
  <c r="Q9" i="20"/>
  <c r="M9" i="20"/>
  <c r="I9" i="20"/>
  <c r="E9" i="20"/>
  <c r="BQ8" i="20"/>
  <c r="BO8" i="20"/>
  <c r="BN8" i="20"/>
  <c r="BM8" i="20"/>
  <c r="BJ8" i="20"/>
  <c r="BI8" i="20"/>
  <c r="BF8" i="20"/>
  <c r="BE8" i="20"/>
  <c r="BB8" i="20"/>
  <c r="BA8" i="20"/>
  <c r="AX8" i="20"/>
  <c r="AW8" i="20"/>
  <c r="AT8" i="20"/>
  <c r="AS8" i="20"/>
  <c r="AP8" i="20"/>
  <c r="AO8" i="20"/>
  <c r="AL8" i="20"/>
  <c r="AK8" i="20"/>
  <c r="AH8" i="20"/>
  <c r="AG8" i="20"/>
  <c r="AD8" i="20"/>
  <c r="AC8" i="20"/>
  <c r="Z8" i="20"/>
  <c r="Y8" i="20"/>
  <c r="V8" i="20"/>
  <c r="U8" i="20"/>
  <c r="R8" i="20"/>
  <c r="Q8" i="20"/>
  <c r="N8" i="20"/>
  <c r="M8" i="20"/>
  <c r="J8" i="20"/>
  <c r="I8" i="20"/>
  <c r="F8" i="20"/>
  <c r="E8" i="20"/>
  <c r="BQ7" i="20"/>
  <c r="BN7" i="20" s="1"/>
  <c r="BO7" i="20"/>
  <c r="BM7" i="20"/>
  <c r="BI7" i="20"/>
  <c r="BE7" i="20"/>
  <c r="BA7" i="20"/>
  <c r="AW7" i="20"/>
  <c r="AS7" i="20"/>
  <c r="AO7" i="20"/>
  <c r="AK7" i="20"/>
  <c r="AG7" i="20"/>
  <c r="AC7" i="20"/>
  <c r="Y7" i="20"/>
  <c r="U7" i="20"/>
  <c r="Q7" i="20"/>
  <c r="M7" i="20"/>
  <c r="I7" i="20"/>
  <c r="E7" i="20"/>
  <c r="BQ6" i="20"/>
  <c r="BO6" i="20"/>
  <c r="BN6" i="20"/>
  <c r="BM6" i="20"/>
  <c r="BJ6" i="20"/>
  <c r="BI6" i="20"/>
  <c r="BF6" i="20"/>
  <c r="BE6" i="20"/>
  <c r="BB6" i="20"/>
  <c r="BA6" i="20"/>
  <c r="AX6" i="20"/>
  <c r="AW6" i="20"/>
  <c r="AT6" i="20"/>
  <c r="AS6" i="20"/>
  <c r="AP6" i="20"/>
  <c r="AO6" i="20"/>
  <c r="AL6" i="20"/>
  <c r="AK6" i="20"/>
  <c r="AH6" i="20"/>
  <c r="AG6" i="20"/>
  <c r="AD6" i="20"/>
  <c r="AC6" i="20"/>
  <c r="Z6" i="20"/>
  <c r="Y6" i="20"/>
  <c r="V6" i="20"/>
  <c r="U6" i="20"/>
  <c r="R6" i="20"/>
  <c r="Q6" i="20"/>
  <c r="N6" i="20"/>
  <c r="M6" i="20"/>
  <c r="J6" i="20"/>
  <c r="I6" i="20"/>
  <c r="F6" i="20"/>
  <c r="E6" i="20"/>
  <c r="BQ5" i="20"/>
  <c r="BO5" i="20"/>
  <c r="BM5" i="20"/>
  <c r="BI5" i="20"/>
  <c r="BE5" i="20"/>
  <c r="BA5" i="20"/>
  <c r="AW5" i="20"/>
  <c r="AS5" i="20"/>
  <c r="AO5" i="20"/>
  <c r="AK5" i="20"/>
  <c r="AG5" i="20"/>
  <c r="AC5" i="20"/>
  <c r="Y5" i="20"/>
  <c r="U5" i="20"/>
  <c r="Q5" i="20"/>
  <c r="M5" i="20"/>
  <c r="I5" i="20"/>
  <c r="E5" i="20"/>
  <c r="BQ4" i="20"/>
  <c r="BN4" i="20" s="1"/>
  <c r="BO4" i="20"/>
  <c r="BM4" i="20"/>
  <c r="BI4" i="20"/>
  <c r="BE4" i="20"/>
  <c r="BA4" i="20"/>
  <c r="AW4" i="20"/>
  <c r="AS4" i="20"/>
  <c r="AO4" i="20"/>
  <c r="AK4" i="20"/>
  <c r="AG4" i="20"/>
  <c r="AC4" i="20"/>
  <c r="Y4" i="20"/>
  <c r="U4" i="20"/>
  <c r="Q4" i="20"/>
  <c r="M4" i="20"/>
  <c r="I4" i="20"/>
  <c r="E4" i="20"/>
  <c r="BQ3" i="20"/>
  <c r="BN3" i="20" s="1"/>
  <c r="BO3" i="20"/>
  <c r="BM3" i="20"/>
  <c r="BI3" i="20"/>
  <c r="BE3" i="20"/>
  <c r="BA3" i="20"/>
  <c r="AW3" i="20"/>
  <c r="AS3" i="20"/>
  <c r="AO3" i="20"/>
  <c r="AK3" i="20"/>
  <c r="AG3" i="20"/>
  <c r="AC3" i="20"/>
  <c r="Y3" i="20"/>
  <c r="U3" i="20"/>
  <c r="Q3" i="20"/>
  <c r="M3" i="20"/>
  <c r="I3" i="20"/>
  <c r="E3" i="20"/>
  <c r="M7" i="17"/>
  <c r="AO4" i="7"/>
  <c r="AO3" i="7"/>
  <c r="BP7" i="20" l="1"/>
  <c r="BR6" i="20"/>
  <c r="BU6" i="20" s="1"/>
  <c r="Z11" i="20"/>
  <c r="BP4" i="20"/>
  <c r="BP9" i="20"/>
  <c r="BP11" i="20"/>
  <c r="BP6" i="20"/>
  <c r="BV6" i="20" s="1"/>
  <c r="BP8" i="20"/>
  <c r="BS8" i="20" s="1"/>
  <c r="E12" i="20"/>
  <c r="BP14" i="20"/>
  <c r="BP13" i="20"/>
  <c r="BP10" i="20"/>
  <c r="F3" i="20"/>
  <c r="J3" i="20"/>
  <c r="N3" i="20"/>
  <c r="R3" i="20"/>
  <c r="V3" i="20"/>
  <c r="Z3" i="20"/>
  <c r="AD3" i="20"/>
  <c r="BR3" i="20" s="1"/>
  <c r="BU3" i="20" s="1"/>
  <c r="AH3" i="20"/>
  <c r="AL3" i="20"/>
  <c r="AP3" i="20"/>
  <c r="AT3" i="20"/>
  <c r="AX3" i="20"/>
  <c r="BB3" i="20"/>
  <c r="BF3" i="20"/>
  <c r="BJ3" i="20"/>
  <c r="F4" i="20"/>
  <c r="J4" i="20"/>
  <c r="N4" i="20"/>
  <c r="R4" i="20"/>
  <c r="V4" i="20"/>
  <c r="Z4" i="20"/>
  <c r="AD4" i="20"/>
  <c r="AH4" i="20"/>
  <c r="AL4" i="20"/>
  <c r="AP4" i="20"/>
  <c r="AT4" i="20"/>
  <c r="AX4" i="20"/>
  <c r="BB4" i="20"/>
  <c r="BF4" i="20"/>
  <c r="BJ4" i="20"/>
  <c r="F10" i="20"/>
  <c r="BR10" i="20" s="1"/>
  <c r="BU10" i="20" s="1"/>
  <c r="J10" i="20"/>
  <c r="N10" i="20"/>
  <c r="R10" i="20"/>
  <c r="V10" i="20"/>
  <c r="Z10" i="20"/>
  <c r="AD10" i="20"/>
  <c r="AH10" i="20"/>
  <c r="AL10" i="20"/>
  <c r="AP10" i="20"/>
  <c r="AT10" i="20"/>
  <c r="AX10" i="20"/>
  <c r="BB10" i="20"/>
  <c r="BF10" i="20"/>
  <c r="BJ10" i="20"/>
  <c r="BR8" i="20"/>
  <c r="BU8" i="20" s="1"/>
  <c r="BR4" i="20"/>
  <c r="BU4" i="20" s="1"/>
  <c r="BP3" i="20"/>
  <c r="BV4" i="20"/>
  <c r="BS4" i="20"/>
  <c r="BP5" i="20"/>
  <c r="BV11" i="20"/>
  <c r="BS11" i="20"/>
  <c r="BN5" i="20"/>
  <c r="BJ5" i="20"/>
  <c r="BF5" i="20"/>
  <c r="BB5" i="20"/>
  <c r="AX5" i="20"/>
  <c r="AT5" i="20"/>
  <c r="AP5" i="20"/>
  <c r="AL5" i="20"/>
  <c r="AH5" i="20"/>
  <c r="AD5" i="20"/>
  <c r="Z5" i="20"/>
  <c r="V5" i="20"/>
  <c r="R5" i="20"/>
  <c r="N5" i="20"/>
  <c r="J5" i="20"/>
  <c r="F5" i="20"/>
  <c r="BV7" i="20"/>
  <c r="BS7" i="20"/>
  <c r="BV8" i="20"/>
  <c r="BV9" i="20"/>
  <c r="BS9" i="20"/>
  <c r="BV10" i="20"/>
  <c r="BS10" i="20"/>
  <c r="BS6" i="20"/>
  <c r="F7" i="20"/>
  <c r="J7" i="20"/>
  <c r="N7" i="20"/>
  <c r="R7" i="20"/>
  <c r="V7" i="20"/>
  <c r="Z7" i="20"/>
  <c r="AD7" i="20"/>
  <c r="AH7" i="20"/>
  <c r="AL7" i="20"/>
  <c r="AP7" i="20"/>
  <c r="AT7" i="20"/>
  <c r="AX7" i="20"/>
  <c r="BB7" i="20"/>
  <c r="BF7" i="20"/>
  <c r="BJ7" i="20"/>
  <c r="F9" i="20"/>
  <c r="J9" i="20"/>
  <c r="N9" i="20"/>
  <c r="R9" i="20"/>
  <c r="V9" i="20"/>
  <c r="Z9" i="20"/>
  <c r="AD9" i="20"/>
  <c r="AH9" i="20"/>
  <c r="AL9" i="20"/>
  <c r="AP9" i="20"/>
  <c r="AT9" i="20"/>
  <c r="AX9" i="20"/>
  <c r="BB9" i="20"/>
  <c r="BF9" i="20"/>
  <c r="BJ9" i="20"/>
  <c r="AL11" i="20"/>
  <c r="AP11" i="20"/>
  <c r="AT11" i="20"/>
  <c r="AX11" i="20"/>
  <c r="BB11" i="20"/>
  <c r="BF11" i="20"/>
  <c r="BJ11" i="20"/>
  <c r="I12" i="20"/>
  <c r="BP12" i="20" s="1"/>
  <c r="F13" i="20"/>
  <c r="BR5" i="20" l="1"/>
  <c r="BU5" i="20" s="1"/>
  <c r="BR11" i="20"/>
  <c r="BU11" i="20" s="1"/>
  <c r="BR7" i="20"/>
  <c r="BU7" i="20" s="1"/>
  <c r="BV3" i="20"/>
  <c r="BS3" i="20"/>
  <c r="BR9" i="20"/>
  <c r="BU9" i="20" s="1"/>
  <c r="BV5" i="20"/>
  <c r="BS5" i="20"/>
  <c r="DI4" i="18"/>
  <c r="DI5" i="18"/>
  <c r="DI6" i="18"/>
  <c r="DI7" i="18"/>
  <c r="DI8" i="18"/>
  <c r="DI9" i="18"/>
  <c r="DI10" i="18"/>
  <c r="DI11" i="18"/>
  <c r="DI14" i="18"/>
  <c r="DI3" i="18"/>
  <c r="BU16" i="20" l="1"/>
  <c r="BS16" i="20"/>
  <c r="BV16" i="20" s="1"/>
  <c r="BQ4" i="19" l="1"/>
  <c r="BN4" i="19" s="1"/>
  <c r="BQ5" i="19"/>
  <c r="BQ6" i="19"/>
  <c r="AD6" i="19" s="1"/>
  <c r="BQ7" i="19"/>
  <c r="BQ8" i="19"/>
  <c r="BQ9" i="19"/>
  <c r="BQ10" i="19"/>
  <c r="BQ11" i="19"/>
  <c r="F11" i="19" s="1"/>
  <c r="BQ3" i="19"/>
  <c r="AS14" i="19"/>
  <c r="AO14" i="19"/>
  <c r="AK14" i="19"/>
  <c r="AG14" i="19"/>
  <c r="AD14" i="19"/>
  <c r="AC14" i="19"/>
  <c r="Z14" i="19"/>
  <c r="Y14" i="19"/>
  <c r="V14" i="19"/>
  <c r="U14" i="19"/>
  <c r="R14" i="19"/>
  <c r="Q14" i="19"/>
  <c r="N14" i="19"/>
  <c r="M14" i="19"/>
  <c r="J14" i="19"/>
  <c r="I14" i="19"/>
  <c r="F14" i="19"/>
  <c r="E14" i="19"/>
  <c r="AS13" i="19"/>
  <c r="AO13" i="19"/>
  <c r="AK13" i="19"/>
  <c r="AG13" i="19"/>
  <c r="AC13" i="19"/>
  <c r="Y13" i="19"/>
  <c r="U13" i="19"/>
  <c r="Q13" i="19"/>
  <c r="M13" i="19"/>
  <c r="I13" i="19"/>
  <c r="D13" i="19"/>
  <c r="C13" i="19"/>
  <c r="AS12" i="19"/>
  <c r="AO12" i="19"/>
  <c r="AK12" i="19"/>
  <c r="AG12" i="19"/>
  <c r="AC12" i="19"/>
  <c r="Y12" i="19"/>
  <c r="U12" i="19"/>
  <c r="Q12" i="19"/>
  <c r="M12" i="19"/>
  <c r="H12" i="19"/>
  <c r="G12" i="19"/>
  <c r="D12" i="19"/>
  <c r="C12" i="19"/>
  <c r="BO11" i="19"/>
  <c r="BM11" i="19"/>
  <c r="BI11" i="19"/>
  <c r="BE11" i="19"/>
  <c r="BA11" i="19"/>
  <c r="AW11" i="19"/>
  <c r="AS11" i="19"/>
  <c r="AO11" i="19"/>
  <c r="AK11" i="19"/>
  <c r="AG11" i="19"/>
  <c r="AC11" i="19"/>
  <c r="Y11" i="19"/>
  <c r="U11" i="19"/>
  <c r="Q11" i="19"/>
  <c r="M11" i="19"/>
  <c r="I11" i="19"/>
  <c r="E11" i="19"/>
  <c r="BO10" i="19"/>
  <c r="BM10" i="19"/>
  <c r="BI10" i="19"/>
  <c r="BE10" i="19"/>
  <c r="BA10" i="19"/>
  <c r="AW10" i="19"/>
  <c r="AS10" i="19"/>
  <c r="AO10" i="19"/>
  <c r="AK10" i="19"/>
  <c r="AG10" i="19"/>
  <c r="AD10" i="19"/>
  <c r="AC10" i="19"/>
  <c r="Z10" i="19"/>
  <c r="Y10" i="19"/>
  <c r="V10" i="19"/>
  <c r="U10" i="19"/>
  <c r="R10" i="19"/>
  <c r="Q10" i="19"/>
  <c r="N10" i="19"/>
  <c r="M10" i="19"/>
  <c r="J10" i="19"/>
  <c r="I10" i="19"/>
  <c r="F10" i="19"/>
  <c r="E10" i="19"/>
  <c r="BO9" i="19"/>
  <c r="BM9" i="19"/>
  <c r="BI9" i="19"/>
  <c r="BE9" i="19"/>
  <c r="BA9" i="19"/>
  <c r="AW9" i="19"/>
  <c r="AS9" i="19"/>
  <c r="AO9" i="19"/>
  <c r="AK9" i="19"/>
  <c r="AG9" i="19"/>
  <c r="AC9" i="19"/>
  <c r="Y9" i="19"/>
  <c r="U9" i="19"/>
  <c r="Q9" i="19"/>
  <c r="M9" i="19"/>
  <c r="I9" i="19"/>
  <c r="E9" i="19"/>
  <c r="BO8" i="19"/>
  <c r="BN8" i="19"/>
  <c r="BM8" i="19"/>
  <c r="BJ8" i="19"/>
  <c r="BI8" i="19"/>
  <c r="BF8" i="19"/>
  <c r="BE8" i="19"/>
  <c r="BB8" i="19"/>
  <c r="BA8" i="19"/>
  <c r="AX8" i="19"/>
  <c r="AW8" i="19"/>
  <c r="AT8" i="19"/>
  <c r="AS8" i="19"/>
  <c r="AP8" i="19"/>
  <c r="AO8" i="19"/>
  <c r="AL8" i="19"/>
  <c r="AK8" i="19"/>
  <c r="AH8" i="19"/>
  <c r="AG8" i="19"/>
  <c r="AD8" i="19"/>
  <c r="AC8" i="19"/>
  <c r="Z8" i="19"/>
  <c r="Y8" i="19"/>
  <c r="V8" i="19"/>
  <c r="U8" i="19"/>
  <c r="R8" i="19"/>
  <c r="Q8" i="19"/>
  <c r="N8" i="19"/>
  <c r="M8" i="19"/>
  <c r="J8" i="19"/>
  <c r="I8" i="19"/>
  <c r="F8" i="19"/>
  <c r="E8" i="19"/>
  <c r="BO7" i="19"/>
  <c r="BM7" i="19"/>
  <c r="BI7" i="19"/>
  <c r="BE7" i="19"/>
  <c r="BA7" i="19"/>
  <c r="AW7" i="19"/>
  <c r="AS7" i="19"/>
  <c r="AO7" i="19"/>
  <c r="AK7" i="19"/>
  <c r="AG7" i="19"/>
  <c r="AC7" i="19"/>
  <c r="Y7" i="19"/>
  <c r="U7" i="19"/>
  <c r="Q7" i="19"/>
  <c r="M7" i="19"/>
  <c r="I7" i="19"/>
  <c r="E7" i="19"/>
  <c r="BO6" i="19"/>
  <c r="BM6" i="19"/>
  <c r="BI6" i="19"/>
  <c r="BE6" i="19"/>
  <c r="BA6" i="19"/>
  <c r="AW6" i="19"/>
  <c r="AS6" i="19"/>
  <c r="AO6" i="19"/>
  <c r="AK6" i="19"/>
  <c r="AG6" i="19"/>
  <c r="AC6" i="19"/>
  <c r="Y6" i="19"/>
  <c r="U6" i="19"/>
  <c r="Q6" i="19"/>
  <c r="M6" i="19"/>
  <c r="I6" i="19"/>
  <c r="E6" i="19"/>
  <c r="BO5" i="19"/>
  <c r="BM5" i="19"/>
  <c r="BI5" i="19"/>
  <c r="BE5" i="19"/>
  <c r="BA5" i="19"/>
  <c r="AW5" i="19"/>
  <c r="AS5" i="19"/>
  <c r="AO5" i="19"/>
  <c r="AK5" i="19"/>
  <c r="AG5" i="19"/>
  <c r="AC5" i="19"/>
  <c r="Y5" i="19"/>
  <c r="U5" i="19"/>
  <c r="Q5" i="19"/>
  <c r="M5" i="19"/>
  <c r="I5" i="19"/>
  <c r="E5" i="19"/>
  <c r="BO4" i="19"/>
  <c r="BM4" i="19"/>
  <c r="BI4" i="19"/>
  <c r="BE4" i="19"/>
  <c r="BA4" i="19"/>
  <c r="AW4" i="19"/>
  <c r="AS4" i="19"/>
  <c r="AO4" i="19"/>
  <c r="AK4" i="19"/>
  <c r="AG4" i="19"/>
  <c r="AC4" i="19"/>
  <c r="Y4" i="19"/>
  <c r="U4" i="19"/>
  <c r="Q4" i="19"/>
  <c r="M4" i="19"/>
  <c r="I4" i="19"/>
  <c r="E4" i="19"/>
  <c r="F3" i="19"/>
  <c r="BO3" i="19"/>
  <c r="BM3" i="19"/>
  <c r="BI3" i="19"/>
  <c r="BE3" i="19"/>
  <c r="BA3" i="19"/>
  <c r="AW3" i="19"/>
  <c r="AS3" i="19"/>
  <c r="AO3" i="19"/>
  <c r="AK3" i="19"/>
  <c r="AG3" i="19"/>
  <c r="AC3" i="19"/>
  <c r="Y3" i="19"/>
  <c r="U3" i="19"/>
  <c r="Q3" i="19"/>
  <c r="M3" i="19"/>
  <c r="I3" i="19"/>
  <c r="E3" i="19"/>
  <c r="BP8" i="19" l="1"/>
  <c r="BP9" i="19"/>
  <c r="BP3" i="19"/>
  <c r="BV3" i="19" s="1"/>
  <c r="BP11" i="19"/>
  <c r="F4" i="19"/>
  <c r="J4" i="19"/>
  <c r="N4" i="19"/>
  <c r="R4" i="19"/>
  <c r="V4" i="19"/>
  <c r="Z4" i="19"/>
  <c r="AD4" i="19"/>
  <c r="AH4" i="19"/>
  <c r="AL4" i="19"/>
  <c r="AP4" i="19"/>
  <c r="AT4" i="19"/>
  <c r="AX4" i="19"/>
  <c r="BB4" i="19"/>
  <c r="BF4" i="19"/>
  <c r="BJ4" i="19"/>
  <c r="BP10" i="19"/>
  <c r="BP5" i="19"/>
  <c r="BP4" i="19"/>
  <c r="BP7" i="19"/>
  <c r="BV7" i="19" s="1"/>
  <c r="BR8" i="19"/>
  <c r="BU8" i="19" s="1"/>
  <c r="BP6" i="19"/>
  <c r="F6" i="19"/>
  <c r="J6" i="19"/>
  <c r="N6" i="19"/>
  <c r="R6" i="19"/>
  <c r="V6" i="19"/>
  <c r="Z6" i="19"/>
  <c r="E12" i="19"/>
  <c r="AH6" i="19"/>
  <c r="AL6" i="19"/>
  <c r="AP6" i="19"/>
  <c r="AT6" i="19"/>
  <c r="AX6" i="19"/>
  <c r="BB6" i="19"/>
  <c r="BF6" i="19"/>
  <c r="BJ6" i="19"/>
  <c r="BN6" i="19"/>
  <c r="BS6" i="19"/>
  <c r="BS5" i="19"/>
  <c r="BV8" i="19"/>
  <c r="BS11" i="19"/>
  <c r="BS9" i="19"/>
  <c r="J11" i="19"/>
  <c r="N11" i="19"/>
  <c r="R11" i="19"/>
  <c r="V11" i="19"/>
  <c r="Z11" i="19"/>
  <c r="AD11" i="19"/>
  <c r="AH11" i="19"/>
  <c r="AL11" i="19"/>
  <c r="AP11" i="19"/>
  <c r="AT11" i="19"/>
  <c r="AX11" i="19"/>
  <c r="BB11" i="19"/>
  <c r="BF11" i="19"/>
  <c r="BJ11" i="19"/>
  <c r="BN11" i="19"/>
  <c r="J12" i="19"/>
  <c r="BV6" i="19"/>
  <c r="J3" i="19"/>
  <c r="N3" i="19"/>
  <c r="R3" i="19"/>
  <c r="V3" i="19"/>
  <c r="Z3" i="19"/>
  <c r="AD3" i="19"/>
  <c r="AH3" i="19"/>
  <c r="AL3" i="19"/>
  <c r="AP3" i="19"/>
  <c r="AT3" i="19"/>
  <c r="AX3" i="19"/>
  <c r="BB3" i="19"/>
  <c r="BF3" i="19"/>
  <c r="BJ3" i="19"/>
  <c r="BN3" i="19"/>
  <c r="BV4" i="19"/>
  <c r="BS4" i="19"/>
  <c r="BN5" i="19"/>
  <c r="BJ5" i="19"/>
  <c r="BF5" i="19"/>
  <c r="BB5" i="19"/>
  <c r="AX5" i="19"/>
  <c r="AT5" i="19"/>
  <c r="AP5" i="19"/>
  <c r="AL5" i="19"/>
  <c r="AH5" i="19"/>
  <c r="AD5" i="19"/>
  <c r="Z5" i="19"/>
  <c r="V5" i="19"/>
  <c r="R5" i="19"/>
  <c r="N5" i="19"/>
  <c r="J5" i="19"/>
  <c r="F5" i="19"/>
  <c r="F7" i="19"/>
  <c r="J7" i="19"/>
  <c r="N7" i="19"/>
  <c r="R7" i="19"/>
  <c r="V7" i="19"/>
  <c r="Z7" i="19"/>
  <c r="AD7" i="19"/>
  <c r="AH7" i="19"/>
  <c r="AL7" i="19"/>
  <c r="AP7" i="19"/>
  <c r="AT7" i="19"/>
  <c r="AX7" i="19"/>
  <c r="BB7" i="19"/>
  <c r="BF7" i="19"/>
  <c r="BJ7" i="19"/>
  <c r="BN7" i="19"/>
  <c r="F9" i="19"/>
  <c r="J9" i="19"/>
  <c r="N9" i="19"/>
  <c r="R9" i="19"/>
  <c r="V9" i="19"/>
  <c r="Z9" i="19"/>
  <c r="AD9" i="19"/>
  <c r="AH9" i="19"/>
  <c r="AL9" i="19"/>
  <c r="AP9" i="19"/>
  <c r="AT9" i="19"/>
  <c r="AX9" i="19"/>
  <c r="BB9" i="19"/>
  <c r="BF9" i="19"/>
  <c r="BJ9" i="19"/>
  <c r="BN9" i="19"/>
  <c r="BN10" i="19"/>
  <c r="BJ10" i="19"/>
  <c r="BF10" i="19"/>
  <c r="BB10" i="19"/>
  <c r="AX10" i="19"/>
  <c r="AT10" i="19"/>
  <c r="AP10" i="19"/>
  <c r="AL10" i="19"/>
  <c r="AH10" i="19"/>
  <c r="F12" i="19"/>
  <c r="N12" i="19"/>
  <c r="R12" i="19"/>
  <c r="V12" i="19"/>
  <c r="Z12" i="19"/>
  <c r="AD12" i="19"/>
  <c r="AH12" i="19"/>
  <c r="AL12" i="19"/>
  <c r="AP12" i="19"/>
  <c r="AT12" i="19"/>
  <c r="F13" i="19"/>
  <c r="J13" i="19"/>
  <c r="N13" i="19"/>
  <c r="R13" i="19"/>
  <c r="V13" i="19"/>
  <c r="Z13" i="19"/>
  <c r="AD13" i="19"/>
  <c r="AH13" i="19"/>
  <c r="AL13" i="19"/>
  <c r="AP13" i="19"/>
  <c r="AT13" i="19"/>
  <c r="AH14" i="19"/>
  <c r="AL14" i="19"/>
  <c r="AP14" i="19"/>
  <c r="AT14" i="19"/>
  <c r="I12" i="19"/>
  <c r="E13" i="19"/>
  <c r="DA14" i="18"/>
  <c r="AS14" i="18"/>
  <c r="AO14" i="18"/>
  <c r="AL14" i="18"/>
  <c r="AK14" i="18"/>
  <c r="AH14" i="18"/>
  <c r="AG14" i="18"/>
  <c r="AD14" i="18"/>
  <c r="AC14" i="18"/>
  <c r="Z14" i="18"/>
  <c r="Y14" i="18"/>
  <c r="V14" i="18"/>
  <c r="U14" i="18"/>
  <c r="R14" i="18"/>
  <c r="Q14" i="18"/>
  <c r="N14" i="18"/>
  <c r="M14" i="18"/>
  <c r="J14" i="18"/>
  <c r="I14" i="18"/>
  <c r="F14" i="18"/>
  <c r="E14" i="18"/>
  <c r="DA13" i="18"/>
  <c r="AS13" i="18"/>
  <c r="AO13" i="18"/>
  <c r="AK13" i="18"/>
  <c r="AG13" i="18"/>
  <c r="AC13" i="18"/>
  <c r="Y13" i="18"/>
  <c r="U13" i="18"/>
  <c r="Q13" i="18"/>
  <c r="M13" i="18"/>
  <c r="I13" i="18"/>
  <c r="D13" i="18"/>
  <c r="DI13" i="18" s="1"/>
  <c r="C13" i="18"/>
  <c r="DA12" i="18"/>
  <c r="AS12" i="18"/>
  <c r="AO12" i="18"/>
  <c r="AK12" i="18"/>
  <c r="AG12" i="18"/>
  <c r="AC12" i="18"/>
  <c r="Y12" i="18"/>
  <c r="U12" i="18"/>
  <c r="Q12" i="18"/>
  <c r="M12" i="18"/>
  <c r="H12" i="18"/>
  <c r="G12" i="18"/>
  <c r="D12" i="18"/>
  <c r="DI12" i="18" s="1"/>
  <c r="C12" i="18"/>
  <c r="DG11" i="18"/>
  <c r="DE11" i="18"/>
  <c r="DA11" i="18"/>
  <c r="CW11" i="18"/>
  <c r="CS11" i="18"/>
  <c r="CO11" i="18"/>
  <c r="CK11" i="18"/>
  <c r="CG11" i="18"/>
  <c r="CC11" i="18"/>
  <c r="BY11" i="18"/>
  <c r="BU11" i="18"/>
  <c r="BQ11" i="18"/>
  <c r="BM11" i="18"/>
  <c r="BI11" i="18"/>
  <c r="BE11" i="18"/>
  <c r="BA11" i="18"/>
  <c r="AW11" i="18"/>
  <c r="AS11" i="18"/>
  <c r="AO11" i="18"/>
  <c r="AK11" i="18"/>
  <c r="AG11" i="18"/>
  <c r="AC11" i="18"/>
  <c r="Y11" i="18"/>
  <c r="U11" i="18"/>
  <c r="Q11" i="18"/>
  <c r="M11" i="18"/>
  <c r="I11" i="18"/>
  <c r="E11" i="18"/>
  <c r="DG10" i="18"/>
  <c r="DE10" i="18"/>
  <c r="DA10" i="18"/>
  <c r="CW10" i="18"/>
  <c r="CS10" i="18"/>
  <c r="CO10" i="18"/>
  <c r="CK10" i="18"/>
  <c r="CG10" i="18"/>
  <c r="CC10" i="18"/>
  <c r="BY10" i="18"/>
  <c r="BU10" i="18"/>
  <c r="BQ10" i="18"/>
  <c r="BM10" i="18"/>
  <c r="BI10" i="18"/>
  <c r="BE10" i="18"/>
  <c r="BA10" i="18"/>
  <c r="AW10" i="18"/>
  <c r="AS10" i="18"/>
  <c r="AO10" i="18"/>
  <c r="AK10" i="18"/>
  <c r="AG10" i="18"/>
  <c r="AC10" i="18"/>
  <c r="Y10" i="18"/>
  <c r="U10" i="18"/>
  <c r="Q10" i="18"/>
  <c r="M10" i="18"/>
  <c r="I10" i="18"/>
  <c r="E10" i="18"/>
  <c r="DG9" i="18"/>
  <c r="DE9" i="18"/>
  <c r="DA9" i="18"/>
  <c r="CW9" i="18"/>
  <c r="CS9" i="18"/>
  <c r="CO9" i="18"/>
  <c r="CK9" i="18"/>
  <c r="CG9" i="18"/>
  <c r="CC9" i="18"/>
  <c r="BY9" i="18"/>
  <c r="BU9" i="18"/>
  <c r="BQ9" i="18"/>
  <c r="BM9" i="18"/>
  <c r="BI9" i="18"/>
  <c r="BE9" i="18"/>
  <c r="BA9" i="18"/>
  <c r="AW9" i="18"/>
  <c r="AS9" i="18"/>
  <c r="AO9" i="18"/>
  <c r="AK9" i="18"/>
  <c r="AG9" i="18"/>
  <c r="AC9" i="18"/>
  <c r="Y9" i="18"/>
  <c r="U9" i="18"/>
  <c r="Q9" i="18"/>
  <c r="M9" i="18"/>
  <c r="I9" i="18"/>
  <c r="E9" i="18"/>
  <c r="DG8" i="18"/>
  <c r="DE8" i="18"/>
  <c r="DA8" i="18"/>
  <c r="CW8" i="18"/>
  <c r="CS8" i="18"/>
  <c r="CO8" i="18"/>
  <c r="CK8" i="18"/>
  <c r="CG8" i="18"/>
  <c r="CC8" i="18"/>
  <c r="BY8" i="18"/>
  <c r="BU8" i="18"/>
  <c r="BQ8" i="18"/>
  <c r="BM8" i="18"/>
  <c r="BI8" i="18"/>
  <c r="BE8" i="18"/>
  <c r="BA8" i="18"/>
  <c r="AW8" i="18"/>
  <c r="AS8" i="18"/>
  <c r="AO8" i="18"/>
  <c r="AK8" i="18"/>
  <c r="AG8" i="18"/>
  <c r="AC8" i="18"/>
  <c r="Y8" i="18"/>
  <c r="U8" i="18"/>
  <c r="Q8" i="18"/>
  <c r="M8" i="18"/>
  <c r="I8" i="18"/>
  <c r="E8" i="18"/>
  <c r="DG7" i="18"/>
  <c r="DE7" i="18"/>
  <c r="DA7" i="18"/>
  <c r="CW7" i="18"/>
  <c r="CS7" i="18"/>
  <c r="CO7" i="18"/>
  <c r="CK7" i="18"/>
  <c r="CG7" i="18"/>
  <c r="CC7" i="18"/>
  <c r="BY7" i="18"/>
  <c r="BU7" i="18"/>
  <c r="BQ7" i="18"/>
  <c r="BM7" i="18"/>
  <c r="BI7" i="18"/>
  <c r="BE7" i="18"/>
  <c r="BA7" i="18"/>
  <c r="AW7" i="18"/>
  <c r="AS7" i="18"/>
  <c r="AO7" i="18"/>
  <c r="AK7" i="18"/>
  <c r="AG7" i="18"/>
  <c r="AC7" i="18"/>
  <c r="Y7" i="18"/>
  <c r="U7" i="18"/>
  <c r="Q7" i="18"/>
  <c r="M7" i="18"/>
  <c r="I7" i="18"/>
  <c r="E7" i="18"/>
  <c r="DG6" i="18"/>
  <c r="DE6" i="18"/>
  <c r="DA6" i="18"/>
  <c r="CW6" i="18"/>
  <c r="CS6" i="18"/>
  <c r="CO6" i="18"/>
  <c r="CK6" i="18"/>
  <c r="CG6" i="18"/>
  <c r="CC6" i="18"/>
  <c r="BY6" i="18"/>
  <c r="BU6" i="18"/>
  <c r="BQ6" i="18"/>
  <c r="BM6" i="18"/>
  <c r="BI6" i="18"/>
  <c r="BE6" i="18"/>
  <c r="BA6" i="18"/>
  <c r="AW6" i="18"/>
  <c r="AS6" i="18"/>
  <c r="AO6" i="18"/>
  <c r="AK6" i="18"/>
  <c r="AG6" i="18"/>
  <c r="AC6" i="18"/>
  <c r="Y6" i="18"/>
  <c r="U6" i="18"/>
  <c r="Q6" i="18"/>
  <c r="M6" i="18"/>
  <c r="I6" i="18"/>
  <c r="E6" i="18"/>
  <c r="DG5" i="18"/>
  <c r="DE5" i="18"/>
  <c r="DA5" i="18"/>
  <c r="CW5" i="18"/>
  <c r="CS5" i="18"/>
  <c r="CO5" i="18"/>
  <c r="CK5" i="18"/>
  <c r="CG5" i="18"/>
  <c r="CC5" i="18"/>
  <c r="BY5" i="18"/>
  <c r="BU5" i="18"/>
  <c r="BQ5" i="18"/>
  <c r="BM5" i="18"/>
  <c r="BI5" i="18"/>
  <c r="BE5" i="18"/>
  <c r="BA5" i="18"/>
  <c r="AW5" i="18"/>
  <c r="AS5" i="18"/>
  <c r="AO5" i="18"/>
  <c r="AK5" i="18"/>
  <c r="AG5" i="18"/>
  <c r="AC5" i="18"/>
  <c r="Y5" i="18"/>
  <c r="U5" i="18"/>
  <c r="Q5" i="18"/>
  <c r="M5" i="18"/>
  <c r="I5" i="18"/>
  <c r="E5" i="18"/>
  <c r="DG4" i="18"/>
  <c r="DE4" i="18"/>
  <c r="DA4" i="18"/>
  <c r="CW4" i="18"/>
  <c r="CS4" i="18"/>
  <c r="CO4" i="18"/>
  <c r="CK4" i="18"/>
  <c r="CG4" i="18"/>
  <c r="CC4" i="18"/>
  <c r="BY4" i="18"/>
  <c r="BU4" i="18"/>
  <c r="BQ4" i="18"/>
  <c r="BM4" i="18"/>
  <c r="BI4" i="18"/>
  <c r="BE4" i="18"/>
  <c r="BA4" i="18"/>
  <c r="AW4" i="18"/>
  <c r="AS4" i="18"/>
  <c r="AO4" i="18"/>
  <c r="AK4" i="18"/>
  <c r="AG4" i="18"/>
  <c r="AC4" i="18"/>
  <c r="Y4" i="18"/>
  <c r="U4" i="18"/>
  <c r="Q4" i="18"/>
  <c r="M4" i="18"/>
  <c r="I4" i="18"/>
  <c r="E4" i="18"/>
  <c r="DG3" i="18"/>
  <c r="DE3" i="18"/>
  <c r="DA3" i="18"/>
  <c r="CW3" i="18"/>
  <c r="CS3" i="18"/>
  <c r="CO3" i="18"/>
  <c r="CK3" i="18"/>
  <c r="CG3" i="18"/>
  <c r="CC3" i="18"/>
  <c r="BY3" i="18"/>
  <c r="BU3" i="18"/>
  <c r="BQ3" i="18"/>
  <c r="BM3" i="18"/>
  <c r="BI3" i="18"/>
  <c r="BE3" i="18"/>
  <c r="BA3" i="18"/>
  <c r="AW3" i="18"/>
  <c r="AS3" i="18"/>
  <c r="AO3" i="18"/>
  <c r="AK3" i="18"/>
  <c r="AG3" i="18"/>
  <c r="AC3" i="18"/>
  <c r="Y3" i="18"/>
  <c r="U3" i="18"/>
  <c r="Q3" i="18"/>
  <c r="M3" i="18"/>
  <c r="I3" i="18"/>
  <c r="E3" i="18"/>
  <c r="BR10" i="19" l="1"/>
  <c r="BR11" i="19"/>
  <c r="BR4" i="19"/>
  <c r="BU4" i="19" s="1"/>
  <c r="BR5" i="19"/>
  <c r="BR9" i="19"/>
  <c r="BR7" i="19"/>
  <c r="BR3" i="19"/>
  <c r="BR6" i="19"/>
  <c r="BU6" i="19" s="1"/>
  <c r="DH11" i="18"/>
  <c r="DH10" i="18"/>
  <c r="DK10" i="18" s="1"/>
  <c r="DH9" i="18"/>
  <c r="DK9" i="18" s="1"/>
  <c r="DH8" i="18"/>
  <c r="DN8" i="18" s="1"/>
  <c r="DH7" i="18"/>
  <c r="DN7" i="18" s="1"/>
  <c r="DH6" i="18"/>
  <c r="DH5" i="18"/>
  <c r="DN5" i="18" s="1"/>
  <c r="DH4" i="18"/>
  <c r="DN4" i="18" s="1"/>
  <c r="DH3" i="18"/>
  <c r="DN3" i="18" s="1"/>
  <c r="BS7" i="19"/>
  <c r="BV11" i="19"/>
  <c r="BV9" i="19"/>
  <c r="BV5" i="19"/>
  <c r="BS3" i="19"/>
  <c r="BS8" i="19"/>
  <c r="BU11" i="19"/>
  <c r="BU10" i="19"/>
  <c r="BU5" i="19"/>
  <c r="BV10" i="19"/>
  <c r="BS10" i="19"/>
  <c r="BU9" i="19"/>
  <c r="BQ14" i="19"/>
  <c r="BJ14" i="19" s="1"/>
  <c r="BP14" i="19" s="1"/>
  <c r="BU7" i="19"/>
  <c r="BU3" i="19"/>
  <c r="CT3" i="18"/>
  <c r="I12" i="18"/>
  <c r="E13" i="18"/>
  <c r="AP14" i="18"/>
  <c r="AT14" i="18"/>
  <c r="F10" i="18"/>
  <c r="J10" i="18"/>
  <c r="N10" i="18"/>
  <c r="R10" i="18"/>
  <c r="V10" i="18"/>
  <c r="Z10" i="18"/>
  <c r="AD10" i="18"/>
  <c r="AH10" i="18"/>
  <c r="AL10" i="18"/>
  <c r="AP10" i="18"/>
  <c r="AT10" i="18"/>
  <c r="AX10" i="18"/>
  <c r="BB10" i="18"/>
  <c r="E12" i="18"/>
  <c r="DF3" i="18"/>
  <c r="BZ3" i="18"/>
  <c r="BN3" i="18"/>
  <c r="BF3" i="18"/>
  <c r="AX3" i="18"/>
  <c r="AP3" i="18"/>
  <c r="AL3" i="18"/>
  <c r="AD3" i="18"/>
  <c r="Z3" i="18"/>
  <c r="R3" i="18"/>
  <c r="N3" i="18"/>
  <c r="F3" i="18"/>
  <c r="DB3" i="18"/>
  <c r="CX3" i="18"/>
  <c r="CP3" i="18"/>
  <c r="CD3" i="18"/>
  <c r="BV3" i="18"/>
  <c r="BJ3" i="18"/>
  <c r="BB3" i="18"/>
  <c r="AT3" i="18"/>
  <c r="AH3" i="18"/>
  <c r="V3" i="18"/>
  <c r="J3" i="18"/>
  <c r="DF5" i="18"/>
  <c r="DB5" i="18"/>
  <c r="CX5" i="18"/>
  <c r="CT5" i="18"/>
  <c r="CP5" i="18"/>
  <c r="CL5" i="18"/>
  <c r="CH5" i="18"/>
  <c r="CD5" i="18"/>
  <c r="BZ5" i="18"/>
  <c r="BV5" i="18"/>
  <c r="BR5" i="18"/>
  <c r="BN5" i="18"/>
  <c r="BJ5" i="18"/>
  <c r="BF5" i="18"/>
  <c r="BB5" i="18"/>
  <c r="AX5" i="18"/>
  <c r="AT5" i="18"/>
  <c r="AP5" i="18"/>
  <c r="AL5" i="18"/>
  <c r="AH5" i="18"/>
  <c r="AD5" i="18"/>
  <c r="Z5" i="18"/>
  <c r="V5" i="18"/>
  <c r="R5" i="18"/>
  <c r="N5" i="18"/>
  <c r="J5" i="18"/>
  <c r="F5" i="18"/>
  <c r="DF8" i="18"/>
  <c r="DB8" i="18"/>
  <c r="CX8" i="18"/>
  <c r="CT8" i="18"/>
  <c r="CP8" i="18"/>
  <c r="CL8" i="18"/>
  <c r="CH8" i="18"/>
  <c r="CD8" i="18"/>
  <c r="BZ8" i="18"/>
  <c r="BV8" i="18"/>
  <c r="BR8" i="18"/>
  <c r="BN8" i="18"/>
  <c r="BJ8" i="18"/>
  <c r="BF8" i="18"/>
  <c r="BB8" i="18"/>
  <c r="AX8" i="18"/>
  <c r="AT8" i="18"/>
  <c r="AP8" i="18"/>
  <c r="DK3" i="18"/>
  <c r="CL6" i="18"/>
  <c r="F8" i="18"/>
  <c r="J8" i="18"/>
  <c r="N8" i="18"/>
  <c r="R8" i="18"/>
  <c r="V8" i="18"/>
  <c r="Z8" i="18"/>
  <c r="AD8" i="18"/>
  <c r="AH8" i="18"/>
  <c r="AL8" i="18"/>
  <c r="BF10" i="18"/>
  <c r="BJ10" i="18"/>
  <c r="BN10" i="18"/>
  <c r="BR10" i="18"/>
  <c r="BV10" i="18"/>
  <c r="BZ10" i="18"/>
  <c r="CD10" i="18"/>
  <c r="CH10" i="18"/>
  <c r="CL10" i="18"/>
  <c r="CP10" i="18"/>
  <c r="CT10" i="18"/>
  <c r="CX10" i="18"/>
  <c r="DB10" i="18"/>
  <c r="DF10" i="18"/>
  <c r="DN10" i="18"/>
  <c r="J12" i="18"/>
  <c r="F13" i="18"/>
  <c r="JE6" i="17"/>
  <c r="JG4" i="17"/>
  <c r="JG5" i="17"/>
  <c r="JG6" i="17"/>
  <c r="JG3" i="17"/>
  <c r="JG7" i="17"/>
  <c r="JG8" i="17"/>
  <c r="JG9" i="17"/>
  <c r="JG10" i="17"/>
  <c r="JG11" i="17"/>
  <c r="GW11" i="17"/>
  <c r="GS11" i="17"/>
  <c r="GO11" i="17"/>
  <c r="GK11" i="17"/>
  <c r="GG11" i="17"/>
  <c r="GC11" i="17"/>
  <c r="FY11" i="17"/>
  <c r="FU11" i="17"/>
  <c r="FQ11" i="17"/>
  <c r="FM11" i="17"/>
  <c r="FI11" i="17"/>
  <c r="FE11" i="17"/>
  <c r="FA11" i="17"/>
  <c r="EW11" i="17"/>
  <c r="ES11" i="17"/>
  <c r="EO11" i="17"/>
  <c r="GW10" i="17"/>
  <c r="GS10" i="17"/>
  <c r="GO10" i="17"/>
  <c r="GK10" i="17"/>
  <c r="GG10" i="17"/>
  <c r="GC10" i="17"/>
  <c r="FY10" i="17"/>
  <c r="FU10" i="17"/>
  <c r="FQ10" i="17"/>
  <c r="FM10" i="17"/>
  <c r="FI10" i="17"/>
  <c r="FE10" i="17"/>
  <c r="FA10" i="17"/>
  <c r="EW10" i="17"/>
  <c r="ES10" i="17"/>
  <c r="EO10" i="17"/>
  <c r="GW9" i="17"/>
  <c r="GS9" i="17"/>
  <c r="GO9" i="17"/>
  <c r="GK9" i="17"/>
  <c r="GG9" i="17"/>
  <c r="GC9" i="17"/>
  <c r="FY9" i="17"/>
  <c r="FU9" i="17"/>
  <c r="FQ9" i="17"/>
  <c r="FM9" i="17"/>
  <c r="FI9" i="17"/>
  <c r="FE9" i="17"/>
  <c r="FA9" i="17"/>
  <c r="EW9" i="17"/>
  <c r="ES9" i="17"/>
  <c r="EO9" i="17"/>
  <c r="GW8" i="17"/>
  <c r="GS8" i="17"/>
  <c r="GO8" i="17"/>
  <c r="GK8" i="17"/>
  <c r="GG8" i="17"/>
  <c r="GC8" i="17"/>
  <c r="FY8" i="17"/>
  <c r="FU8" i="17"/>
  <c r="FQ8" i="17"/>
  <c r="FM8" i="17"/>
  <c r="FI8" i="17"/>
  <c r="FE8" i="17"/>
  <c r="FA8" i="17"/>
  <c r="EW8" i="17"/>
  <c r="ES8" i="17"/>
  <c r="EO8" i="17"/>
  <c r="GW7" i="17"/>
  <c r="GS7" i="17"/>
  <c r="GO7" i="17"/>
  <c r="GK7" i="17"/>
  <c r="GG7" i="17"/>
  <c r="GC7" i="17"/>
  <c r="FY7" i="17"/>
  <c r="FU7" i="17"/>
  <c r="FQ7" i="17"/>
  <c r="FM7" i="17"/>
  <c r="FI7" i="17"/>
  <c r="FE7" i="17"/>
  <c r="FA7" i="17"/>
  <c r="EW7" i="17"/>
  <c r="ES7" i="17"/>
  <c r="EO7" i="17"/>
  <c r="GW6" i="17"/>
  <c r="GS6" i="17"/>
  <c r="GO6" i="17"/>
  <c r="GK6" i="17"/>
  <c r="GG6" i="17"/>
  <c r="GC6" i="17"/>
  <c r="FY6" i="17"/>
  <c r="FU6" i="17"/>
  <c r="FQ6" i="17"/>
  <c r="FM6" i="17"/>
  <c r="FI6" i="17"/>
  <c r="FE6" i="17"/>
  <c r="FA6" i="17"/>
  <c r="EW6" i="17"/>
  <c r="ES6" i="17"/>
  <c r="EO6" i="17"/>
  <c r="GW5" i="17"/>
  <c r="GS5" i="17"/>
  <c r="GO5" i="17"/>
  <c r="GK5" i="17"/>
  <c r="GG5" i="17"/>
  <c r="GC5" i="17"/>
  <c r="FY5" i="17"/>
  <c r="FU5" i="17"/>
  <c r="FQ5" i="17"/>
  <c r="FM5" i="17"/>
  <c r="FI5" i="17"/>
  <c r="FE5" i="17"/>
  <c r="FA5" i="17"/>
  <c r="EW5" i="17"/>
  <c r="ES5" i="17"/>
  <c r="EO5" i="17"/>
  <c r="GW4" i="17"/>
  <c r="GS4" i="17"/>
  <c r="GO4" i="17"/>
  <c r="GK4" i="17"/>
  <c r="GG4" i="17"/>
  <c r="GC4" i="17"/>
  <c r="FY4" i="17"/>
  <c r="FU4" i="17"/>
  <c r="FQ4" i="17"/>
  <c r="FM4" i="17"/>
  <c r="FI4" i="17"/>
  <c r="FE4" i="17"/>
  <c r="FA4" i="17"/>
  <c r="EW4" i="17"/>
  <c r="ES4" i="17"/>
  <c r="EO4" i="17"/>
  <c r="GW3" i="17"/>
  <c r="GS3" i="17"/>
  <c r="GO3" i="17"/>
  <c r="GK3" i="17"/>
  <c r="GG3" i="17"/>
  <c r="GC3" i="17"/>
  <c r="FY3" i="17"/>
  <c r="FU3" i="17"/>
  <c r="FQ3" i="17"/>
  <c r="FM3" i="17"/>
  <c r="FI3" i="17"/>
  <c r="FE3" i="17"/>
  <c r="FA3" i="17"/>
  <c r="EW3" i="17"/>
  <c r="ES3" i="17"/>
  <c r="EO3" i="17"/>
  <c r="DK8" i="18" l="1"/>
  <c r="BS16" i="19"/>
  <c r="BV16" i="19" s="1"/>
  <c r="DK5" i="18"/>
  <c r="DJ5" i="18"/>
  <c r="DJ8" i="18"/>
  <c r="DJ10" i="18"/>
  <c r="BU16" i="19"/>
  <c r="BQ13" i="19"/>
  <c r="BJ13" i="19" s="1"/>
  <c r="BP13" i="19" s="1"/>
  <c r="BQ12" i="19"/>
  <c r="BJ12" i="19" s="1"/>
  <c r="BP12" i="19" s="1"/>
  <c r="BR3" i="18"/>
  <c r="CH3" i="18"/>
  <c r="CL3" i="18"/>
  <c r="DB6" i="18"/>
  <c r="AX6" i="18"/>
  <c r="CT6" i="18"/>
  <c r="CD6" i="18"/>
  <c r="F6" i="18"/>
  <c r="DF6" i="18"/>
  <c r="CX6" i="18"/>
  <c r="CP6" i="18"/>
  <c r="CH6" i="18"/>
  <c r="BN6" i="18"/>
  <c r="AH6" i="18"/>
  <c r="BV6" i="18"/>
  <c r="BF6" i="18"/>
  <c r="AP6" i="18"/>
  <c r="V6" i="18"/>
  <c r="BZ6" i="18"/>
  <c r="BR6" i="18"/>
  <c r="BJ6" i="18"/>
  <c r="BB6" i="18"/>
  <c r="AT6" i="18"/>
  <c r="AL6" i="18"/>
  <c r="AD6" i="18"/>
  <c r="N6" i="18"/>
  <c r="DN9" i="18"/>
  <c r="Z6" i="18"/>
  <c r="R6" i="18"/>
  <c r="J6" i="18"/>
  <c r="DK7" i="18"/>
  <c r="DK4" i="18"/>
  <c r="DM10" i="18"/>
  <c r="BJ13" i="18"/>
  <c r="DB13" i="18"/>
  <c r="CT13" i="18"/>
  <c r="AT12" i="18"/>
  <c r="AP12" i="18"/>
  <c r="AL12" i="18"/>
  <c r="AH12" i="18"/>
  <c r="AD12" i="18"/>
  <c r="Z12" i="18"/>
  <c r="V12" i="18"/>
  <c r="R12" i="18"/>
  <c r="N12" i="18"/>
  <c r="F12" i="18"/>
  <c r="DF11" i="18"/>
  <c r="DB11" i="18"/>
  <c r="CX11" i="18"/>
  <c r="CT11" i="18"/>
  <c r="CP11" i="18"/>
  <c r="CL11" i="18"/>
  <c r="CH11" i="18"/>
  <c r="CD11" i="18"/>
  <c r="BZ11" i="18"/>
  <c r="BV11" i="18"/>
  <c r="BR11" i="18"/>
  <c r="BN11" i="18"/>
  <c r="BJ11" i="18"/>
  <c r="BF11" i="18"/>
  <c r="BB11" i="18"/>
  <c r="AX11" i="18"/>
  <c r="AT11" i="18"/>
  <c r="AP11" i="18"/>
  <c r="AL11" i="18"/>
  <c r="AH11" i="18"/>
  <c r="AD11" i="18"/>
  <c r="Z11" i="18"/>
  <c r="V11" i="18"/>
  <c r="R11" i="18"/>
  <c r="N11" i="18"/>
  <c r="J11" i="18"/>
  <c r="F11" i="18"/>
  <c r="DF7" i="18"/>
  <c r="DB7" i="18"/>
  <c r="CX7" i="18"/>
  <c r="CT7" i="18"/>
  <c r="CP7" i="18"/>
  <c r="CL7" i="18"/>
  <c r="CH7" i="18"/>
  <c r="CD7" i="18"/>
  <c r="BZ7" i="18"/>
  <c r="BV7" i="18"/>
  <c r="BR7" i="18"/>
  <c r="BN7" i="18"/>
  <c r="BJ7" i="18"/>
  <c r="BF7" i="18"/>
  <c r="BB7" i="18"/>
  <c r="AX7" i="18"/>
  <c r="AT7" i="18"/>
  <c r="AP7" i="18"/>
  <c r="AL7" i="18"/>
  <c r="AH7" i="18"/>
  <c r="AD7" i="18"/>
  <c r="Z7" i="18"/>
  <c r="V7" i="18"/>
  <c r="R7" i="18"/>
  <c r="N7" i="18"/>
  <c r="J7" i="18"/>
  <c r="F7" i="18"/>
  <c r="DM5" i="18"/>
  <c r="AT13" i="18"/>
  <c r="AP13" i="18"/>
  <c r="AL13" i="18"/>
  <c r="AH13" i="18"/>
  <c r="AD13" i="18"/>
  <c r="Z13" i="18"/>
  <c r="V13" i="18"/>
  <c r="R13" i="18"/>
  <c r="N13" i="18"/>
  <c r="J13" i="18"/>
  <c r="BJ12" i="18"/>
  <c r="DB12" i="18"/>
  <c r="CT12" i="18"/>
  <c r="DN11" i="18"/>
  <c r="DK11" i="18"/>
  <c r="DF9" i="18"/>
  <c r="DB9" i="18"/>
  <c r="CX9" i="18"/>
  <c r="CT9" i="18"/>
  <c r="CP9" i="18"/>
  <c r="CL9" i="18"/>
  <c r="CH9" i="18"/>
  <c r="CD9" i="18"/>
  <c r="BZ9" i="18"/>
  <c r="BV9" i="18"/>
  <c r="BR9" i="18"/>
  <c r="BN9" i="18"/>
  <c r="BJ9" i="18"/>
  <c r="BF9" i="18"/>
  <c r="BB9" i="18"/>
  <c r="AX9" i="18"/>
  <c r="AT9" i="18"/>
  <c r="AP9" i="18"/>
  <c r="AL9" i="18"/>
  <c r="AH9" i="18"/>
  <c r="AD9" i="18"/>
  <c r="Z9" i="18"/>
  <c r="V9" i="18"/>
  <c r="R9" i="18"/>
  <c r="N9" i="18"/>
  <c r="J9" i="18"/>
  <c r="F9" i="18"/>
  <c r="DM8" i="18"/>
  <c r="DN6" i="18"/>
  <c r="DK6" i="18"/>
  <c r="DF4" i="18"/>
  <c r="DB4" i="18"/>
  <c r="CX4" i="18"/>
  <c r="CT4" i="18"/>
  <c r="CP4" i="18"/>
  <c r="CL4" i="18"/>
  <c r="CH4" i="18"/>
  <c r="CD4" i="18"/>
  <c r="BZ4" i="18"/>
  <c r="BV4" i="18"/>
  <c r="BR4" i="18"/>
  <c r="BN4" i="18"/>
  <c r="BJ4" i="18"/>
  <c r="BF4" i="18"/>
  <c r="BB4" i="18"/>
  <c r="AX4" i="18"/>
  <c r="AT4" i="18"/>
  <c r="AP4" i="18"/>
  <c r="AL4" i="18"/>
  <c r="AH4" i="18"/>
  <c r="AD4" i="18"/>
  <c r="Z4" i="18"/>
  <c r="V4" i="18"/>
  <c r="R4" i="18"/>
  <c r="N4" i="18"/>
  <c r="J4" i="18"/>
  <c r="F4" i="18"/>
  <c r="AK11" i="17"/>
  <c r="AK10" i="17"/>
  <c r="AK9" i="17"/>
  <c r="AK8" i="17"/>
  <c r="AK7" i="17"/>
  <c r="AK6" i="17"/>
  <c r="AK5" i="17"/>
  <c r="AK4" i="17"/>
  <c r="AK3" i="17"/>
  <c r="Q3" i="17"/>
  <c r="Q4" i="17"/>
  <c r="Q5" i="17"/>
  <c r="Q6" i="17"/>
  <c r="Q7" i="17"/>
  <c r="Q8" i="17"/>
  <c r="Q9" i="17"/>
  <c r="Q10" i="17"/>
  <c r="Q11" i="17"/>
  <c r="Q12" i="17"/>
  <c r="Q13" i="17"/>
  <c r="Q14" i="17"/>
  <c r="JA14" i="17"/>
  <c r="DN14" i="17" s="1"/>
  <c r="DA14" i="17"/>
  <c r="AS14" i="17"/>
  <c r="AO14" i="17"/>
  <c r="AG14" i="17"/>
  <c r="AC14" i="17"/>
  <c r="Y14" i="17"/>
  <c r="U14" i="17"/>
  <c r="M14" i="17"/>
  <c r="I14" i="17"/>
  <c r="E14" i="17"/>
  <c r="JI14" i="17" s="1"/>
  <c r="DA13" i="17"/>
  <c r="AS13" i="17"/>
  <c r="AO13" i="17"/>
  <c r="AG13" i="17"/>
  <c r="AC13" i="17"/>
  <c r="Y13" i="17"/>
  <c r="U13" i="17"/>
  <c r="M13" i="17"/>
  <c r="I13" i="17"/>
  <c r="D13" i="17"/>
  <c r="C13" i="17"/>
  <c r="DA12" i="17"/>
  <c r="AS12" i="17"/>
  <c r="AO12" i="17"/>
  <c r="AG12" i="17"/>
  <c r="AC12" i="17"/>
  <c r="Y12" i="17"/>
  <c r="U12" i="17"/>
  <c r="M12" i="17"/>
  <c r="H12" i="17"/>
  <c r="G12" i="17"/>
  <c r="D12" i="17"/>
  <c r="C12" i="17"/>
  <c r="JE11" i="17"/>
  <c r="JA11" i="17"/>
  <c r="IW11" i="17"/>
  <c r="IS11" i="17"/>
  <c r="IO11" i="17"/>
  <c r="IK11" i="17"/>
  <c r="IG11" i="17"/>
  <c r="IC11" i="17"/>
  <c r="HY11" i="17"/>
  <c r="HU11" i="17"/>
  <c r="HQ11" i="17"/>
  <c r="HM11" i="17"/>
  <c r="HI11" i="17"/>
  <c r="HE11" i="17"/>
  <c r="HA11" i="17"/>
  <c r="EK11" i="17"/>
  <c r="EG11" i="17"/>
  <c r="EC11" i="17"/>
  <c r="DY11" i="17"/>
  <c r="DU11" i="17"/>
  <c r="DQ11" i="17"/>
  <c r="DM11" i="17"/>
  <c r="DI11" i="17"/>
  <c r="DE11" i="17"/>
  <c r="DA11" i="17"/>
  <c r="CW11" i="17"/>
  <c r="CS11" i="17"/>
  <c r="CO11" i="17"/>
  <c r="CK11" i="17"/>
  <c r="CG11" i="17"/>
  <c r="CC11" i="17"/>
  <c r="BY11" i="17"/>
  <c r="BU11" i="17"/>
  <c r="BQ11" i="17"/>
  <c r="BM11" i="17"/>
  <c r="BI11" i="17"/>
  <c r="BE11" i="17"/>
  <c r="BA11" i="17"/>
  <c r="AW11" i="17"/>
  <c r="AS11" i="17"/>
  <c r="AO11" i="17"/>
  <c r="AG11" i="17"/>
  <c r="AC11" i="17"/>
  <c r="Y11" i="17"/>
  <c r="U11" i="17"/>
  <c r="M11" i="17"/>
  <c r="I11" i="17"/>
  <c r="E11" i="17"/>
  <c r="JE10" i="17"/>
  <c r="JA10" i="17"/>
  <c r="IW10" i="17"/>
  <c r="IS10" i="17"/>
  <c r="IO10" i="17"/>
  <c r="IK10" i="17"/>
  <c r="IG10" i="17"/>
  <c r="IC10" i="17"/>
  <c r="HY10" i="17"/>
  <c r="HU10" i="17"/>
  <c r="HQ10" i="17"/>
  <c r="HM10" i="17"/>
  <c r="HI10" i="17"/>
  <c r="HE10" i="17"/>
  <c r="HA10" i="17"/>
  <c r="EK10" i="17"/>
  <c r="EG10" i="17"/>
  <c r="EC10" i="17"/>
  <c r="DY10" i="17"/>
  <c r="DU10" i="17"/>
  <c r="DQ10" i="17"/>
  <c r="DM10" i="17"/>
  <c r="DI10" i="17"/>
  <c r="DE10" i="17"/>
  <c r="DA10" i="17"/>
  <c r="CW10" i="17"/>
  <c r="CS10" i="17"/>
  <c r="CO10" i="17"/>
  <c r="CK10" i="17"/>
  <c r="CG10" i="17"/>
  <c r="CC10" i="17"/>
  <c r="BY10" i="17"/>
  <c r="BU10" i="17"/>
  <c r="BQ10" i="17"/>
  <c r="BM10" i="17"/>
  <c r="BI10" i="17"/>
  <c r="BE10" i="17"/>
  <c r="BA10" i="17"/>
  <c r="AW10" i="17"/>
  <c r="AS10" i="17"/>
  <c r="AO10" i="17"/>
  <c r="AG10" i="17"/>
  <c r="AC10" i="17"/>
  <c r="Y10" i="17"/>
  <c r="U10" i="17"/>
  <c r="M10" i="17"/>
  <c r="I10" i="17"/>
  <c r="E10" i="17"/>
  <c r="JE9" i="17"/>
  <c r="JA9" i="17"/>
  <c r="IW9" i="17"/>
  <c r="IS9" i="17"/>
  <c r="IO9" i="17"/>
  <c r="IK9" i="17"/>
  <c r="IG9" i="17"/>
  <c r="IC9" i="17"/>
  <c r="HY9" i="17"/>
  <c r="HU9" i="17"/>
  <c r="HQ9" i="17"/>
  <c r="HM9" i="17"/>
  <c r="HI9" i="17"/>
  <c r="HE9" i="17"/>
  <c r="HA9" i="17"/>
  <c r="EK9" i="17"/>
  <c r="EG9" i="17"/>
  <c r="EC9" i="17"/>
  <c r="DY9" i="17"/>
  <c r="DU9" i="17"/>
  <c r="DQ9" i="17"/>
  <c r="DM9" i="17"/>
  <c r="DI9" i="17"/>
  <c r="DE9" i="17"/>
  <c r="DA9" i="17"/>
  <c r="CW9" i="17"/>
  <c r="CS9" i="17"/>
  <c r="CO9" i="17"/>
  <c r="CK9" i="17"/>
  <c r="CG9" i="17"/>
  <c r="CC9" i="17"/>
  <c r="BY9" i="17"/>
  <c r="BU9" i="17"/>
  <c r="BQ9" i="17"/>
  <c r="BM9" i="17"/>
  <c r="BI9" i="17"/>
  <c r="BE9" i="17"/>
  <c r="BA9" i="17"/>
  <c r="AW9" i="17"/>
  <c r="AS9" i="17"/>
  <c r="AO9" i="17"/>
  <c r="AG9" i="17"/>
  <c r="AC9" i="17"/>
  <c r="Y9" i="17"/>
  <c r="U9" i="17"/>
  <c r="M9" i="17"/>
  <c r="I9" i="17"/>
  <c r="E9" i="17"/>
  <c r="JE8" i="17"/>
  <c r="JA8" i="17"/>
  <c r="IW8" i="17"/>
  <c r="IS8" i="17"/>
  <c r="IO8" i="17"/>
  <c r="IK8" i="17"/>
  <c r="IG8" i="17"/>
  <c r="IC8" i="17"/>
  <c r="HY8" i="17"/>
  <c r="HU8" i="17"/>
  <c r="HQ8" i="17"/>
  <c r="HM8" i="17"/>
  <c r="HI8" i="17"/>
  <c r="HE8" i="17"/>
  <c r="HA8" i="17"/>
  <c r="EK8" i="17"/>
  <c r="EG8" i="17"/>
  <c r="EC8" i="17"/>
  <c r="DY8" i="17"/>
  <c r="DU8" i="17"/>
  <c r="DQ8" i="17"/>
  <c r="DM8" i="17"/>
  <c r="DI8" i="17"/>
  <c r="DE8" i="17"/>
  <c r="DA8" i="17"/>
  <c r="CW8" i="17"/>
  <c r="CS8" i="17"/>
  <c r="CO8" i="17"/>
  <c r="CK8" i="17"/>
  <c r="CG8" i="17"/>
  <c r="CC8" i="17"/>
  <c r="BY8" i="17"/>
  <c r="BU8" i="17"/>
  <c r="BQ8" i="17"/>
  <c r="BM8" i="17"/>
  <c r="BI8" i="17"/>
  <c r="BE8" i="17"/>
  <c r="BA8" i="17"/>
  <c r="AW8" i="17"/>
  <c r="AS8" i="17"/>
  <c r="AO8" i="17"/>
  <c r="AG8" i="17"/>
  <c r="AC8" i="17"/>
  <c r="Y8" i="17"/>
  <c r="U8" i="17"/>
  <c r="M8" i="17"/>
  <c r="I8" i="17"/>
  <c r="E8" i="17"/>
  <c r="JE7" i="17"/>
  <c r="JA7" i="17"/>
  <c r="IW7" i="17"/>
  <c r="IS7" i="17"/>
  <c r="IO7" i="17"/>
  <c r="IK7" i="17"/>
  <c r="IG7" i="17"/>
  <c r="IC7" i="17"/>
  <c r="HY7" i="17"/>
  <c r="HU7" i="17"/>
  <c r="HQ7" i="17"/>
  <c r="HM7" i="17"/>
  <c r="HI7" i="17"/>
  <c r="HE7" i="17"/>
  <c r="HA7" i="17"/>
  <c r="EK7" i="17"/>
  <c r="EG7" i="17"/>
  <c r="EC7" i="17"/>
  <c r="DY7" i="17"/>
  <c r="DU7" i="17"/>
  <c r="DQ7" i="17"/>
  <c r="DM7" i="17"/>
  <c r="DI7" i="17"/>
  <c r="DE7" i="17"/>
  <c r="DA7" i="17"/>
  <c r="CW7" i="17"/>
  <c r="CS7" i="17"/>
  <c r="CO7" i="17"/>
  <c r="CK7" i="17"/>
  <c r="CG7" i="17"/>
  <c r="CC7" i="17"/>
  <c r="BY7" i="17"/>
  <c r="BU7" i="17"/>
  <c r="BQ7" i="17"/>
  <c r="BM7" i="17"/>
  <c r="BI7" i="17"/>
  <c r="BE7" i="17"/>
  <c r="BA7" i="17"/>
  <c r="AW7" i="17"/>
  <c r="AS7" i="17"/>
  <c r="AO7" i="17"/>
  <c r="AG7" i="17"/>
  <c r="AC7" i="17"/>
  <c r="Y7" i="17"/>
  <c r="U7" i="17"/>
  <c r="I7" i="17"/>
  <c r="E7" i="17"/>
  <c r="JA6" i="17"/>
  <c r="IW6" i="17"/>
  <c r="IS6" i="17"/>
  <c r="IO6" i="17"/>
  <c r="IK6" i="17"/>
  <c r="IG6" i="17"/>
  <c r="IC6" i="17"/>
  <c r="HY6" i="17"/>
  <c r="HU6" i="17"/>
  <c r="HQ6" i="17"/>
  <c r="HM6" i="17"/>
  <c r="HI6" i="17"/>
  <c r="HE6" i="17"/>
  <c r="HA6" i="17"/>
  <c r="EK6" i="17"/>
  <c r="EG6" i="17"/>
  <c r="EC6" i="17"/>
  <c r="DY6" i="17"/>
  <c r="DU6" i="17"/>
  <c r="DQ6" i="17"/>
  <c r="DM6" i="17"/>
  <c r="DI6" i="17"/>
  <c r="DE6" i="17"/>
  <c r="DA6" i="17"/>
  <c r="CW6" i="17"/>
  <c r="CS6" i="17"/>
  <c r="CO6" i="17"/>
  <c r="CK6" i="17"/>
  <c r="CG6" i="17"/>
  <c r="CC6" i="17"/>
  <c r="BY6" i="17"/>
  <c r="BU6" i="17"/>
  <c r="BQ6" i="17"/>
  <c r="BM6" i="17"/>
  <c r="BI6" i="17"/>
  <c r="BE6" i="17"/>
  <c r="BA6" i="17"/>
  <c r="AW6" i="17"/>
  <c r="AS6" i="17"/>
  <c r="AO6" i="17"/>
  <c r="AG6" i="17"/>
  <c r="AC6" i="17"/>
  <c r="Y6" i="17"/>
  <c r="U6" i="17"/>
  <c r="M6" i="17"/>
  <c r="I6" i="17"/>
  <c r="E6" i="17"/>
  <c r="JE5" i="17"/>
  <c r="JA5" i="17"/>
  <c r="IW5" i="17"/>
  <c r="IS5" i="17"/>
  <c r="IO5" i="17"/>
  <c r="IK5" i="17"/>
  <c r="IG5" i="17"/>
  <c r="IC5" i="17"/>
  <c r="HY5" i="17"/>
  <c r="HU5" i="17"/>
  <c r="HQ5" i="17"/>
  <c r="HM5" i="17"/>
  <c r="HI5" i="17"/>
  <c r="HE5" i="17"/>
  <c r="HA5" i="17"/>
  <c r="EK5" i="17"/>
  <c r="EG5" i="17"/>
  <c r="EC5" i="17"/>
  <c r="DY5" i="17"/>
  <c r="DU5" i="17"/>
  <c r="DQ5" i="17"/>
  <c r="DM5" i="17"/>
  <c r="DI5" i="17"/>
  <c r="DE5" i="17"/>
  <c r="DA5" i="17"/>
  <c r="CW5" i="17"/>
  <c r="CS5" i="17"/>
  <c r="CO5" i="17"/>
  <c r="CK5" i="17"/>
  <c r="CG5" i="17"/>
  <c r="CC5" i="17"/>
  <c r="BY5" i="17"/>
  <c r="BU5" i="17"/>
  <c r="BQ5" i="17"/>
  <c r="BM5" i="17"/>
  <c r="BI5" i="17"/>
  <c r="BE5" i="17"/>
  <c r="BA5" i="17"/>
  <c r="AW5" i="17"/>
  <c r="AS5" i="17"/>
  <c r="AO5" i="17"/>
  <c r="AG5" i="17"/>
  <c r="AC5" i="17"/>
  <c r="Y5" i="17"/>
  <c r="U5" i="17"/>
  <c r="M5" i="17"/>
  <c r="I5" i="17"/>
  <c r="E5" i="17"/>
  <c r="JE4" i="17"/>
  <c r="JA4" i="17"/>
  <c r="IW4" i="17"/>
  <c r="IS4" i="17"/>
  <c r="IO4" i="17"/>
  <c r="IK4" i="17"/>
  <c r="IG4" i="17"/>
  <c r="IC4" i="17"/>
  <c r="HY4" i="17"/>
  <c r="HU4" i="17"/>
  <c r="HQ4" i="17"/>
  <c r="HM4" i="17"/>
  <c r="HI4" i="17"/>
  <c r="HE4" i="17"/>
  <c r="HA4" i="17"/>
  <c r="EK4" i="17"/>
  <c r="EG4" i="17"/>
  <c r="EC4" i="17"/>
  <c r="DY4" i="17"/>
  <c r="DU4" i="17"/>
  <c r="DQ4" i="17"/>
  <c r="DM4" i="17"/>
  <c r="DI4" i="17"/>
  <c r="DE4" i="17"/>
  <c r="DA4" i="17"/>
  <c r="CW4" i="17"/>
  <c r="CS4" i="17"/>
  <c r="CO4" i="17"/>
  <c r="CK4" i="17"/>
  <c r="CG4" i="17"/>
  <c r="CC4" i="17"/>
  <c r="BY4" i="17"/>
  <c r="BU4" i="17"/>
  <c r="BQ4" i="17"/>
  <c r="BM4" i="17"/>
  <c r="BI4" i="17"/>
  <c r="BE4" i="17"/>
  <c r="BA4" i="17"/>
  <c r="AW4" i="17"/>
  <c r="AS4" i="17"/>
  <c r="AO4" i="17"/>
  <c r="AG4" i="17"/>
  <c r="AC4" i="17"/>
  <c r="Y4" i="17"/>
  <c r="U4" i="17"/>
  <c r="M4" i="17"/>
  <c r="I4" i="17"/>
  <c r="E4" i="17"/>
  <c r="JE3" i="17"/>
  <c r="JA3" i="17"/>
  <c r="IW3" i="17"/>
  <c r="IS3" i="17"/>
  <c r="IO3" i="17"/>
  <c r="IK3" i="17"/>
  <c r="IG3" i="17"/>
  <c r="IC3" i="17"/>
  <c r="HY3" i="17"/>
  <c r="HU3" i="17"/>
  <c r="HQ3" i="17"/>
  <c r="HM3" i="17"/>
  <c r="HI3" i="17"/>
  <c r="HE3" i="17"/>
  <c r="HA3" i="17"/>
  <c r="EK3" i="17"/>
  <c r="EG3" i="17"/>
  <c r="EC3" i="17"/>
  <c r="DY3" i="17"/>
  <c r="DU3" i="17"/>
  <c r="DQ3" i="17"/>
  <c r="DM3" i="17"/>
  <c r="DI3" i="17"/>
  <c r="DE3" i="17"/>
  <c r="DA3" i="17"/>
  <c r="CW3" i="17"/>
  <c r="CS3" i="17"/>
  <c r="CO3" i="17"/>
  <c r="CK3" i="17"/>
  <c r="CG3" i="17"/>
  <c r="CC3" i="17"/>
  <c r="BY3" i="17"/>
  <c r="BU3" i="17"/>
  <c r="BQ3" i="17"/>
  <c r="BM3" i="17"/>
  <c r="BI3" i="17"/>
  <c r="BE3" i="17"/>
  <c r="BA3" i="17"/>
  <c r="AW3" i="17"/>
  <c r="AS3" i="17"/>
  <c r="AO3" i="17"/>
  <c r="AG3" i="17"/>
  <c r="AC3" i="17"/>
  <c r="Y3" i="17"/>
  <c r="U3" i="17"/>
  <c r="M3" i="17"/>
  <c r="I3" i="17"/>
  <c r="E3" i="17"/>
  <c r="F14" i="17" l="1"/>
  <c r="J14" i="17"/>
  <c r="N14" i="17"/>
  <c r="JI11" i="17"/>
  <c r="JF11" i="17" s="1"/>
  <c r="JH11" i="17"/>
  <c r="JI10" i="17"/>
  <c r="IH10" i="17" s="1"/>
  <c r="JH10" i="17"/>
  <c r="JI9" i="17"/>
  <c r="JH9" i="17"/>
  <c r="JI8" i="17"/>
  <c r="JB8" i="17" s="1"/>
  <c r="JH8" i="17"/>
  <c r="JI7" i="17"/>
  <c r="JH7" i="17"/>
  <c r="JH6" i="17"/>
  <c r="JN6" i="17" s="1"/>
  <c r="JI6" i="17"/>
  <c r="CL6" i="17" s="1"/>
  <c r="JI5" i="17"/>
  <c r="JH5" i="17"/>
  <c r="JH4" i="17"/>
  <c r="JK4" i="17" s="1"/>
  <c r="JI4" i="17"/>
  <c r="JH3" i="17"/>
  <c r="JI3" i="17"/>
  <c r="DJ3" i="17" s="1"/>
  <c r="DJ11" i="18"/>
  <c r="DM11" i="18" s="1"/>
  <c r="DJ3" i="18"/>
  <c r="DM3" i="18" s="1"/>
  <c r="DJ4" i="18"/>
  <c r="DM4" i="18" s="1"/>
  <c r="DJ9" i="18"/>
  <c r="DJ7" i="18"/>
  <c r="DJ6" i="18"/>
  <c r="DM6" i="18" s="1"/>
  <c r="DK16" i="18"/>
  <c r="DN16" i="18" s="1"/>
  <c r="DH13" i="18"/>
  <c r="BJ14" i="18"/>
  <c r="DB14" i="18"/>
  <c r="CT14" i="18"/>
  <c r="DM9" i="18"/>
  <c r="DM7" i="18"/>
  <c r="DH12" i="18"/>
  <c r="JF10" i="17"/>
  <c r="E13" i="17"/>
  <c r="JI13" i="17" s="1"/>
  <c r="R14" i="17"/>
  <c r="V14" i="17"/>
  <c r="Z14" i="17"/>
  <c r="AD14" i="17"/>
  <c r="AH14" i="17"/>
  <c r="AL14" i="17"/>
  <c r="JK9" i="17"/>
  <c r="AP14" i="17"/>
  <c r="AT14" i="17"/>
  <c r="JN3" i="17"/>
  <c r="JN5" i="17"/>
  <c r="I12" i="17"/>
  <c r="JK8" i="17"/>
  <c r="JN10" i="17"/>
  <c r="E12" i="17"/>
  <c r="JI12" i="17" s="1"/>
  <c r="JK10" i="17"/>
  <c r="JA12" i="17"/>
  <c r="F12" i="17" s="1"/>
  <c r="JA13" i="17"/>
  <c r="F13" i="17" s="1"/>
  <c r="GC4" i="13"/>
  <c r="FR4" i="13" s="1"/>
  <c r="GC5" i="13"/>
  <c r="FN5" i="13" s="1"/>
  <c r="GC6" i="13"/>
  <c r="GC7" i="13"/>
  <c r="GC8" i="13"/>
  <c r="GC9" i="13"/>
  <c r="FN9" i="13" s="1"/>
  <c r="GC10" i="13"/>
  <c r="FR10" i="13" s="1"/>
  <c r="GC11" i="13"/>
  <c r="FN11" i="13" s="1"/>
  <c r="GC3" i="13"/>
  <c r="FR3" i="13" s="1"/>
  <c r="GA4" i="13"/>
  <c r="GA5" i="13"/>
  <c r="GA6" i="13"/>
  <c r="GA7" i="13"/>
  <c r="GA8" i="13"/>
  <c r="GA9" i="13"/>
  <c r="GA10" i="13"/>
  <c r="GA11" i="13"/>
  <c r="GA14" i="13"/>
  <c r="GA3" i="13"/>
  <c r="FR11" i="13"/>
  <c r="FQ11" i="13"/>
  <c r="FM11" i="13"/>
  <c r="FQ10" i="13"/>
  <c r="FN10" i="13"/>
  <c r="FM10" i="13"/>
  <c r="FR9" i="13"/>
  <c r="FQ9" i="13"/>
  <c r="FM9" i="13"/>
  <c r="FR8" i="13"/>
  <c r="FQ8" i="13"/>
  <c r="FN8" i="13"/>
  <c r="FM8" i="13"/>
  <c r="FR7" i="13"/>
  <c r="FQ7" i="13"/>
  <c r="FN7" i="13"/>
  <c r="FM7" i="13"/>
  <c r="FR6" i="13"/>
  <c r="FQ6" i="13"/>
  <c r="FN6" i="13"/>
  <c r="FM6" i="13"/>
  <c r="FQ5" i="13"/>
  <c r="FM5" i="13"/>
  <c r="FQ4" i="13"/>
  <c r="FN4" i="13"/>
  <c r="FM4" i="13"/>
  <c r="FQ3" i="13"/>
  <c r="FM3" i="13"/>
  <c r="FV11" i="13"/>
  <c r="FU11" i="13"/>
  <c r="FJ11" i="13"/>
  <c r="FI11" i="13"/>
  <c r="FE11" i="13"/>
  <c r="FA11" i="13"/>
  <c r="EX11" i="13"/>
  <c r="EW11" i="13"/>
  <c r="ET11" i="13"/>
  <c r="ES11" i="13"/>
  <c r="EP11" i="13"/>
  <c r="EO11" i="13"/>
  <c r="EL11" i="13"/>
  <c r="EK11" i="13"/>
  <c r="EH11" i="13"/>
  <c r="EG11" i="13"/>
  <c r="EC11" i="13"/>
  <c r="FV10" i="13"/>
  <c r="FU10" i="13"/>
  <c r="FJ10" i="13"/>
  <c r="FI10" i="13"/>
  <c r="FF10" i="13"/>
  <c r="FE10" i="13"/>
  <c r="FB10" i="13"/>
  <c r="FA10" i="13"/>
  <c r="EX10" i="13"/>
  <c r="EW10" i="13"/>
  <c r="ET10" i="13"/>
  <c r="ES10" i="13"/>
  <c r="EP10" i="13"/>
  <c r="EO10" i="13"/>
  <c r="EL10" i="13"/>
  <c r="EK10" i="13"/>
  <c r="EH10" i="13"/>
  <c r="EG10" i="13"/>
  <c r="ED10" i="13"/>
  <c r="EC10" i="13"/>
  <c r="FV9" i="13"/>
  <c r="FU9" i="13"/>
  <c r="FJ9" i="13"/>
  <c r="FI9" i="13"/>
  <c r="FF9" i="13"/>
  <c r="FE9" i="13"/>
  <c r="FB9" i="13"/>
  <c r="FA9" i="13"/>
  <c r="EX9" i="13"/>
  <c r="EW9" i="13"/>
  <c r="ET9" i="13"/>
  <c r="ES9" i="13"/>
  <c r="EP9" i="13"/>
  <c r="EO9" i="13"/>
  <c r="EL9" i="13"/>
  <c r="EK9" i="13"/>
  <c r="EH9" i="13"/>
  <c r="EG9" i="13"/>
  <c r="ED9" i="13"/>
  <c r="EC9" i="13"/>
  <c r="FV8" i="13"/>
  <c r="FU8" i="13"/>
  <c r="FJ8" i="13"/>
  <c r="FI8" i="13"/>
  <c r="FF8" i="13"/>
  <c r="FE8" i="13"/>
  <c r="FB8" i="13"/>
  <c r="FA8" i="13"/>
  <c r="EX8" i="13"/>
  <c r="EW8" i="13"/>
  <c r="ET8" i="13"/>
  <c r="ES8" i="13"/>
  <c r="EP8" i="13"/>
  <c r="EO8" i="13"/>
  <c r="EL8" i="13"/>
  <c r="EK8" i="13"/>
  <c r="EH8" i="13"/>
  <c r="EG8" i="13"/>
  <c r="ED8" i="13"/>
  <c r="EC8" i="13"/>
  <c r="FV7" i="13"/>
  <c r="FU7" i="13"/>
  <c r="FJ7" i="13"/>
  <c r="FI7" i="13"/>
  <c r="FF7" i="13"/>
  <c r="FE7" i="13"/>
  <c r="FB7" i="13"/>
  <c r="FA7" i="13"/>
  <c r="EX7" i="13"/>
  <c r="EW7" i="13"/>
  <c r="ET7" i="13"/>
  <c r="ES7" i="13"/>
  <c r="EP7" i="13"/>
  <c r="EO7" i="13"/>
  <c r="EL7" i="13"/>
  <c r="EK7" i="13"/>
  <c r="EH7" i="13"/>
  <c r="EG7" i="13"/>
  <c r="ED7" i="13"/>
  <c r="EC7" i="13"/>
  <c r="FV6" i="13"/>
  <c r="FU6" i="13"/>
  <c r="FJ6" i="13"/>
  <c r="FI6" i="13"/>
  <c r="FF6" i="13"/>
  <c r="FE6" i="13"/>
  <c r="FB6" i="13"/>
  <c r="FA6" i="13"/>
  <c r="EX6" i="13"/>
  <c r="EW6" i="13"/>
  <c r="ET6" i="13"/>
  <c r="ES6" i="13"/>
  <c r="EP6" i="13"/>
  <c r="EO6" i="13"/>
  <c r="EL6" i="13"/>
  <c r="EK6" i="13"/>
  <c r="EH6" i="13"/>
  <c r="EG6" i="13"/>
  <c r="ED6" i="13"/>
  <c r="EC6" i="13"/>
  <c r="FU5" i="13"/>
  <c r="FI5" i="13"/>
  <c r="FE5" i="13"/>
  <c r="FA5" i="13"/>
  <c r="EW5" i="13"/>
  <c r="ES5" i="13"/>
  <c r="EO5" i="13"/>
  <c r="EK5" i="13"/>
  <c r="EG5" i="13"/>
  <c r="EC5" i="13"/>
  <c r="FV4" i="13"/>
  <c r="FU4" i="13"/>
  <c r="FJ4" i="13"/>
  <c r="FI4" i="13"/>
  <c r="FF4" i="13"/>
  <c r="FE4" i="13"/>
  <c r="FB4" i="13"/>
  <c r="FA4" i="13"/>
  <c r="EX4" i="13"/>
  <c r="EW4" i="13"/>
  <c r="ET4" i="13"/>
  <c r="ES4" i="13"/>
  <c r="EP4" i="13"/>
  <c r="EO4" i="13"/>
  <c r="EL4" i="13"/>
  <c r="EK4" i="13"/>
  <c r="EH4" i="13"/>
  <c r="EG4" i="13"/>
  <c r="ED4" i="13"/>
  <c r="EC4" i="13"/>
  <c r="FU3" i="13"/>
  <c r="FI3" i="13"/>
  <c r="FE3" i="13"/>
  <c r="FA3" i="13"/>
  <c r="EW3" i="13"/>
  <c r="ES3" i="13"/>
  <c r="EO3" i="13"/>
  <c r="EK3" i="13"/>
  <c r="EH3" i="13"/>
  <c r="EG3" i="13"/>
  <c r="ED3" i="13"/>
  <c r="EC3" i="13"/>
  <c r="DZ11" i="13"/>
  <c r="DY11" i="13"/>
  <c r="DZ10" i="13"/>
  <c r="DY10" i="13"/>
  <c r="DZ9" i="13"/>
  <c r="DY9" i="13"/>
  <c r="DZ8" i="13"/>
  <c r="DY8" i="13"/>
  <c r="DZ7" i="13"/>
  <c r="DY7" i="13"/>
  <c r="DZ6" i="13"/>
  <c r="DY6" i="13"/>
  <c r="DY5" i="13"/>
  <c r="DZ4" i="13"/>
  <c r="DY4" i="13"/>
  <c r="DZ3" i="13"/>
  <c r="DY3" i="13"/>
  <c r="GC4" i="10"/>
  <c r="GC5" i="10"/>
  <c r="GC6" i="10"/>
  <c r="GC7" i="10"/>
  <c r="GC8" i="10"/>
  <c r="FN8" i="10" s="1"/>
  <c r="GC9" i="10"/>
  <c r="FV9" i="10" s="1"/>
  <c r="GC10" i="10"/>
  <c r="FV10" i="10" s="1"/>
  <c r="GC11" i="10"/>
  <c r="GC3" i="10"/>
  <c r="FV3" i="10" s="1"/>
  <c r="GA4" i="10"/>
  <c r="GA5" i="10"/>
  <c r="GA6" i="10"/>
  <c r="GA7" i="10"/>
  <c r="GA8" i="10"/>
  <c r="GA9" i="10"/>
  <c r="GA10" i="10"/>
  <c r="GA11" i="10"/>
  <c r="GA3" i="10"/>
  <c r="FV11" i="10"/>
  <c r="FU11" i="10"/>
  <c r="FR11" i="10"/>
  <c r="FQ11" i="10"/>
  <c r="FN11" i="10"/>
  <c r="FM11" i="10"/>
  <c r="FJ11" i="10"/>
  <c r="FI11" i="10"/>
  <c r="FU10" i="10"/>
  <c r="FQ10" i="10"/>
  <c r="FM10" i="10"/>
  <c r="FI10" i="10"/>
  <c r="FU9" i="10"/>
  <c r="FQ9" i="10"/>
  <c r="FM9" i="10"/>
  <c r="FI9" i="10"/>
  <c r="FU8" i="10"/>
  <c r="FR8" i="10"/>
  <c r="FQ8" i="10"/>
  <c r="FM8" i="10"/>
  <c r="FI8" i="10"/>
  <c r="FV7" i="10"/>
  <c r="FU7" i="10"/>
  <c r="FR7" i="10"/>
  <c r="FQ7" i="10"/>
  <c r="FN7" i="10"/>
  <c r="FM7" i="10"/>
  <c r="FJ7" i="10"/>
  <c r="FI7" i="10"/>
  <c r="FV6" i="10"/>
  <c r="FU6" i="10"/>
  <c r="FR6" i="10"/>
  <c r="FQ6" i="10"/>
  <c r="FN6" i="10"/>
  <c r="FM6" i="10"/>
  <c r="FJ6" i="10"/>
  <c r="FI6" i="10"/>
  <c r="FV5" i="10"/>
  <c r="FU5" i="10"/>
  <c r="FR5" i="10"/>
  <c r="FQ5" i="10"/>
  <c r="FN5" i="10"/>
  <c r="FM5" i="10"/>
  <c r="FJ5" i="10"/>
  <c r="FI5" i="10"/>
  <c r="FV4" i="10"/>
  <c r="FU4" i="10"/>
  <c r="FR4" i="10"/>
  <c r="FQ4" i="10"/>
  <c r="FN4" i="10"/>
  <c r="FM4" i="10"/>
  <c r="FJ4" i="10"/>
  <c r="FI4" i="10"/>
  <c r="FU3" i="10"/>
  <c r="FQ3" i="10"/>
  <c r="FM3" i="10"/>
  <c r="FI3" i="10"/>
  <c r="FY11" i="10"/>
  <c r="FE11" i="10"/>
  <c r="FA11" i="10"/>
  <c r="EW11" i="10"/>
  <c r="ES11" i="10"/>
  <c r="FY10" i="10"/>
  <c r="FE10" i="10"/>
  <c r="FA10" i="10"/>
  <c r="EW10" i="10"/>
  <c r="ES10" i="10"/>
  <c r="FY9" i="10"/>
  <c r="FE9" i="10"/>
  <c r="FA9" i="10"/>
  <c r="EW9" i="10"/>
  <c r="ES9" i="10"/>
  <c r="FY8" i="10"/>
  <c r="FE8" i="10"/>
  <c r="FA8" i="10"/>
  <c r="EW8" i="10"/>
  <c r="ES8" i="10"/>
  <c r="FY7" i="10"/>
  <c r="FE7" i="10"/>
  <c r="FA7" i="10"/>
  <c r="EW7" i="10"/>
  <c r="ES7" i="10"/>
  <c r="FY6" i="10"/>
  <c r="FE6" i="10"/>
  <c r="FA6" i="10"/>
  <c r="EW6" i="10"/>
  <c r="ES6" i="10"/>
  <c r="FY5" i="10"/>
  <c r="FE5" i="10"/>
  <c r="FA5" i="10"/>
  <c r="EW5" i="10"/>
  <c r="ES5" i="10"/>
  <c r="FY4" i="10"/>
  <c r="FE4" i="10"/>
  <c r="FA4" i="10"/>
  <c r="EW4" i="10"/>
  <c r="ES4" i="10"/>
  <c r="FY3" i="10"/>
  <c r="FE3" i="10"/>
  <c r="FA3" i="10"/>
  <c r="EW3" i="10"/>
  <c r="ES3" i="10"/>
  <c r="E3" i="10"/>
  <c r="I3" i="10"/>
  <c r="M3" i="10"/>
  <c r="Q3" i="10"/>
  <c r="U3" i="10"/>
  <c r="Y3" i="10"/>
  <c r="AC3" i="10"/>
  <c r="AG3" i="10"/>
  <c r="AK3" i="10"/>
  <c r="AO3" i="10"/>
  <c r="AS3" i="10"/>
  <c r="AW3" i="10"/>
  <c r="BA3" i="10"/>
  <c r="BE3" i="10"/>
  <c r="BI3" i="10"/>
  <c r="BM3" i="10"/>
  <c r="BQ3" i="10"/>
  <c r="BU3" i="10"/>
  <c r="BY3" i="10"/>
  <c r="CC3" i="10"/>
  <c r="CG3" i="10"/>
  <c r="CK3" i="10"/>
  <c r="CO3" i="10"/>
  <c r="CS3" i="10"/>
  <c r="CW3" i="10"/>
  <c r="DA3" i="10"/>
  <c r="DE3" i="10"/>
  <c r="DI3" i="10"/>
  <c r="DM3" i="10"/>
  <c r="DQ3" i="10"/>
  <c r="DU3" i="10"/>
  <c r="DY3" i="10"/>
  <c r="EC3" i="10"/>
  <c r="EG3" i="10"/>
  <c r="EK3" i="10"/>
  <c r="EO3" i="10"/>
  <c r="E4" i="10"/>
  <c r="I4" i="10"/>
  <c r="M4" i="10"/>
  <c r="Q4" i="10"/>
  <c r="U4" i="10"/>
  <c r="Y4" i="10"/>
  <c r="AC4" i="10"/>
  <c r="AG4" i="10"/>
  <c r="AK4" i="10"/>
  <c r="AO4" i="10"/>
  <c r="AS4" i="10"/>
  <c r="AW4" i="10"/>
  <c r="BA4" i="10"/>
  <c r="BE4" i="10"/>
  <c r="BI4" i="10"/>
  <c r="BM4" i="10"/>
  <c r="BQ4" i="10"/>
  <c r="BU4" i="10"/>
  <c r="BY4" i="10"/>
  <c r="CC4" i="10"/>
  <c r="CG4" i="10"/>
  <c r="CK4" i="10"/>
  <c r="CO4" i="10"/>
  <c r="CS4" i="10"/>
  <c r="CW4" i="10"/>
  <c r="DA4" i="10"/>
  <c r="DE4" i="10"/>
  <c r="DI4" i="10"/>
  <c r="DM4" i="10"/>
  <c r="DQ4" i="10"/>
  <c r="DU4" i="10"/>
  <c r="DY4" i="10"/>
  <c r="EC4" i="10"/>
  <c r="EG4" i="10"/>
  <c r="EK4" i="10"/>
  <c r="EO4" i="10"/>
  <c r="E5" i="10"/>
  <c r="I5" i="10"/>
  <c r="M5" i="10"/>
  <c r="Q5" i="10"/>
  <c r="U5" i="10"/>
  <c r="Y5" i="10"/>
  <c r="AC5" i="10"/>
  <c r="AG5" i="10"/>
  <c r="AK5" i="10"/>
  <c r="AO5" i="10"/>
  <c r="AS5" i="10"/>
  <c r="AW5" i="10"/>
  <c r="BA5" i="10"/>
  <c r="BE5" i="10"/>
  <c r="BI5" i="10"/>
  <c r="BM5" i="10"/>
  <c r="BQ5" i="10"/>
  <c r="BU5" i="10"/>
  <c r="BY5" i="10"/>
  <c r="CC5" i="10"/>
  <c r="CG5" i="10"/>
  <c r="CK5" i="10"/>
  <c r="CO5" i="10"/>
  <c r="CS5" i="10"/>
  <c r="CW5" i="10"/>
  <c r="DA5" i="10"/>
  <c r="DE5" i="10"/>
  <c r="DI5" i="10"/>
  <c r="DM5" i="10"/>
  <c r="DQ5" i="10"/>
  <c r="DU5" i="10"/>
  <c r="DY5" i="10"/>
  <c r="EC5" i="10"/>
  <c r="EG5" i="10"/>
  <c r="EK5" i="10"/>
  <c r="EO5" i="10"/>
  <c r="E6" i="10"/>
  <c r="I6" i="10"/>
  <c r="M6" i="10"/>
  <c r="Q6" i="10"/>
  <c r="U6" i="10"/>
  <c r="Y6" i="10"/>
  <c r="AC6" i="10"/>
  <c r="AG6" i="10"/>
  <c r="AK6" i="10"/>
  <c r="AO6" i="10"/>
  <c r="AS6" i="10"/>
  <c r="AW6" i="10"/>
  <c r="BA6" i="10"/>
  <c r="BE6" i="10"/>
  <c r="BI6" i="10"/>
  <c r="BM6" i="10"/>
  <c r="BQ6" i="10"/>
  <c r="BU6" i="10"/>
  <c r="BY6" i="10"/>
  <c r="CC6" i="10"/>
  <c r="CG6" i="10"/>
  <c r="CK6" i="10"/>
  <c r="CO6" i="10"/>
  <c r="CS6" i="10"/>
  <c r="CW6" i="10"/>
  <c r="DA6" i="10"/>
  <c r="DE6" i="10"/>
  <c r="DI6" i="10"/>
  <c r="DM6" i="10"/>
  <c r="DQ6" i="10"/>
  <c r="DU6" i="10"/>
  <c r="DY6" i="10"/>
  <c r="EC6" i="10"/>
  <c r="EG6" i="10"/>
  <c r="EK6" i="10"/>
  <c r="EO6" i="10"/>
  <c r="E7" i="10"/>
  <c r="I7" i="10"/>
  <c r="M7" i="10"/>
  <c r="Q7" i="10"/>
  <c r="U7" i="10"/>
  <c r="Y7" i="10"/>
  <c r="AC7" i="10"/>
  <c r="AG7" i="10"/>
  <c r="AK7" i="10"/>
  <c r="AO7" i="10"/>
  <c r="AS7" i="10"/>
  <c r="AW7" i="10"/>
  <c r="BA7" i="10"/>
  <c r="BE7" i="10"/>
  <c r="BI7" i="10"/>
  <c r="BM7" i="10"/>
  <c r="BQ7" i="10"/>
  <c r="BU7" i="10"/>
  <c r="BY7" i="10"/>
  <c r="CC7" i="10"/>
  <c r="CG7" i="10"/>
  <c r="CK7" i="10"/>
  <c r="CO7" i="10"/>
  <c r="CS7" i="10"/>
  <c r="CW7" i="10"/>
  <c r="DA7" i="10"/>
  <c r="DE7" i="10"/>
  <c r="DI7" i="10"/>
  <c r="DM7" i="10"/>
  <c r="DQ7" i="10"/>
  <c r="DU7" i="10"/>
  <c r="DY7" i="10"/>
  <c r="EC7" i="10"/>
  <c r="EG7" i="10"/>
  <c r="EK7" i="10"/>
  <c r="EO7" i="10"/>
  <c r="E8" i="10"/>
  <c r="I8" i="10"/>
  <c r="M8" i="10"/>
  <c r="Q8" i="10"/>
  <c r="U8" i="10"/>
  <c r="Y8" i="10"/>
  <c r="AC8" i="10"/>
  <c r="AG8" i="10"/>
  <c r="AK8" i="10"/>
  <c r="AO8" i="10"/>
  <c r="AS8" i="10"/>
  <c r="AW8" i="10"/>
  <c r="BA8" i="10"/>
  <c r="BE8" i="10"/>
  <c r="BI8" i="10"/>
  <c r="BM8" i="10"/>
  <c r="BQ8" i="10"/>
  <c r="BU8" i="10"/>
  <c r="BY8" i="10"/>
  <c r="CC8" i="10"/>
  <c r="CG8" i="10"/>
  <c r="CK8" i="10"/>
  <c r="CO8" i="10"/>
  <c r="CS8" i="10"/>
  <c r="CW8" i="10"/>
  <c r="DA8" i="10"/>
  <c r="DE8" i="10"/>
  <c r="DI8" i="10"/>
  <c r="DM8" i="10"/>
  <c r="DQ8" i="10"/>
  <c r="DU8" i="10"/>
  <c r="DY8" i="10"/>
  <c r="EC8" i="10"/>
  <c r="EG8" i="10"/>
  <c r="EK8" i="10"/>
  <c r="EO8" i="10"/>
  <c r="E9" i="10"/>
  <c r="I9" i="10"/>
  <c r="M9" i="10"/>
  <c r="Q9" i="10"/>
  <c r="U9" i="10"/>
  <c r="Y9" i="10"/>
  <c r="AC9" i="10"/>
  <c r="AG9" i="10"/>
  <c r="AK9" i="10"/>
  <c r="AO9" i="10"/>
  <c r="AS9" i="10"/>
  <c r="AW9" i="10"/>
  <c r="BA9" i="10"/>
  <c r="BE9" i="10"/>
  <c r="BI9" i="10"/>
  <c r="BM9" i="10"/>
  <c r="BQ9" i="10"/>
  <c r="BU9" i="10"/>
  <c r="BY9" i="10"/>
  <c r="CC9" i="10"/>
  <c r="CG9" i="10"/>
  <c r="CK9" i="10"/>
  <c r="CO9" i="10"/>
  <c r="CS9" i="10"/>
  <c r="CW9" i="10"/>
  <c r="DA9" i="10"/>
  <c r="DE9" i="10"/>
  <c r="DI9" i="10"/>
  <c r="DM9" i="10"/>
  <c r="DQ9" i="10"/>
  <c r="DU9" i="10"/>
  <c r="DY9" i="10"/>
  <c r="EC9" i="10"/>
  <c r="EG9" i="10"/>
  <c r="EK9" i="10"/>
  <c r="EO9" i="10"/>
  <c r="E10" i="10"/>
  <c r="I10" i="10"/>
  <c r="M10" i="10"/>
  <c r="Q10" i="10"/>
  <c r="U10" i="10"/>
  <c r="Y10" i="10"/>
  <c r="AC10" i="10"/>
  <c r="AG10" i="10"/>
  <c r="AK10" i="10"/>
  <c r="AO10" i="10"/>
  <c r="AS10" i="10"/>
  <c r="AW10" i="10"/>
  <c r="BA10" i="10"/>
  <c r="BE10" i="10"/>
  <c r="BI10" i="10"/>
  <c r="BM10" i="10"/>
  <c r="BQ10" i="10"/>
  <c r="BU10" i="10"/>
  <c r="BY10" i="10"/>
  <c r="CC10" i="10"/>
  <c r="CG10" i="10"/>
  <c r="CK10" i="10"/>
  <c r="CO10" i="10"/>
  <c r="CS10" i="10"/>
  <c r="CW10" i="10"/>
  <c r="DA10" i="10"/>
  <c r="DE10" i="10"/>
  <c r="DI10" i="10"/>
  <c r="DM10" i="10"/>
  <c r="DQ10" i="10"/>
  <c r="DU10" i="10"/>
  <c r="DY10" i="10"/>
  <c r="EC10" i="10"/>
  <c r="EG10" i="10"/>
  <c r="EK10" i="10"/>
  <c r="EO10" i="10"/>
  <c r="E11" i="10"/>
  <c r="I11" i="10"/>
  <c r="M11" i="10"/>
  <c r="Q11" i="10"/>
  <c r="U11" i="10"/>
  <c r="Y11" i="10"/>
  <c r="AC11" i="10"/>
  <c r="AG11" i="10"/>
  <c r="AK11" i="10"/>
  <c r="AO11" i="10"/>
  <c r="AS11" i="10"/>
  <c r="AW11" i="10"/>
  <c r="BA11" i="10"/>
  <c r="BE11" i="10"/>
  <c r="BI11" i="10"/>
  <c r="BM11" i="10"/>
  <c r="BQ11" i="10"/>
  <c r="BU11" i="10"/>
  <c r="BY11" i="10"/>
  <c r="CC11" i="10"/>
  <c r="CG11" i="10"/>
  <c r="CK11" i="10"/>
  <c r="CO11" i="10"/>
  <c r="CS11" i="10"/>
  <c r="CW11" i="10"/>
  <c r="DA11" i="10"/>
  <c r="DE11" i="10"/>
  <c r="DI11" i="10"/>
  <c r="DM11" i="10"/>
  <c r="DQ11" i="10"/>
  <c r="DU11" i="10"/>
  <c r="DY11" i="10"/>
  <c r="EC11" i="10"/>
  <c r="EG11" i="10"/>
  <c r="EK11" i="10"/>
  <c r="EO11" i="10"/>
  <c r="EL5" i="13" l="1"/>
  <c r="FJ5" i="13"/>
  <c r="FR5" i="13"/>
  <c r="FV8" i="10"/>
  <c r="EP5" i="13"/>
  <c r="FV5" i="13"/>
  <c r="FJ9" i="10"/>
  <c r="ET5" i="13"/>
  <c r="FN9" i="10"/>
  <c r="EX5" i="13"/>
  <c r="FJ8" i="10"/>
  <c r="FR9" i="10"/>
  <c r="ED5" i="13"/>
  <c r="FB5" i="13"/>
  <c r="ED11" i="13"/>
  <c r="FB11" i="13"/>
  <c r="DZ5" i="13"/>
  <c r="EH5" i="13"/>
  <c r="FF5" i="13"/>
  <c r="FF11" i="13"/>
  <c r="GB11" i="10"/>
  <c r="GB4" i="10"/>
  <c r="GB6" i="10"/>
  <c r="GB8" i="10"/>
  <c r="GB10" i="10"/>
  <c r="GB5" i="10"/>
  <c r="GB7" i="10"/>
  <c r="GB9" i="10"/>
  <c r="FJ10" i="10"/>
  <c r="FN10" i="10"/>
  <c r="FR10" i="10"/>
  <c r="GB3" i="10"/>
  <c r="CX11" i="17"/>
  <c r="R11" i="17"/>
  <c r="AP11" i="17"/>
  <c r="J11" i="17"/>
  <c r="Z11" i="17"/>
  <c r="BF11" i="17"/>
  <c r="BV11" i="17"/>
  <c r="AH11" i="17"/>
  <c r="AX11" i="17"/>
  <c r="BN11" i="17"/>
  <c r="CD11" i="17"/>
  <c r="CL11" i="17"/>
  <c r="IT11" i="17"/>
  <c r="F11" i="17"/>
  <c r="N11" i="17"/>
  <c r="V11" i="17"/>
  <c r="AD11" i="17"/>
  <c r="AL11" i="17"/>
  <c r="AT11" i="17"/>
  <c r="BB11" i="17"/>
  <c r="BJ11" i="17"/>
  <c r="BR11" i="17"/>
  <c r="BZ11" i="17"/>
  <c r="CH11" i="17"/>
  <c r="CP11" i="17"/>
  <c r="DF11" i="17"/>
  <c r="DN11" i="17"/>
  <c r="DV11" i="17"/>
  <c r="HN11" i="17"/>
  <c r="EL11" i="17"/>
  <c r="ID11" i="17"/>
  <c r="CD6" i="17"/>
  <c r="ED11" i="17"/>
  <c r="HF11" i="17"/>
  <c r="HV11" i="17"/>
  <c r="IL11" i="17"/>
  <c r="JB11" i="17"/>
  <c r="CT11" i="17"/>
  <c r="DB11" i="17"/>
  <c r="DJ11" i="17"/>
  <c r="DR11" i="17"/>
  <c r="DZ11" i="17"/>
  <c r="EH11" i="17"/>
  <c r="HB11" i="17"/>
  <c r="HJ11" i="17"/>
  <c r="HR11" i="17"/>
  <c r="HZ11" i="17"/>
  <c r="IH11" i="17"/>
  <c r="IP11" i="17"/>
  <c r="IX11" i="17"/>
  <c r="BN6" i="17"/>
  <c r="BV6" i="17"/>
  <c r="BB6" i="17"/>
  <c r="CH6" i="17"/>
  <c r="BZ6" i="17"/>
  <c r="BR6" i="17"/>
  <c r="BJ6" i="17"/>
  <c r="V6" i="17"/>
  <c r="AL6" i="17"/>
  <c r="GX11" i="17"/>
  <c r="GT11" i="17"/>
  <c r="GP11" i="17"/>
  <c r="GL11" i="17"/>
  <c r="GH11" i="17"/>
  <c r="GD11" i="17"/>
  <c r="FZ11" i="17"/>
  <c r="FV11" i="17"/>
  <c r="FR11" i="17"/>
  <c r="FN11" i="17"/>
  <c r="FJ11" i="17"/>
  <c r="FF11" i="17"/>
  <c r="FB11" i="17"/>
  <c r="EX11" i="17"/>
  <c r="ET11" i="17"/>
  <c r="EP11" i="17"/>
  <c r="GT10" i="17"/>
  <c r="GL10" i="17"/>
  <c r="GD10" i="17"/>
  <c r="FV10" i="17"/>
  <c r="FN10" i="17"/>
  <c r="FF10" i="17"/>
  <c r="ET10" i="17"/>
  <c r="GX10" i="17"/>
  <c r="GP10" i="17"/>
  <c r="GH10" i="17"/>
  <c r="FZ10" i="17"/>
  <c r="FR10" i="17"/>
  <c r="FJ10" i="17"/>
  <c r="FB10" i="17"/>
  <c r="EX10" i="17"/>
  <c r="EP10" i="17"/>
  <c r="GX9" i="17"/>
  <c r="GP9" i="17"/>
  <c r="GD9" i="17"/>
  <c r="FV9" i="17"/>
  <c r="FR9" i="17"/>
  <c r="FJ9" i="17"/>
  <c r="FB9" i="17"/>
  <c r="ET9" i="17"/>
  <c r="GT9" i="17"/>
  <c r="GL9" i="17"/>
  <c r="GH9" i="17"/>
  <c r="FZ9" i="17"/>
  <c r="FN9" i="17"/>
  <c r="FF9" i="17"/>
  <c r="EX9" i="17"/>
  <c r="EP9" i="17"/>
  <c r="FF8" i="17"/>
  <c r="GX8" i="17"/>
  <c r="GT8" i="17"/>
  <c r="GP8" i="17"/>
  <c r="GL8" i="17"/>
  <c r="GH8" i="17"/>
  <c r="GD8" i="17"/>
  <c r="FZ8" i="17"/>
  <c r="FV8" i="17"/>
  <c r="FR8" i="17"/>
  <c r="FN8" i="17"/>
  <c r="FJ8" i="17"/>
  <c r="FB8" i="17"/>
  <c r="EX8" i="17"/>
  <c r="ET8" i="17"/>
  <c r="EP8" i="17"/>
  <c r="GX7" i="17"/>
  <c r="GT7" i="17"/>
  <c r="GP7" i="17"/>
  <c r="GL7" i="17"/>
  <c r="GH7" i="17"/>
  <c r="GD7" i="17"/>
  <c r="FZ7" i="17"/>
  <c r="FV7" i="17"/>
  <c r="FR7" i="17"/>
  <c r="FN7" i="17"/>
  <c r="FJ7" i="17"/>
  <c r="FF7" i="17"/>
  <c r="FB7" i="17"/>
  <c r="EX7" i="17"/>
  <c r="ET7" i="17"/>
  <c r="EP7" i="17"/>
  <c r="F6" i="17"/>
  <c r="GX6" i="17"/>
  <c r="GT6" i="17"/>
  <c r="GP6" i="17"/>
  <c r="GL6" i="17"/>
  <c r="GH6" i="17"/>
  <c r="GD6" i="17"/>
  <c r="FZ6" i="17"/>
  <c r="FV6" i="17"/>
  <c r="FR6" i="17"/>
  <c r="FN6" i="17"/>
  <c r="FJ6" i="17"/>
  <c r="FF6" i="17"/>
  <c r="FB6" i="17"/>
  <c r="EX6" i="17"/>
  <c r="ET6" i="17"/>
  <c r="EP6" i="17"/>
  <c r="JB6" i="17"/>
  <c r="GX5" i="17"/>
  <c r="GT5" i="17"/>
  <c r="GP5" i="17"/>
  <c r="GL5" i="17"/>
  <c r="GH5" i="17"/>
  <c r="GD5" i="17"/>
  <c r="FZ5" i="17"/>
  <c r="FV5" i="17"/>
  <c r="FR5" i="17"/>
  <c r="FN5" i="17"/>
  <c r="FJ5" i="17"/>
  <c r="FF5" i="17"/>
  <c r="FB5" i="17"/>
  <c r="EX5" i="17"/>
  <c r="ET5" i="17"/>
  <c r="EP5" i="17"/>
  <c r="GX4" i="17"/>
  <c r="GP4" i="17"/>
  <c r="GL4" i="17"/>
  <c r="GH4" i="17"/>
  <c r="GD4" i="17"/>
  <c r="FV4" i="17"/>
  <c r="FR4" i="17"/>
  <c r="FJ4" i="17"/>
  <c r="FB4" i="17"/>
  <c r="EX4" i="17"/>
  <c r="EP4" i="17"/>
  <c r="GT4" i="17"/>
  <c r="FZ4" i="17"/>
  <c r="FN4" i="17"/>
  <c r="FF4" i="17"/>
  <c r="ET4" i="17"/>
  <c r="GX3" i="17"/>
  <c r="JI15" i="17"/>
  <c r="GT3" i="17"/>
  <c r="GP3" i="17"/>
  <c r="GL3" i="17"/>
  <c r="GH3" i="17"/>
  <c r="GD3" i="17"/>
  <c r="FZ3" i="17"/>
  <c r="FV3" i="17"/>
  <c r="FR3" i="17"/>
  <c r="FN3" i="17"/>
  <c r="FJ3" i="17"/>
  <c r="FF3" i="17"/>
  <c r="FB3" i="17"/>
  <c r="EX3" i="17"/>
  <c r="ET3" i="17"/>
  <c r="EP3" i="17"/>
  <c r="DM16" i="18"/>
  <c r="DH14" i="18"/>
  <c r="JK6" i="17"/>
  <c r="BF6" i="17"/>
  <c r="AT6" i="17"/>
  <c r="AD6" i="17"/>
  <c r="N6" i="17"/>
  <c r="CT6" i="17"/>
  <c r="DF6" i="17"/>
  <c r="DV6" i="17"/>
  <c r="IP10" i="17"/>
  <c r="AX6" i="17"/>
  <c r="AP6" i="17"/>
  <c r="AH6" i="17"/>
  <c r="Z6" i="17"/>
  <c r="R6" i="17"/>
  <c r="J6" i="17"/>
  <c r="CP6" i="17"/>
  <c r="CX6" i="17"/>
  <c r="DN6" i="17"/>
  <c r="ED6" i="17"/>
  <c r="HF6" i="17"/>
  <c r="DB6" i="17"/>
  <c r="DJ6" i="17"/>
  <c r="DR6" i="17"/>
  <c r="DZ6" i="17"/>
  <c r="EL6" i="17"/>
  <c r="HV6" i="17"/>
  <c r="HN6" i="17"/>
  <c r="IL6" i="17"/>
  <c r="EH6" i="17"/>
  <c r="HB6" i="17"/>
  <c r="HJ6" i="17"/>
  <c r="HR6" i="17"/>
  <c r="ID6" i="17"/>
  <c r="IT6" i="17"/>
  <c r="J8" i="17"/>
  <c r="JF8" i="17"/>
  <c r="HZ6" i="17"/>
  <c r="IH6" i="17"/>
  <c r="IP6" i="17"/>
  <c r="IX6" i="17"/>
  <c r="HJ3" i="17"/>
  <c r="BN3" i="17"/>
  <c r="V3" i="17"/>
  <c r="Z3" i="17"/>
  <c r="DR3" i="17"/>
  <c r="IP3" i="17"/>
  <c r="BR3" i="17"/>
  <c r="R3" i="17"/>
  <c r="AL3" i="17"/>
  <c r="CP3" i="17"/>
  <c r="EH3" i="17"/>
  <c r="HZ3" i="17"/>
  <c r="JF3" i="17"/>
  <c r="AT3" i="17"/>
  <c r="CL3" i="17"/>
  <c r="AP8" i="17"/>
  <c r="AX3" i="17"/>
  <c r="CD3" i="17"/>
  <c r="DF3" i="17"/>
  <c r="DZ3" i="17"/>
  <c r="HB3" i="17"/>
  <c r="HR3" i="17"/>
  <c r="IH3" i="17"/>
  <c r="IX3" i="17"/>
  <c r="J3" i="17"/>
  <c r="AH3" i="17"/>
  <c r="BF3" i="17"/>
  <c r="BZ3" i="17"/>
  <c r="DB3" i="17"/>
  <c r="CX3" i="17"/>
  <c r="DN3" i="17"/>
  <c r="DV3" i="17"/>
  <c r="ED3" i="17"/>
  <c r="EL3" i="17"/>
  <c r="HF3" i="17"/>
  <c r="HN3" i="17"/>
  <c r="HV3" i="17"/>
  <c r="ID3" i="17"/>
  <c r="IL3" i="17"/>
  <c r="IT3" i="17"/>
  <c r="JB3" i="17"/>
  <c r="F3" i="17"/>
  <c r="N3" i="17"/>
  <c r="AD3" i="17"/>
  <c r="AP3" i="17"/>
  <c r="BB3" i="17"/>
  <c r="BJ3" i="17"/>
  <c r="BV3" i="17"/>
  <c r="CH3" i="17"/>
  <c r="CT3" i="17"/>
  <c r="JF6" i="17"/>
  <c r="JK3" i="17"/>
  <c r="IX10" i="17"/>
  <c r="HR10" i="17"/>
  <c r="DF10" i="17"/>
  <c r="Z8" i="17"/>
  <c r="BF8" i="17"/>
  <c r="JB10" i="17"/>
  <c r="IT10" i="17"/>
  <c r="HZ10" i="17"/>
  <c r="HJ10" i="17"/>
  <c r="EL10" i="17"/>
  <c r="BZ10" i="17"/>
  <c r="R8" i="17"/>
  <c r="AH8" i="17"/>
  <c r="AX8" i="17"/>
  <c r="BN8" i="17"/>
  <c r="DV10" i="17"/>
  <c r="CP10" i="17"/>
  <c r="AT10" i="17"/>
  <c r="IL10" i="17"/>
  <c r="ID10" i="17"/>
  <c r="HV10" i="17"/>
  <c r="HN10" i="17"/>
  <c r="HF10" i="17"/>
  <c r="J10" i="17"/>
  <c r="ED10" i="17"/>
  <c r="DN10" i="17"/>
  <c r="CX10" i="17"/>
  <c r="CH10" i="17"/>
  <c r="BJ10" i="17"/>
  <c r="AD10" i="17"/>
  <c r="F8" i="17"/>
  <c r="N8" i="17"/>
  <c r="V8" i="17"/>
  <c r="AD8" i="17"/>
  <c r="AL8" i="17"/>
  <c r="AT8" i="17"/>
  <c r="BB8" i="17"/>
  <c r="BJ8" i="17"/>
  <c r="BV8" i="17"/>
  <c r="BR10" i="17"/>
  <c r="BB10" i="17"/>
  <c r="AL10" i="17"/>
  <c r="V10" i="17"/>
  <c r="CP8" i="17"/>
  <c r="JN4" i="17"/>
  <c r="HB10" i="17"/>
  <c r="N10" i="17"/>
  <c r="F10" i="17"/>
  <c r="EH10" i="17"/>
  <c r="DZ10" i="17"/>
  <c r="DR10" i="17"/>
  <c r="DJ10" i="17"/>
  <c r="DB10" i="17"/>
  <c r="CT10" i="17"/>
  <c r="CL10" i="17"/>
  <c r="CD10" i="17"/>
  <c r="BV10" i="17"/>
  <c r="BN10" i="17"/>
  <c r="BF10" i="17"/>
  <c r="AX10" i="17"/>
  <c r="AP10" i="17"/>
  <c r="AH10" i="17"/>
  <c r="Z10" i="17"/>
  <c r="R10" i="17"/>
  <c r="JN8" i="17"/>
  <c r="BR8" i="17"/>
  <c r="BZ8" i="17"/>
  <c r="DF8" i="17"/>
  <c r="ED8" i="17"/>
  <c r="CH8" i="17"/>
  <c r="CX8" i="17"/>
  <c r="DN8" i="17"/>
  <c r="HV8" i="17"/>
  <c r="HF8" i="17"/>
  <c r="IL8" i="17"/>
  <c r="CD8" i="17"/>
  <c r="CL8" i="17"/>
  <c r="CT8" i="17"/>
  <c r="DB8" i="17"/>
  <c r="DJ8" i="17"/>
  <c r="DV8" i="17"/>
  <c r="EL8" i="17"/>
  <c r="HN8" i="17"/>
  <c r="ID8" i="17"/>
  <c r="IT8" i="17"/>
  <c r="DR8" i="17"/>
  <c r="DZ8" i="17"/>
  <c r="EH8" i="17"/>
  <c r="HB8" i="17"/>
  <c r="HJ8" i="17"/>
  <c r="HR8" i="17"/>
  <c r="HZ8" i="17"/>
  <c r="IH8" i="17"/>
  <c r="IP8" i="17"/>
  <c r="IX8" i="17"/>
  <c r="JN9" i="17"/>
  <c r="JK5" i="17"/>
  <c r="BJ12" i="17"/>
  <c r="DB12" i="17"/>
  <c r="CT12" i="17"/>
  <c r="BJ13" i="17"/>
  <c r="DB13" i="17"/>
  <c r="CT13" i="17"/>
  <c r="DN12" i="17"/>
  <c r="AT12" i="17"/>
  <c r="AP12" i="17"/>
  <c r="AL12" i="17"/>
  <c r="AH12" i="17"/>
  <c r="AD12" i="17"/>
  <c r="Z12" i="17"/>
  <c r="V12" i="17"/>
  <c r="R12" i="17"/>
  <c r="N12" i="17"/>
  <c r="J12" i="17"/>
  <c r="JK11" i="17"/>
  <c r="JN11" i="17"/>
  <c r="JF13" i="17"/>
  <c r="JN7" i="17"/>
  <c r="JK7" i="17"/>
  <c r="JF14" i="17"/>
  <c r="DN13" i="17"/>
  <c r="AT13" i="17"/>
  <c r="AP13" i="17"/>
  <c r="AL13" i="17"/>
  <c r="AH13" i="17"/>
  <c r="AD13" i="17"/>
  <c r="Z13" i="17"/>
  <c r="V13" i="17"/>
  <c r="R13" i="17"/>
  <c r="N13" i="17"/>
  <c r="J13" i="17"/>
  <c r="JF12" i="17"/>
  <c r="JF9" i="17"/>
  <c r="JB9" i="17"/>
  <c r="IX9" i="17"/>
  <c r="IT9" i="17"/>
  <c r="IP9" i="17"/>
  <c r="IL9" i="17"/>
  <c r="IH9" i="17"/>
  <c r="ID9" i="17"/>
  <c r="HZ9" i="17"/>
  <c r="HV9" i="17"/>
  <c r="HR9" i="17"/>
  <c r="HN9" i="17"/>
  <c r="HJ9" i="17"/>
  <c r="HF9" i="17"/>
  <c r="HB9" i="17"/>
  <c r="EL9" i="17"/>
  <c r="EH9" i="17"/>
  <c r="ED9" i="17"/>
  <c r="DZ9" i="17"/>
  <c r="DV9" i="17"/>
  <c r="DR9" i="17"/>
  <c r="DN9" i="17"/>
  <c r="DJ9" i="17"/>
  <c r="DF9" i="17"/>
  <c r="DB9" i="17"/>
  <c r="CX9" i="17"/>
  <c r="CT9" i="17"/>
  <c r="CP9" i="17"/>
  <c r="CL9" i="17"/>
  <c r="CH9" i="17"/>
  <c r="CD9" i="17"/>
  <c r="BZ9" i="17"/>
  <c r="BV9" i="17"/>
  <c r="BR9" i="17"/>
  <c r="BN9" i="17"/>
  <c r="BJ9" i="17"/>
  <c r="BF9" i="17"/>
  <c r="BB9" i="17"/>
  <c r="AX9" i="17"/>
  <c r="AT9" i="17"/>
  <c r="AP9" i="17"/>
  <c r="AL9" i="17"/>
  <c r="AH9" i="17"/>
  <c r="AD9" i="17"/>
  <c r="Z9" i="17"/>
  <c r="V9" i="17"/>
  <c r="R9" i="17"/>
  <c r="N9" i="17"/>
  <c r="J9" i="17"/>
  <c r="F9" i="17"/>
  <c r="JF5" i="17"/>
  <c r="JB5" i="17"/>
  <c r="IX5" i="17"/>
  <c r="IT5" i="17"/>
  <c r="IP5" i="17"/>
  <c r="IL5" i="17"/>
  <c r="IH5" i="17"/>
  <c r="ID5" i="17"/>
  <c r="HZ5" i="17"/>
  <c r="HV5" i="17"/>
  <c r="HR5" i="17"/>
  <c r="HN5" i="17"/>
  <c r="HJ5" i="17"/>
  <c r="HF5" i="17"/>
  <c r="HB5" i="17"/>
  <c r="EL5" i="17"/>
  <c r="EH5" i="17"/>
  <c r="ED5" i="17"/>
  <c r="DZ5" i="17"/>
  <c r="DV5" i="17"/>
  <c r="DR5" i="17"/>
  <c r="DN5" i="17"/>
  <c r="DJ5" i="17"/>
  <c r="DF5" i="17"/>
  <c r="DB5" i="17"/>
  <c r="CX5" i="17"/>
  <c r="CT5" i="17"/>
  <c r="CP5" i="17"/>
  <c r="CL5" i="17"/>
  <c r="CH5" i="17"/>
  <c r="CD5" i="17"/>
  <c r="BZ5" i="17"/>
  <c r="BV5" i="17"/>
  <c r="BR5" i="17"/>
  <c r="BN5" i="17"/>
  <c r="BJ5" i="17"/>
  <c r="BF5" i="17"/>
  <c r="BB5" i="17"/>
  <c r="AX5" i="17"/>
  <c r="AT5" i="17"/>
  <c r="AP5" i="17"/>
  <c r="AL5" i="17"/>
  <c r="AH5" i="17"/>
  <c r="AD5" i="17"/>
  <c r="Z5" i="17"/>
  <c r="V5" i="17"/>
  <c r="R5" i="17"/>
  <c r="N5" i="17"/>
  <c r="J5" i="17"/>
  <c r="F5" i="17"/>
  <c r="JF7" i="17"/>
  <c r="JB7" i="17"/>
  <c r="IX7" i="17"/>
  <c r="IT7" i="17"/>
  <c r="IP7" i="17"/>
  <c r="IL7" i="17"/>
  <c r="IH7" i="17"/>
  <c r="ID7" i="17"/>
  <c r="HZ7" i="17"/>
  <c r="HV7" i="17"/>
  <c r="HR7" i="17"/>
  <c r="HN7" i="17"/>
  <c r="HJ7" i="17"/>
  <c r="HF7" i="17"/>
  <c r="HB7" i="17"/>
  <c r="EL7" i="17"/>
  <c r="EH7" i="17"/>
  <c r="ED7" i="17"/>
  <c r="DZ7" i="17"/>
  <c r="DV7" i="17"/>
  <c r="DR7" i="17"/>
  <c r="DN7" i="17"/>
  <c r="DJ7" i="17"/>
  <c r="DF7" i="17"/>
  <c r="DB7" i="17"/>
  <c r="CX7" i="17"/>
  <c r="CT7" i="17"/>
  <c r="CP7" i="17"/>
  <c r="CL7" i="17"/>
  <c r="CH7" i="17"/>
  <c r="CD7" i="17"/>
  <c r="BZ7" i="17"/>
  <c r="BV7" i="17"/>
  <c r="BR7" i="17"/>
  <c r="BN7" i="17"/>
  <c r="BJ7" i="17"/>
  <c r="BF7" i="17"/>
  <c r="BB7" i="17"/>
  <c r="AX7" i="17"/>
  <c r="AT7" i="17"/>
  <c r="AP7" i="17"/>
  <c r="AL7" i="17"/>
  <c r="AH7" i="17"/>
  <c r="AD7" i="17"/>
  <c r="Z7" i="17"/>
  <c r="V7" i="17"/>
  <c r="R7" i="17"/>
  <c r="N7" i="17"/>
  <c r="J7" i="17"/>
  <c r="F7" i="17"/>
  <c r="JF4" i="17"/>
  <c r="JB4" i="17"/>
  <c r="IX4" i="17"/>
  <c r="IT4" i="17"/>
  <c r="IP4" i="17"/>
  <c r="IL4" i="17"/>
  <c r="IH4" i="17"/>
  <c r="ID4" i="17"/>
  <c r="HZ4" i="17"/>
  <c r="HV4" i="17"/>
  <c r="HR4" i="17"/>
  <c r="HN4" i="17"/>
  <c r="HJ4" i="17"/>
  <c r="HF4" i="17"/>
  <c r="HB4" i="17"/>
  <c r="EL4" i="17"/>
  <c r="EH4" i="17"/>
  <c r="ED4" i="17"/>
  <c r="DZ4" i="17"/>
  <c r="DV4" i="17"/>
  <c r="DR4" i="17"/>
  <c r="DN4" i="17"/>
  <c r="DJ4" i="17"/>
  <c r="DF4" i="17"/>
  <c r="DB4" i="17"/>
  <c r="CX4" i="17"/>
  <c r="CT4" i="17"/>
  <c r="CP4" i="17"/>
  <c r="CL4" i="17"/>
  <c r="CH4" i="17"/>
  <c r="CD4" i="17"/>
  <c r="BZ4" i="17"/>
  <c r="BV4" i="17"/>
  <c r="BR4" i="17"/>
  <c r="BN4" i="17"/>
  <c r="BJ4" i="17"/>
  <c r="BF4" i="17"/>
  <c r="BB4" i="17"/>
  <c r="AX4" i="17"/>
  <c r="AT4" i="17"/>
  <c r="AP4" i="17"/>
  <c r="AL4" i="17"/>
  <c r="AH4" i="17"/>
  <c r="AD4" i="17"/>
  <c r="Z4" i="17"/>
  <c r="V4" i="17"/>
  <c r="R4" i="17"/>
  <c r="N4" i="17"/>
  <c r="J4" i="17"/>
  <c r="F4" i="17"/>
  <c r="EL3" i="13"/>
  <c r="EP3" i="13"/>
  <c r="ET3" i="13"/>
  <c r="EX3" i="13"/>
  <c r="FB3" i="13"/>
  <c r="FF3" i="13"/>
  <c r="FJ3" i="13"/>
  <c r="FV3" i="13"/>
  <c r="FN3" i="13"/>
  <c r="FJ3" i="10"/>
  <c r="FN3" i="10"/>
  <c r="FR3" i="10"/>
  <c r="JJ11" i="17" l="1"/>
  <c r="JM11" i="17" s="1"/>
  <c r="JJ4" i="17"/>
  <c r="JJ7" i="17"/>
  <c r="JM7" i="17" s="1"/>
  <c r="JJ5" i="17"/>
  <c r="JJ10" i="17"/>
  <c r="JM10" i="17" s="1"/>
  <c r="JJ9" i="17"/>
  <c r="JM9" i="17" s="1"/>
  <c r="JJ8" i="17"/>
  <c r="JM8" i="17" s="1"/>
  <c r="BJ15" i="17"/>
  <c r="CT15" i="17"/>
  <c r="DB15" i="17"/>
  <c r="JJ3" i="17"/>
  <c r="JM3" i="17" s="1"/>
  <c r="JJ6" i="17"/>
  <c r="JM6" i="17" s="1"/>
  <c r="JK16" i="17"/>
  <c r="JN16" i="17" s="1"/>
  <c r="JB13" i="17"/>
  <c r="JE13" i="17" s="1"/>
  <c r="JH13" i="17" s="1"/>
  <c r="JB12" i="17"/>
  <c r="JE12" i="17" s="1"/>
  <c r="JH12" i="17" s="1"/>
  <c r="BJ14" i="17"/>
  <c r="DB14" i="17"/>
  <c r="CT14" i="17"/>
  <c r="JM4" i="17"/>
  <c r="JM5" i="17"/>
  <c r="JM16" i="17" l="1"/>
  <c r="JB14" i="17"/>
  <c r="JE14" i="17" s="1"/>
  <c r="JH14" i="17" s="1"/>
  <c r="GU4" i="4" l="1"/>
  <c r="GU5" i="4"/>
  <c r="GU6" i="4"/>
  <c r="GU7" i="4"/>
  <c r="GU8" i="4"/>
  <c r="GU9" i="4"/>
  <c r="GU10" i="4"/>
  <c r="GU11" i="4"/>
  <c r="GU3" i="4"/>
  <c r="DY4" i="4"/>
  <c r="DY5" i="4"/>
  <c r="DY6" i="4"/>
  <c r="DY7" i="4"/>
  <c r="DY8" i="4"/>
  <c r="DY9" i="4"/>
  <c r="DY10" i="4"/>
  <c r="DY11" i="4"/>
  <c r="DY3" i="4"/>
  <c r="DU4" i="4"/>
  <c r="DU5" i="4"/>
  <c r="DU6" i="4"/>
  <c r="DU7" i="4"/>
  <c r="DU8" i="4"/>
  <c r="DU9" i="4"/>
  <c r="DU10" i="4"/>
  <c r="DU11" i="4"/>
  <c r="DU3" i="4"/>
  <c r="DQ4" i="4"/>
  <c r="DQ5" i="4"/>
  <c r="DQ6" i="4"/>
  <c r="DQ7" i="4"/>
  <c r="DQ8" i="4"/>
  <c r="DQ9" i="4"/>
  <c r="DQ10" i="4"/>
  <c r="DQ11" i="4"/>
  <c r="DQ3" i="4"/>
  <c r="DM4" i="4"/>
  <c r="DM5" i="4"/>
  <c r="DM6" i="4"/>
  <c r="DM7" i="4"/>
  <c r="DM8" i="4"/>
  <c r="DM9" i="4"/>
  <c r="DM10" i="4"/>
  <c r="DM11" i="4"/>
  <c r="DM3" i="4"/>
  <c r="DI4" i="4"/>
  <c r="DI5" i="4"/>
  <c r="DI6" i="4"/>
  <c r="DI7" i="4"/>
  <c r="DI8" i="4"/>
  <c r="DI9" i="4"/>
  <c r="DI10" i="4"/>
  <c r="DI11" i="4"/>
  <c r="DI3" i="4"/>
  <c r="GS4" i="4"/>
  <c r="GS5" i="4"/>
  <c r="GS6" i="4"/>
  <c r="GS7" i="4"/>
  <c r="GS8" i="4"/>
  <c r="GS9" i="4"/>
  <c r="GS10" i="4"/>
  <c r="GS11" i="4"/>
  <c r="GS3" i="4"/>
  <c r="GO4" i="4"/>
  <c r="GO5" i="4"/>
  <c r="GO6" i="4"/>
  <c r="GO7" i="4"/>
  <c r="GO8" i="4"/>
  <c r="GO9" i="4"/>
  <c r="GO10" i="4"/>
  <c r="GO11" i="4"/>
  <c r="GO3" i="4"/>
  <c r="GK4" i="4"/>
  <c r="GK5" i="4"/>
  <c r="GK6" i="4"/>
  <c r="GK7" i="4"/>
  <c r="GK8" i="4"/>
  <c r="GK9" i="4"/>
  <c r="GK10" i="4"/>
  <c r="GK11" i="4"/>
  <c r="GK3" i="4"/>
  <c r="GG4" i="4"/>
  <c r="GG5" i="4"/>
  <c r="GG6" i="4"/>
  <c r="GG7" i="4"/>
  <c r="GG8" i="4"/>
  <c r="GG9" i="4"/>
  <c r="GG10" i="4"/>
  <c r="GG11" i="4"/>
  <c r="GG3" i="4"/>
  <c r="GC4" i="4"/>
  <c r="GC5" i="4"/>
  <c r="GC6" i="4"/>
  <c r="GC7" i="4"/>
  <c r="GC8" i="4"/>
  <c r="GC9" i="4"/>
  <c r="GC10" i="4"/>
  <c r="GC11" i="4"/>
  <c r="GC3" i="4"/>
  <c r="FY4" i="4"/>
  <c r="FY5" i="4"/>
  <c r="FY6" i="4"/>
  <c r="FY7" i="4"/>
  <c r="FY8" i="4"/>
  <c r="FY9" i="4"/>
  <c r="FY10" i="4"/>
  <c r="FY11" i="4"/>
  <c r="FY3" i="4"/>
  <c r="FU4" i="4"/>
  <c r="FU5" i="4"/>
  <c r="FU6" i="4"/>
  <c r="FU7" i="4"/>
  <c r="FU8" i="4"/>
  <c r="FU9" i="4"/>
  <c r="FU10" i="4"/>
  <c r="FU11" i="4"/>
  <c r="FU3" i="4"/>
  <c r="FQ4" i="4"/>
  <c r="FQ5" i="4"/>
  <c r="FQ6" i="4"/>
  <c r="FQ7" i="4"/>
  <c r="FQ8" i="4"/>
  <c r="FQ9" i="4"/>
  <c r="FQ10" i="4"/>
  <c r="FQ11" i="4"/>
  <c r="FQ3" i="4"/>
  <c r="FM4" i="4"/>
  <c r="FM5" i="4"/>
  <c r="FM6" i="4"/>
  <c r="FM7" i="4"/>
  <c r="FM8" i="4"/>
  <c r="FM9" i="4"/>
  <c r="FM10" i="4"/>
  <c r="FM11" i="4"/>
  <c r="FM3" i="4"/>
  <c r="FI11" i="4"/>
  <c r="FE11" i="4"/>
  <c r="FA11" i="4"/>
  <c r="EW11" i="4"/>
  <c r="ES11" i="4"/>
  <c r="EO11" i="4"/>
  <c r="EK11" i="4"/>
  <c r="EG11" i="4"/>
  <c r="EC11" i="4"/>
  <c r="FI10" i="4"/>
  <c r="FE10" i="4"/>
  <c r="FA10" i="4"/>
  <c r="EW10" i="4"/>
  <c r="ES10" i="4"/>
  <c r="EO10" i="4"/>
  <c r="EK10" i="4"/>
  <c r="EG10" i="4"/>
  <c r="EC10" i="4"/>
  <c r="FI9" i="4"/>
  <c r="FE9" i="4"/>
  <c r="FA9" i="4"/>
  <c r="EW9" i="4"/>
  <c r="ES9" i="4"/>
  <c r="EO9" i="4"/>
  <c r="EK9" i="4"/>
  <c r="EG9" i="4"/>
  <c r="EC9" i="4"/>
  <c r="FI8" i="4"/>
  <c r="FE8" i="4"/>
  <c r="FA8" i="4"/>
  <c r="EW8" i="4"/>
  <c r="ES8" i="4"/>
  <c r="EO8" i="4"/>
  <c r="EK8" i="4"/>
  <c r="EG8" i="4"/>
  <c r="EC8" i="4"/>
  <c r="FI7" i="4"/>
  <c r="FE7" i="4"/>
  <c r="FA7" i="4"/>
  <c r="EW7" i="4"/>
  <c r="ES7" i="4"/>
  <c r="EO7" i="4"/>
  <c r="EK7" i="4"/>
  <c r="EG7" i="4"/>
  <c r="EC7" i="4"/>
  <c r="FI6" i="4"/>
  <c r="FE6" i="4"/>
  <c r="FA6" i="4"/>
  <c r="EW6" i="4"/>
  <c r="ES6" i="4"/>
  <c r="EO6" i="4"/>
  <c r="EK6" i="4"/>
  <c r="EG6" i="4"/>
  <c r="EC6" i="4"/>
  <c r="FI5" i="4"/>
  <c r="FE5" i="4"/>
  <c r="FA5" i="4"/>
  <c r="EW5" i="4"/>
  <c r="ES5" i="4"/>
  <c r="EO5" i="4"/>
  <c r="EK5" i="4"/>
  <c r="EG5" i="4"/>
  <c r="EC5" i="4"/>
  <c r="FI4" i="4"/>
  <c r="FE4" i="4"/>
  <c r="FA4" i="4"/>
  <c r="EW4" i="4"/>
  <c r="ES4" i="4"/>
  <c r="EO4" i="4"/>
  <c r="EK4" i="4"/>
  <c r="EG4" i="4"/>
  <c r="EC4" i="4"/>
  <c r="FI3" i="4"/>
  <c r="FE3" i="4"/>
  <c r="FA3" i="4"/>
  <c r="EW3" i="4"/>
  <c r="ES3" i="4"/>
  <c r="EO3" i="4"/>
  <c r="EK3" i="4"/>
  <c r="EG3" i="4"/>
  <c r="EC3" i="4"/>
  <c r="DE4" i="4"/>
  <c r="DE5" i="4"/>
  <c r="DE6" i="4"/>
  <c r="DE7" i="4"/>
  <c r="DE8" i="4"/>
  <c r="DE9" i="4"/>
  <c r="DE10" i="4"/>
  <c r="DE11" i="4"/>
  <c r="DE3" i="4"/>
  <c r="DA4" i="4"/>
  <c r="DA5" i="4"/>
  <c r="DA6" i="4"/>
  <c r="DA7" i="4"/>
  <c r="DA8" i="4"/>
  <c r="DA9" i="4"/>
  <c r="DA10" i="4"/>
  <c r="DA11" i="4"/>
  <c r="DA12" i="4"/>
  <c r="DA13" i="4"/>
  <c r="DA14" i="4"/>
  <c r="DA3" i="4"/>
  <c r="CW4" i="4"/>
  <c r="CW5" i="4"/>
  <c r="CW6" i="4"/>
  <c r="CW7" i="4"/>
  <c r="CW8" i="4"/>
  <c r="CW9" i="4"/>
  <c r="CW10" i="4"/>
  <c r="CW11" i="4"/>
  <c r="CW3" i="4"/>
  <c r="CS4" i="4"/>
  <c r="CS5" i="4"/>
  <c r="CS6" i="4"/>
  <c r="CS7" i="4"/>
  <c r="CS8" i="4"/>
  <c r="CS9" i="4"/>
  <c r="CS10" i="4"/>
  <c r="CS11" i="4"/>
  <c r="CS3" i="4"/>
  <c r="CO4" i="4"/>
  <c r="CO5" i="4"/>
  <c r="CO6" i="4"/>
  <c r="CO7" i="4"/>
  <c r="CO8" i="4"/>
  <c r="CO9" i="4"/>
  <c r="CO10" i="4"/>
  <c r="CO11" i="4"/>
  <c r="CO3" i="4"/>
  <c r="EK14" i="16" l="1"/>
  <c r="DN14" i="16" s="1"/>
  <c r="EI14" i="16"/>
  <c r="AT14" i="16"/>
  <c r="AS14" i="16"/>
  <c r="AP14" i="16"/>
  <c r="AO14" i="16"/>
  <c r="AL14" i="16"/>
  <c r="AK14" i="16"/>
  <c r="AH14" i="16"/>
  <c r="AG14" i="16"/>
  <c r="AD14" i="16"/>
  <c r="AC14" i="16"/>
  <c r="Z14" i="16"/>
  <c r="Y14" i="16"/>
  <c r="V14" i="16"/>
  <c r="U14" i="16"/>
  <c r="R14" i="16"/>
  <c r="Q14" i="16"/>
  <c r="N14" i="16"/>
  <c r="M14" i="16"/>
  <c r="J14" i="16"/>
  <c r="I14" i="16"/>
  <c r="F14" i="16"/>
  <c r="E14" i="16"/>
  <c r="EJ14" i="16" s="1"/>
  <c r="EK13" i="16"/>
  <c r="DN13" i="16" s="1"/>
  <c r="AS13" i="16"/>
  <c r="AO13" i="16"/>
  <c r="AK13" i="16"/>
  <c r="AG13" i="16"/>
  <c r="AC13" i="16"/>
  <c r="Y13" i="16"/>
  <c r="U13" i="16"/>
  <c r="Q13" i="16"/>
  <c r="M13" i="16"/>
  <c r="I13" i="16"/>
  <c r="D13" i="16"/>
  <c r="C13" i="16"/>
  <c r="EI13" i="16" s="1"/>
  <c r="EK12" i="16"/>
  <c r="DN12" i="16" s="1"/>
  <c r="AS12" i="16"/>
  <c r="AO12" i="16"/>
  <c r="AK12" i="16"/>
  <c r="AG12" i="16"/>
  <c r="AC12" i="16"/>
  <c r="Y12" i="16"/>
  <c r="U12" i="16"/>
  <c r="Q12" i="16"/>
  <c r="M12" i="16"/>
  <c r="H12" i="16"/>
  <c r="I12" i="16" s="1"/>
  <c r="G12" i="16"/>
  <c r="D12" i="16"/>
  <c r="C12" i="16"/>
  <c r="GC11" i="16"/>
  <c r="FZ11" i="16" s="1"/>
  <c r="GA11" i="16"/>
  <c r="FY11" i="16"/>
  <c r="FU11" i="16"/>
  <c r="FQ11" i="16"/>
  <c r="FM11" i="16"/>
  <c r="FI11" i="16"/>
  <c r="FE11" i="16"/>
  <c r="FA11" i="16"/>
  <c r="EW11" i="16"/>
  <c r="ES11" i="16"/>
  <c r="EO11" i="16"/>
  <c r="EK11" i="16"/>
  <c r="EG11" i="16"/>
  <c r="EC11" i="16"/>
  <c r="DY11" i="16"/>
  <c r="DU11" i="16"/>
  <c r="DQ11" i="16"/>
  <c r="DM11" i="16"/>
  <c r="DI11" i="16"/>
  <c r="DE11" i="16"/>
  <c r="DA11" i="16"/>
  <c r="CW11" i="16"/>
  <c r="CS11" i="16"/>
  <c r="CO11" i="16"/>
  <c r="CK11" i="16"/>
  <c r="CG11" i="16"/>
  <c r="CC11" i="16"/>
  <c r="BY11" i="16"/>
  <c r="BU11" i="16"/>
  <c r="BQ11" i="16"/>
  <c r="BM11" i="16"/>
  <c r="BI11" i="16"/>
  <c r="BE11" i="16"/>
  <c r="BA11" i="16"/>
  <c r="AW11" i="16"/>
  <c r="AS11" i="16"/>
  <c r="AO11" i="16"/>
  <c r="AK11" i="16"/>
  <c r="AG11" i="16"/>
  <c r="AC11" i="16"/>
  <c r="Y11" i="16"/>
  <c r="U11" i="16"/>
  <c r="Q11" i="16"/>
  <c r="M11" i="16"/>
  <c r="I11" i="16"/>
  <c r="E11" i="16"/>
  <c r="GC10" i="16"/>
  <c r="FZ10" i="16" s="1"/>
  <c r="GA10" i="16"/>
  <c r="FY10" i="16"/>
  <c r="FU10" i="16"/>
  <c r="FQ10" i="16"/>
  <c r="FM10" i="16"/>
  <c r="FI10" i="16"/>
  <c r="FE10" i="16"/>
  <c r="FA10" i="16"/>
  <c r="EW10" i="16"/>
  <c r="ES10" i="16"/>
  <c r="EO10" i="16"/>
  <c r="EK10" i="16"/>
  <c r="EG10" i="16"/>
  <c r="EC10" i="16"/>
  <c r="DY10" i="16"/>
  <c r="DU10" i="16"/>
  <c r="DQ10" i="16"/>
  <c r="DM10" i="16"/>
  <c r="DI10" i="16"/>
  <c r="DE10" i="16"/>
  <c r="DA10" i="16"/>
  <c r="CW10" i="16"/>
  <c r="CS10" i="16"/>
  <c r="CO10" i="16"/>
  <c r="CK10" i="16"/>
  <c r="CG10" i="16"/>
  <c r="CC10" i="16"/>
  <c r="BY10" i="16"/>
  <c r="BU10" i="16"/>
  <c r="BQ10" i="16"/>
  <c r="BM10" i="16"/>
  <c r="BI10" i="16"/>
  <c r="BE10" i="16"/>
  <c r="BA10" i="16"/>
  <c r="AW10" i="16"/>
  <c r="AS10" i="16"/>
  <c r="AO10" i="16"/>
  <c r="AK10" i="16"/>
  <c r="AG10" i="16"/>
  <c r="AC10" i="16"/>
  <c r="Y10" i="16"/>
  <c r="U10" i="16"/>
  <c r="Q10" i="16"/>
  <c r="M10" i="16"/>
  <c r="I10" i="16"/>
  <c r="E10" i="16"/>
  <c r="GC9" i="16"/>
  <c r="DR9" i="16" s="1"/>
  <c r="GA9" i="16"/>
  <c r="FY9" i="16"/>
  <c r="FU9" i="16"/>
  <c r="FQ9" i="16"/>
  <c r="FM9" i="16"/>
  <c r="FI9" i="16"/>
  <c r="FE9" i="16"/>
  <c r="FA9" i="16"/>
  <c r="EW9" i="16"/>
  <c r="ES9" i="16"/>
  <c r="EO9" i="16"/>
  <c r="EK9" i="16"/>
  <c r="EG9" i="16"/>
  <c r="EC9" i="16"/>
  <c r="DY9" i="16"/>
  <c r="DU9" i="16"/>
  <c r="DQ9" i="16"/>
  <c r="DM9" i="16"/>
  <c r="DI9" i="16"/>
  <c r="DE9" i="16"/>
  <c r="DA9" i="16"/>
  <c r="CW9" i="16"/>
  <c r="CS9" i="16"/>
  <c r="CO9" i="16"/>
  <c r="CK9" i="16"/>
  <c r="CG9" i="16"/>
  <c r="CC9" i="16"/>
  <c r="BY9" i="16"/>
  <c r="BU9" i="16"/>
  <c r="BQ9" i="16"/>
  <c r="BM9" i="16"/>
  <c r="BI9" i="16"/>
  <c r="BE9" i="16"/>
  <c r="BA9" i="16"/>
  <c r="AW9" i="16"/>
  <c r="AS9" i="16"/>
  <c r="AO9" i="16"/>
  <c r="AK9" i="16"/>
  <c r="AG9" i="16"/>
  <c r="AC9" i="16"/>
  <c r="Y9" i="16"/>
  <c r="U9" i="16"/>
  <c r="Q9" i="16"/>
  <c r="M9" i="16"/>
  <c r="I9" i="16"/>
  <c r="E9" i="16"/>
  <c r="GC8" i="16"/>
  <c r="FZ8" i="16" s="1"/>
  <c r="GA8" i="16"/>
  <c r="FY8" i="16"/>
  <c r="FU8" i="16"/>
  <c r="FQ8" i="16"/>
  <c r="FM8" i="16"/>
  <c r="FI8" i="16"/>
  <c r="FE8" i="16"/>
  <c r="FA8" i="16"/>
  <c r="EW8" i="16"/>
  <c r="ES8" i="16"/>
  <c r="EO8" i="16"/>
  <c r="EK8" i="16"/>
  <c r="EG8" i="16"/>
  <c r="EC8" i="16"/>
  <c r="DY8" i="16"/>
  <c r="DU8" i="16"/>
  <c r="DQ8" i="16"/>
  <c r="DM8" i="16"/>
  <c r="DI8" i="16"/>
  <c r="DE8" i="16"/>
  <c r="DA8" i="16"/>
  <c r="CW8" i="16"/>
  <c r="CS8" i="16"/>
  <c r="CO8" i="16"/>
  <c r="CK8" i="16"/>
  <c r="CG8" i="16"/>
  <c r="CC8" i="16"/>
  <c r="BY8" i="16"/>
  <c r="BU8" i="16"/>
  <c r="BQ8" i="16"/>
  <c r="BM8" i="16"/>
  <c r="BI8" i="16"/>
  <c r="BE8" i="16"/>
  <c r="BA8" i="16"/>
  <c r="AW8" i="16"/>
  <c r="AS8" i="16"/>
  <c r="AO8" i="16"/>
  <c r="AK8" i="16"/>
  <c r="AG8" i="16"/>
  <c r="AC8" i="16"/>
  <c r="Y8" i="16"/>
  <c r="U8" i="16"/>
  <c r="Q8" i="16"/>
  <c r="M8" i="16"/>
  <c r="I8" i="16"/>
  <c r="F8" i="16"/>
  <c r="E8" i="16"/>
  <c r="GC7" i="16"/>
  <c r="GA7" i="16"/>
  <c r="FY7" i="16"/>
  <c r="FU7" i="16"/>
  <c r="FQ7" i="16"/>
  <c r="FM7" i="16"/>
  <c r="FI7" i="16"/>
  <c r="FE7" i="16"/>
  <c r="FA7" i="16"/>
  <c r="EW7" i="16"/>
  <c r="ES7" i="16"/>
  <c r="EO7" i="16"/>
  <c r="EK7" i="16"/>
  <c r="EG7" i="16"/>
  <c r="EC7" i="16"/>
  <c r="DY7" i="16"/>
  <c r="DU7" i="16"/>
  <c r="DQ7" i="16"/>
  <c r="DM7" i="16"/>
  <c r="DI7" i="16"/>
  <c r="DE7" i="16"/>
  <c r="DA7" i="16"/>
  <c r="CW7" i="16"/>
  <c r="CS7" i="16"/>
  <c r="CO7" i="16"/>
  <c r="CK7" i="16"/>
  <c r="CG7" i="16"/>
  <c r="CC7" i="16"/>
  <c r="BY7" i="16"/>
  <c r="BU7" i="16"/>
  <c r="BQ7" i="16"/>
  <c r="BM7" i="16"/>
  <c r="BI7" i="16"/>
  <c r="BE7" i="16"/>
  <c r="BA7" i="16"/>
  <c r="AW7" i="16"/>
  <c r="AS7" i="16"/>
  <c r="AO7" i="16"/>
  <c r="AK7" i="16"/>
  <c r="AG7" i="16"/>
  <c r="AC7" i="16"/>
  <c r="Y7" i="16"/>
  <c r="U7" i="16"/>
  <c r="Q7" i="16"/>
  <c r="M7" i="16"/>
  <c r="I7" i="16"/>
  <c r="E7" i="16"/>
  <c r="GC6" i="16"/>
  <c r="FZ6" i="16" s="1"/>
  <c r="GA6" i="16"/>
  <c r="FY6" i="16"/>
  <c r="FU6" i="16"/>
  <c r="FQ6" i="16"/>
  <c r="FM6" i="16"/>
  <c r="FI6" i="16"/>
  <c r="FE6" i="16"/>
  <c r="FA6" i="16"/>
  <c r="EW6" i="16"/>
  <c r="ES6" i="16"/>
  <c r="EO6" i="16"/>
  <c r="EK6" i="16"/>
  <c r="EG6" i="16"/>
  <c r="EC6" i="16"/>
  <c r="DY6" i="16"/>
  <c r="DU6" i="16"/>
  <c r="DQ6" i="16"/>
  <c r="DM6" i="16"/>
  <c r="DI6" i="16"/>
  <c r="DE6" i="16"/>
  <c r="DA6" i="16"/>
  <c r="CW6" i="16"/>
  <c r="CS6" i="16"/>
  <c r="CO6" i="16"/>
  <c r="CK6" i="16"/>
  <c r="CG6" i="16"/>
  <c r="CC6" i="16"/>
  <c r="BY6" i="16"/>
  <c r="BU6" i="16"/>
  <c r="BQ6" i="16"/>
  <c r="BM6" i="16"/>
  <c r="BI6" i="16"/>
  <c r="BE6" i="16"/>
  <c r="BA6" i="16"/>
  <c r="AW6" i="16"/>
  <c r="AS6" i="16"/>
  <c r="AO6" i="16"/>
  <c r="AK6" i="16"/>
  <c r="AG6" i="16"/>
  <c r="AC6" i="16"/>
  <c r="Y6" i="16"/>
  <c r="U6" i="16"/>
  <c r="Q6" i="16"/>
  <c r="M6" i="16"/>
  <c r="I6" i="16"/>
  <c r="E6" i="16"/>
  <c r="GC5" i="16"/>
  <c r="FZ5" i="16" s="1"/>
  <c r="GA5" i="16"/>
  <c r="FY5" i="16"/>
  <c r="FU5" i="16"/>
  <c r="FQ5" i="16"/>
  <c r="FM5" i="16"/>
  <c r="FI5" i="16"/>
  <c r="FE5" i="16"/>
  <c r="FA5" i="16"/>
  <c r="EW5" i="16"/>
  <c r="ES5" i="16"/>
  <c r="EO5" i="16"/>
  <c r="EK5" i="16"/>
  <c r="EG5" i="16"/>
  <c r="EC5" i="16"/>
  <c r="DY5" i="16"/>
  <c r="DU5" i="16"/>
  <c r="DQ5" i="16"/>
  <c r="DM5" i="16"/>
  <c r="DI5" i="16"/>
  <c r="DE5" i="16"/>
  <c r="DA5" i="16"/>
  <c r="CW5" i="16"/>
  <c r="CS5" i="16"/>
  <c r="CO5" i="16"/>
  <c r="CK5" i="16"/>
  <c r="CG5" i="16"/>
  <c r="CC5" i="16"/>
  <c r="BY5" i="16"/>
  <c r="BU5" i="16"/>
  <c r="BQ5" i="16"/>
  <c r="BM5" i="16"/>
  <c r="BI5" i="16"/>
  <c r="BE5" i="16"/>
  <c r="BA5" i="16"/>
  <c r="AW5" i="16"/>
  <c r="AS5" i="16"/>
  <c r="AO5" i="16"/>
  <c r="AK5" i="16"/>
  <c r="AG5" i="16"/>
  <c r="AC5" i="16"/>
  <c r="Y5" i="16"/>
  <c r="U5" i="16"/>
  <c r="Q5" i="16"/>
  <c r="M5" i="16"/>
  <c r="I5" i="16"/>
  <c r="E5" i="16"/>
  <c r="GC4" i="16"/>
  <c r="FZ4" i="16" s="1"/>
  <c r="GA4" i="16"/>
  <c r="FY4" i="16"/>
  <c r="FU4" i="16"/>
  <c r="FQ4" i="16"/>
  <c r="FM4" i="16"/>
  <c r="FI4" i="16"/>
  <c r="FE4" i="16"/>
  <c r="FA4" i="16"/>
  <c r="EW4" i="16"/>
  <c r="ES4" i="16"/>
  <c r="EO4" i="16"/>
  <c r="EK4" i="16"/>
  <c r="EG4" i="16"/>
  <c r="EC4" i="16"/>
  <c r="DY4" i="16"/>
  <c r="DU4" i="16"/>
  <c r="DQ4" i="16"/>
  <c r="DM4" i="16"/>
  <c r="DI4" i="16"/>
  <c r="DE4" i="16"/>
  <c r="DA4" i="16"/>
  <c r="CW4" i="16"/>
  <c r="CS4" i="16"/>
  <c r="CO4" i="16"/>
  <c r="CK4" i="16"/>
  <c r="CG4" i="16"/>
  <c r="CC4" i="16"/>
  <c r="BY4" i="16"/>
  <c r="BU4" i="16"/>
  <c r="BQ4" i="16"/>
  <c r="BM4" i="16"/>
  <c r="BI4" i="16"/>
  <c r="BE4" i="16"/>
  <c r="BA4" i="16"/>
  <c r="AW4" i="16"/>
  <c r="AS4" i="16"/>
  <c r="AO4" i="16"/>
  <c r="AK4" i="16"/>
  <c r="AG4" i="16"/>
  <c r="AC4" i="16"/>
  <c r="Y4" i="16"/>
  <c r="U4" i="16"/>
  <c r="Q4" i="16"/>
  <c r="M4" i="16"/>
  <c r="I4" i="16"/>
  <c r="E4" i="16"/>
  <c r="GC3" i="16"/>
  <c r="FZ3" i="16" s="1"/>
  <c r="GA3" i="16"/>
  <c r="FY3" i="16"/>
  <c r="FU3" i="16"/>
  <c r="FQ3" i="16"/>
  <c r="FM3" i="16"/>
  <c r="FJ3" i="16"/>
  <c r="FI3" i="16"/>
  <c r="FF3" i="16"/>
  <c r="FE3" i="16"/>
  <c r="FA3" i="16"/>
  <c r="EW3" i="16"/>
  <c r="ES3" i="16"/>
  <c r="EO3" i="16"/>
  <c r="EL3" i="16"/>
  <c r="EK3" i="16"/>
  <c r="EH3" i="16"/>
  <c r="EG3" i="16"/>
  <c r="EC3" i="16"/>
  <c r="DY3" i="16"/>
  <c r="DU3" i="16"/>
  <c r="DQ3" i="16"/>
  <c r="DN3" i="16"/>
  <c r="DM3" i="16"/>
  <c r="DJ3" i="16"/>
  <c r="DI3" i="16"/>
  <c r="DE3" i="16"/>
  <c r="DA3" i="16"/>
  <c r="CW3" i="16"/>
  <c r="CS3" i="16"/>
  <c r="CP3" i="16"/>
  <c r="CO3" i="16"/>
  <c r="CL3" i="16"/>
  <c r="CK3" i="16"/>
  <c r="CG3" i="16"/>
  <c r="CC3" i="16"/>
  <c r="BY3" i="16"/>
  <c r="BU3" i="16"/>
  <c r="BR3" i="16"/>
  <c r="BQ3" i="16"/>
  <c r="BN3" i="16"/>
  <c r="BM3" i="16"/>
  <c r="BI3" i="16"/>
  <c r="BE3" i="16"/>
  <c r="BA3" i="16"/>
  <c r="AW3" i="16"/>
  <c r="AT3" i="16"/>
  <c r="AS3" i="16"/>
  <c r="AP3" i="16"/>
  <c r="AO3" i="16"/>
  <c r="AK3" i="16"/>
  <c r="AG3" i="16"/>
  <c r="AC3" i="16"/>
  <c r="Y3" i="16"/>
  <c r="V3" i="16"/>
  <c r="U3" i="16"/>
  <c r="R3" i="16"/>
  <c r="Q3" i="16"/>
  <c r="M3" i="16"/>
  <c r="I3" i="16"/>
  <c r="E3" i="16"/>
  <c r="GB9" i="16" l="1"/>
  <c r="BF5" i="16"/>
  <c r="Z3" i="16"/>
  <c r="AX3" i="16"/>
  <c r="BV3" i="16"/>
  <c r="CT3" i="16"/>
  <c r="DR3" i="16"/>
  <c r="EP3" i="16"/>
  <c r="FN3" i="16"/>
  <c r="AH5" i="16"/>
  <c r="GB3" i="16"/>
  <c r="GH3" i="16" s="1"/>
  <c r="N5" i="16"/>
  <c r="AL5" i="16"/>
  <c r="BJ5" i="16"/>
  <c r="CH5" i="16"/>
  <c r="DF5" i="16"/>
  <c r="J5" i="16"/>
  <c r="DB5" i="16"/>
  <c r="F3" i="16"/>
  <c r="AD3" i="16"/>
  <c r="BB3" i="16"/>
  <c r="BZ3" i="16"/>
  <c r="CX3" i="16"/>
  <c r="DV3" i="16"/>
  <c r="ET3" i="16"/>
  <c r="FR3" i="16"/>
  <c r="GB5" i="16"/>
  <c r="GE5" i="16" s="1"/>
  <c r="EL14" i="16"/>
  <c r="EO14" i="16" s="1"/>
  <c r="R5" i="16"/>
  <c r="AP5" i="16"/>
  <c r="BN5" i="16"/>
  <c r="CL5" i="16"/>
  <c r="DJ5" i="16"/>
  <c r="J3" i="16"/>
  <c r="GD3" i="16" s="1"/>
  <c r="GG3" i="16" s="1"/>
  <c r="AH3" i="16"/>
  <c r="BF3" i="16"/>
  <c r="CD3" i="16"/>
  <c r="DB3" i="16"/>
  <c r="DZ3" i="16"/>
  <c r="EX3" i="16"/>
  <c r="FV3" i="16"/>
  <c r="V5" i="16"/>
  <c r="AT5" i="16"/>
  <c r="BR5" i="16"/>
  <c r="CP5" i="16"/>
  <c r="DN5" i="16"/>
  <c r="CD5" i="16"/>
  <c r="N3" i="16"/>
  <c r="AL3" i="16"/>
  <c r="BJ3" i="16"/>
  <c r="CH3" i="16"/>
  <c r="DF3" i="16"/>
  <c r="ED3" i="16"/>
  <c r="FB3" i="16"/>
  <c r="Z5" i="16"/>
  <c r="AX5" i="16"/>
  <c r="BV5" i="16"/>
  <c r="CT5" i="16"/>
  <c r="EI12" i="16"/>
  <c r="GB11" i="16"/>
  <c r="GE11" i="16" s="1"/>
  <c r="F5" i="16"/>
  <c r="AD5" i="16"/>
  <c r="BB5" i="16"/>
  <c r="BZ5" i="16"/>
  <c r="CX5" i="16"/>
  <c r="GB10" i="16"/>
  <c r="F10" i="16"/>
  <c r="J10" i="16"/>
  <c r="N10" i="16"/>
  <c r="R10" i="16"/>
  <c r="V10" i="16"/>
  <c r="Z10" i="16"/>
  <c r="AD10" i="16"/>
  <c r="AH10" i="16"/>
  <c r="AL10" i="16"/>
  <c r="AP10" i="16"/>
  <c r="AT10" i="16"/>
  <c r="AX10" i="16"/>
  <c r="BB10" i="16"/>
  <c r="BF10" i="16"/>
  <c r="BJ10" i="16"/>
  <c r="BN10" i="16"/>
  <c r="BR10" i="16"/>
  <c r="BV10" i="16"/>
  <c r="BZ10" i="16"/>
  <c r="CD10" i="16"/>
  <c r="J8" i="16"/>
  <c r="N8" i="16"/>
  <c r="R8" i="16"/>
  <c r="GB8" i="16"/>
  <c r="CH10" i="16"/>
  <c r="CL10" i="16"/>
  <c r="CP10" i="16"/>
  <c r="CT10" i="16"/>
  <c r="CX10" i="16"/>
  <c r="DB10" i="16"/>
  <c r="DF10" i="16"/>
  <c r="DJ10" i="16"/>
  <c r="DN10" i="16"/>
  <c r="DR10" i="16"/>
  <c r="DV10" i="16"/>
  <c r="DZ10" i="16"/>
  <c r="ED10" i="16"/>
  <c r="EH10" i="16"/>
  <c r="EL10" i="16"/>
  <c r="EP10" i="16"/>
  <c r="ET10" i="16"/>
  <c r="EX10" i="16"/>
  <c r="FB10" i="16"/>
  <c r="FF10" i="16"/>
  <c r="FJ10" i="16"/>
  <c r="FN10" i="16"/>
  <c r="FR10" i="16"/>
  <c r="FV10" i="16"/>
  <c r="V8" i="16"/>
  <c r="Z8" i="16"/>
  <c r="AD8" i="16"/>
  <c r="AH8" i="16"/>
  <c r="AL8" i="16"/>
  <c r="AP8" i="16"/>
  <c r="AT8" i="16"/>
  <c r="AX8" i="16"/>
  <c r="BB8" i="16"/>
  <c r="BF8" i="16"/>
  <c r="BJ8" i="16"/>
  <c r="BN8" i="16"/>
  <c r="BR8" i="16"/>
  <c r="BV8" i="16"/>
  <c r="BZ8" i="16"/>
  <c r="CD8" i="16"/>
  <c r="CH8" i="16"/>
  <c r="CL8" i="16"/>
  <c r="CP8" i="16"/>
  <c r="CT8" i="16"/>
  <c r="CX8" i="16"/>
  <c r="DB8" i="16"/>
  <c r="DF8" i="16"/>
  <c r="DJ8" i="16"/>
  <c r="DN8" i="16"/>
  <c r="DR8" i="16"/>
  <c r="DV8" i="16"/>
  <c r="DZ8" i="16"/>
  <c r="ED8" i="16"/>
  <c r="EH8" i="16"/>
  <c r="EL8" i="16"/>
  <c r="EP8" i="16"/>
  <c r="ET8" i="16"/>
  <c r="EX8" i="16"/>
  <c r="FB8" i="16"/>
  <c r="FF8" i="16"/>
  <c r="FJ8" i="16"/>
  <c r="FN8" i="16"/>
  <c r="FR8" i="16"/>
  <c r="FV8" i="16"/>
  <c r="DR5" i="16"/>
  <c r="DV5" i="16"/>
  <c r="DZ5" i="16"/>
  <c r="ED5" i="16"/>
  <c r="EH5" i="16"/>
  <c r="EL5" i="16"/>
  <c r="EP5" i="16"/>
  <c r="ET5" i="16"/>
  <c r="EX5" i="16"/>
  <c r="FB5" i="16"/>
  <c r="FF5" i="16"/>
  <c r="FJ5" i="16"/>
  <c r="FN5" i="16"/>
  <c r="FR5" i="16"/>
  <c r="FV5" i="16"/>
  <c r="GB4" i="16"/>
  <c r="GE4" i="16" s="1"/>
  <c r="F6" i="16"/>
  <c r="J6" i="16"/>
  <c r="N6" i="16"/>
  <c r="R6" i="16"/>
  <c r="V6" i="16"/>
  <c r="Z6" i="16"/>
  <c r="AD6" i="16"/>
  <c r="AH6" i="16"/>
  <c r="GB6" i="16"/>
  <c r="GE6" i="16" s="1"/>
  <c r="AL6" i="16"/>
  <c r="AP6" i="16"/>
  <c r="AT6" i="16"/>
  <c r="AX6" i="16"/>
  <c r="BB6" i="16"/>
  <c r="BF6" i="16"/>
  <c r="BJ6" i="16"/>
  <c r="BN6" i="16"/>
  <c r="BR6" i="16"/>
  <c r="BV6" i="16"/>
  <c r="BZ6" i="16"/>
  <c r="CD6" i="16"/>
  <c r="CH6" i="16"/>
  <c r="CL6" i="16"/>
  <c r="CP6" i="16"/>
  <c r="CT6" i="16"/>
  <c r="CX6" i="16"/>
  <c r="DB6" i="16"/>
  <c r="DF6" i="16"/>
  <c r="DJ6" i="16"/>
  <c r="DN6" i="16"/>
  <c r="DR6" i="16"/>
  <c r="DV6" i="16"/>
  <c r="DZ6" i="16"/>
  <c r="ED6" i="16"/>
  <c r="EH6" i="16"/>
  <c r="EL6" i="16"/>
  <c r="EP6" i="16"/>
  <c r="ET6" i="16"/>
  <c r="EX6" i="16"/>
  <c r="FB6" i="16"/>
  <c r="FF6" i="16"/>
  <c r="FJ6" i="16"/>
  <c r="FN6" i="16"/>
  <c r="FR6" i="16"/>
  <c r="FV6" i="16"/>
  <c r="GB7" i="16"/>
  <c r="GH7" i="16" s="1"/>
  <c r="J13" i="16"/>
  <c r="N13" i="16"/>
  <c r="R13" i="16"/>
  <c r="V13" i="16"/>
  <c r="Z13" i="16"/>
  <c r="AD13" i="16"/>
  <c r="AH13" i="16"/>
  <c r="AL13" i="16"/>
  <c r="AP13" i="16"/>
  <c r="AT13" i="16"/>
  <c r="N12" i="16"/>
  <c r="R12" i="16"/>
  <c r="V12" i="16"/>
  <c r="Z12" i="16"/>
  <c r="AD12" i="16"/>
  <c r="AH12" i="16"/>
  <c r="AL12" i="16"/>
  <c r="AP12" i="16"/>
  <c r="AT12" i="16"/>
  <c r="E12" i="16"/>
  <c r="EJ12" i="16" s="1"/>
  <c r="EP12" i="16" s="1"/>
  <c r="E13" i="16"/>
  <c r="EJ13" i="16" s="1"/>
  <c r="EP13" i="16" s="1"/>
  <c r="GH4" i="16"/>
  <c r="GH5" i="16"/>
  <c r="GE3" i="16"/>
  <c r="F4" i="16"/>
  <c r="J4" i="16"/>
  <c r="N4" i="16"/>
  <c r="R4" i="16"/>
  <c r="V4" i="16"/>
  <c r="Z4" i="16"/>
  <c r="AD4" i="16"/>
  <c r="AH4" i="16"/>
  <c r="AL4" i="16"/>
  <c r="AP4" i="16"/>
  <c r="AT4" i="16"/>
  <c r="AX4" i="16"/>
  <c r="BB4" i="16"/>
  <c r="BF4" i="16"/>
  <c r="BJ4" i="16"/>
  <c r="BN4" i="16"/>
  <c r="BR4" i="16"/>
  <c r="BV4" i="16"/>
  <c r="BZ4" i="16"/>
  <c r="CD4" i="16"/>
  <c r="CH4" i="16"/>
  <c r="CL4" i="16"/>
  <c r="CP4" i="16"/>
  <c r="CT4" i="16"/>
  <c r="CX4" i="16"/>
  <c r="DB4" i="16"/>
  <c r="DF4" i="16"/>
  <c r="DJ4" i="16"/>
  <c r="DN4" i="16"/>
  <c r="DR4" i="16"/>
  <c r="DV4" i="16"/>
  <c r="DZ4" i="16"/>
  <c r="ED4" i="16"/>
  <c r="EH4" i="16"/>
  <c r="EL4" i="16"/>
  <c r="EP4" i="16"/>
  <c r="ET4" i="16"/>
  <c r="EX4" i="16"/>
  <c r="FB4" i="16"/>
  <c r="FF4" i="16"/>
  <c r="FJ4" i="16"/>
  <c r="FN4" i="16"/>
  <c r="FR4" i="16"/>
  <c r="FV4" i="16"/>
  <c r="FZ7" i="16"/>
  <c r="FV7" i="16"/>
  <c r="FR7" i="16"/>
  <c r="FN7" i="16"/>
  <c r="FJ7" i="16"/>
  <c r="FF7" i="16"/>
  <c r="FB7" i="16"/>
  <c r="EX7" i="16"/>
  <c r="ET7" i="16"/>
  <c r="EP7" i="16"/>
  <c r="EL7" i="16"/>
  <c r="EH7" i="16"/>
  <c r="ED7" i="16"/>
  <c r="DZ7" i="16"/>
  <c r="DV7" i="16"/>
  <c r="DR7" i="16"/>
  <c r="DN7" i="16"/>
  <c r="DJ7" i="16"/>
  <c r="DF7" i="16"/>
  <c r="DB7" i="16"/>
  <c r="CX7" i="16"/>
  <c r="CT7" i="16"/>
  <c r="CP7" i="16"/>
  <c r="CL7" i="16"/>
  <c r="CH7" i="16"/>
  <c r="CD7" i="16"/>
  <c r="BZ7" i="16"/>
  <c r="BV7" i="16"/>
  <c r="BR7" i="16"/>
  <c r="BN7" i="16"/>
  <c r="BJ7" i="16"/>
  <c r="BF7" i="16"/>
  <c r="BB7" i="16"/>
  <c r="AX7" i="16"/>
  <c r="AT7" i="16"/>
  <c r="AP7" i="16"/>
  <c r="AL7" i="16"/>
  <c r="AH7" i="16"/>
  <c r="AD7" i="16"/>
  <c r="Z7" i="16"/>
  <c r="V7" i="16"/>
  <c r="R7" i="16"/>
  <c r="N7" i="16"/>
  <c r="J7" i="16"/>
  <c r="F7" i="16"/>
  <c r="GH8" i="16"/>
  <c r="GE8" i="16"/>
  <c r="GH9" i="16"/>
  <c r="GE9" i="16"/>
  <c r="F9" i="16"/>
  <c r="J9" i="16"/>
  <c r="N9" i="16"/>
  <c r="R9" i="16"/>
  <c r="V9" i="16"/>
  <c r="Z9" i="16"/>
  <c r="AD9" i="16"/>
  <c r="AH9" i="16"/>
  <c r="AL9" i="16"/>
  <c r="AP9" i="16"/>
  <c r="AT9" i="16"/>
  <c r="AX9" i="16"/>
  <c r="BB9" i="16"/>
  <c r="BF9" i="16"/>
  <c r="BJ9" i="16"/>
  <c r="BN9" i="16"/>
  <c r="BR9" i="16"/>
  <c r="BV9" i="16"/>
  <c r="BZ9" i="16"/>
  <c r="CD9" i="16"/>
  <c r="CH9" i="16"/>
  <c r="CL9" i="16"/>
  <c r="CP9" i="16"/>
  <c r="CT9" i="16"/>
  <c r="CX9" i="16"/>
  <c r="DB9" i="16"/>
  <c r="DF9" i="16"/>
  <c r="DJ9" i="16"/>
  <c r="DN9" i="16"/>
  <c r="EP14" i="16"/>
  <c r="EM14" i="16"/>
  <c r="FZ9" i="16"/>
  <c r="FV9" i="16"/>
  <c r="FR9" i="16"/>
  <c r="FN9" i="16"/>
  <c r="FJ9" i="16"/>
  <c r="FF9" i="16"/>
  <c r="FB9" i="16"/>
  <c r="EX9" i="16"/>
  <c r="ET9" i="16"/>
  <c r="EP9" i="16"/>
  <c r="EL9" i="16"/>
  <c r="EH9" i="16"/>
  <c r="ED9" i="16"/>
  <c r="DZ9" i="16"/>
  <c r="DV9" i="16"/>
  <c r="GH10" i="16"/>
  <c r="GE10" i="16"/>
  <c r="GH11" i="16"/>
  <c r="F12" i="16"/>
  <c r="J12" i="16"/>
  <c r="F13" i="16"/>
  <c r="EL13" i="16" s="1"/>
  <c r="EO13" i="16" s="1"/>
  <c r="F11" i="16"/>
  <c r="J11" i="16"/>
  <c r="N11" i="16"/>
  <c r="R11" i="16"/>
  <c r="V11" i="16"/>
  <c r="Z11" i="16"/>
  <c r="AD11" i="16"/>
  <c r="AH11" i="16"/>
  <c r="AL11" i="16"/>
  <c r="AP11" i="16"/>
  <c r="AT11" i="16"/>
  <c r="AX11" i="16"/>
  <c r="BB11" i="16"/>
  <c r="BF11" i="16"/>
  <c r="BJ11" i="16"/>
  <c r="BN11" i="16"/>
  <c r="BR11" i="16"/>
  <c r="BV11" i="16"/>
  <c r="BZ11" i="16"/>
  <c r="CD11" i="16"/>
  <c r="CH11" i="16"/>
  <c r="CL11" i="16"/>
  <c r="CP11" i="16"/>
  <c r="CT11" i="16"/>
  <c r="CX11" i="16"/>
  <c r="DB11" i="16"/>
  <c r="DF11" i="16"/>
  <c r="DJ11" i="16"/>
  <c r="DN11" i="16"/>
  <c r="DR11" i="16"/>
  <c r="DV11" i="16"/>
  <c r="DZ11" i="16"/>
  <c r="ED11" i="16"/>
  <c r="EH11" i="16"/>
  <c r="EL11" i="16"/>
  <c r="EP11" i="16"/>
  <c r="ET11" i="16"/>
  <c r="EX11" i="16"/>
  <c r="FB11" i="16"/>
  <c r="FF11" i="16"/>
  <c r="FJ11" i="16"/>
  <c r="FN11" i="16"/>
  <c r="FR11" i="16"/>
  <c r="FV11" i="16"/>
  <c r="GH6" i="16" l="1"/>
  <c r="EM13" i="16"/>
  <c r="EM12" i="16"/>
  <c r="GD10" i="16"/>
  <c r="GG10" i="16" s="1"/>
  <c r="GD5" i="16"/>
  <c r="GG5" i="16" s="1"/>
  <c r="GE7" i="16"/>
  <c r="GE15" i="16" s="1"/>
  <c r="GH15" i="16" s="1"/>
  <c r="GD8" i="16"/>
  <c r="GG8" i="16" s="1"/>
  <c r="GD6" i="16"/>
  <c r="GG6" i="16" s="1"/>
  <c r="EL12" i="16"/>
  <c r="EO12" i="16" s="1"/>
  <c r="GD9" i="16"/>
  <c r="GG9" i="16" s="1"/>
  <c r="GD4" i="16"/>
  <c r="GG4" i="16" s="1"/>
  <c r="GD11" i="16"/>
  <c r="GG11" i="16" s="1"/>
  <c r="GD7" i="16"/>
  <c r="GG7" i="16" s="1"/>
  <c r="GG15" i="16" l="1"/>
  <c r="FE14" i="15" l="1"/>
  <c r="AT14" i="15" s="1"/>
  <c r="AS14" i="15"/>
  <c r="AO14" i="15"/>
  <c r="AL14" i="15"/>
  <c r="AK14" i="15"/>
  <c r="AH14" i="15"/>
  <c r="AG14" i="15"/>
  <c r="AD14" i="15"/>
  <c r="AC14" i="15"/>
  <c r="Z14" i="15"/>
  <c r="Y14" i="15"/>
  <c r="U14" i="15"/>
  <c r="Q14" i="15"/>
  <c r="N14" i="15"/>
  <c r="M14" i="15"/>
  <c r="J14" i="15"/>
  <c r="I14" i="15"/>
  <c r="F14" i="15"/>
  <c r="E14" i="15"/>
  <c r="AS13" i="15"/>
  <c r="AO13" i="15"/>
  <c r="AK13" i="15"/>
  <c r="AG13" i="15"/>
  <c r="AC13" i="15"/>
  <c r="Y13" i="15"/>
  <c r="U13" i="15"/>
  <c r="Q13" i="15"/>
  <c r="M13" i="15"/>
  <c r="I13" i="15"/>
  <c r="D13" i="15"/>
  <c r="C13" i="15"/>
  <c r="AS12" i="15"/>
  <c r="AO12" i="15"/>
  <c r="AK12" i="15"/>
  <c r="AG12" i="15"/>
  <c r="AC12" i="15"/>
  <c r="Y12" i="15"/>
  <c r="U12" i="15"/>
  <c r="Q12" i="15"/>
  <c r="M12" i="15"/>
  <c r="H12" i="15"/>
  <c r="G12" i="15"/>
  <c r="D12" i="15"/>
  <c r="C12" i="15"/>
  <c r="HE11" i="15"/>
  <c r="BB11" i="15" s="1"/>
  <c r="HC11" i="15"/>
  <c r="FY11" i="15"/>
  <c r="FU11" i="15"/>
  <c r="FQ11" i="15"/>
  <c r="FM11" i="15"/>
  <c r="FI11" i="15"/>
  <c r="FE11" i="15"/>
  <c r="FA11" i="15"/>
  <c r="EW11" i="15"/>
  <c r="ES11" i="15"/>
  <c r="EO11" i="15"/>
  <c r="EK11" i="15"/>
  <c r="EG11" i="15"/>
  <c r="EC11" i="15"/>
  <c r="DY11" i="15"/>
  <c r="DU11" i="15"/>
  <c r="DQ11" i="15"/>
  <c r="DM11" i="15"/>
  <c r="DI11" i="15"/>
  <c r="DE11" i="15"/>
  <c r="DA11" i="15"/>
  <c r="CW11" i="15"/>
  <c r="CS11" i="15"/>
  <c r="CO11" i="15"/>
  <c r="CK11" i="15"/>
  <c r="CG11" i="15"/>
  <c r="CC11" i="15"/>
  <c r="BY11" i="15"/>
  <c r="BU11" i="15"/>
  <c r="BQ11" i="15"/>
  <c r="BN11" i="15"/>
  <c r="BM11" i="15"/>
  <c r="BJ11" i="15"/>
  <c r="BI11" i="15"/>
  <c r="BF11" i="15"/>
  <c r="BE11" i="15"/>
  <c r="BA11" i="15"/>
  <c r="AW11" i="15"/>
  <c r="AS11" i="15"/>
  <c r="AP11" i="15"/>
  <c r="AO11" i="15"/>
  <c r="AL11" i="15"/>
  <c r="AK11" i="15"/>
  <c r="AH11" i="15"/>
  <c r="AG11" i="15"/>
  <c r="AC11" i="15"/>
  <c r="Y11" i="15"/>
  <c r="U11" i="15"/>
  <c r="R11" i="15"/>
  <c r="Q11" i="15"/>
  <c r="N11" i="15"/>
  <c r="M11" i="15"/>
  <c r="J11" i="15"/>
  <c r="I11" i="15"/>
  <c r="E11" i="15"/>
  <c r="HE10" i="15"/>
  <c r="FJ10" i="15" s="1"/>
  <c r="HC10" i="15"/>
  <c r="FY10" i="15"/>
  <c r="FV10" i="15"/>
  <c r="FU10" i="15"/>
  <c r="FR10" i="15"/>
  <c r="FQ10" i="15"/>
  <c r="FN10" i="15"/>
  <c r="FM10" i="15"/>
  <c r="FI10" i="15"/>
  <c r="FF10" i="15"/>
  <c r="FE10" i="15"/>
  <c r="FA10" i="15"/>
  <c r="EX10" i="15"/>
  <c r="EW10" i="15"/>
  <c r="ET10" i="15"/>
  <c r="ES10" i="15"/>
  <c r="EP10" i="15"/>
  <c r="EO10" i="15"/>
  <c r="EK10" i="15"/>
  <c r="EH10" i="15"/>
  <c r="EG10" i="15"/>
  <c r="EC10" i="15"/>
  <c r="DZ10" i="15"/>
  <c r="DY10" i="15"/>
  <c r="DV10" i="15"/>
  <c r="DU10" i="15"/>
  <c r="DR10" i="15"/>
  <c r="DQ10" i="15"/>
  <c r="DM10" i="15"/>
  <c r="DJ10" i="15"/>
  <c r="DI10" i="15"/>
  <c r="DE10" i="15"/>
  <c r="DB10" i="15"/>
  <c r="DA10" i="15"/>
  <c r="CX10" i="15"/>
  <c r="CW10" i="15"/>
  <c r="CT10" i="15"/>
  <c r="CS10" i="15"/>
  <c r="CO10" i="15"/>
  <c r="CL10" i="15"/>
  <c r="CK10" i="15"/>
  <c r="CG10" i="15"/>
  <c r="CD10" i="15"/>
  <c r="CC10" i="15"/>
  <c r="BZ10" i="15"/>
  <c r="BY10" i="15"/>
  <c r="BV10" i="15"/>
  <c r="BU10" i="15"/>
  <c r="BQ10" i="15"/>
  <c r="BN10" i="15"/>
  <c r="BM10" i="15"/>
  <c r="BI10" i="15"/>
  <c r="BF10" i="15"/>
  <c r="BE10" i="15"/>
  <c r="BB10" i="15"/>
  <c r="BA10" i="15"/>
  <c r="AX10" i="15"/>
  <c r="AW10" i="15"/>
  <c r="AS10" i="15"/>
  <c r="AP10" i="15"/>
  <c r="AO10" i="15"/>
  <c r="AK10" i="15"/>
  <c r="AH10" i="15"/>
  <c r="AG10" i="15"/>
  <c r="AD10" i="15"/>
  <c r="AC10" i="15"/>
  <c r="Z10" i="15"/>
  <c r="Y10" i="15"/>
  <c r="U10" i="15"/>
  <c r="R10" i="15"/>
  <c r="Q10" i="15"/>
  <c r="M10" i="15"/>
  <c r="J10" i="15"/>
  <c r="I10" i="15"/>
  <c r="F10" i="15"/>
  <c r="E10" i="15"/>
  <c r="HD10" i="15" s="1"/>
  <c r="HE9" i="15"/>
  <c r="HC9" i="15"/>
  <c r="FY9" i="15"/>
  <c r="FU9" i="15"/>
  <c r="FQ9" i="15"/>
  <c r="FM9" i="15"/>
  <c r="FI9" i="15"/>
  <c r="FE9" i="15"/>
  <c r="FA9" i="15"/>
  <c r="EW9" i="15"/>
  <c r="ES9" i="15"/>
  <c r="EO9" i="15"/>
  <c r="EK9" i="15"/>
  <c r="EG9" i="15"/>
  <c r="EC9" i="15"/>
  <c r="DY9" i="15"/>
  <c r="DU9" i="15"/>
  <c r="DQ9" i="15"/>
  <c r="DM9" i="15"/>
  <c r="DI9" i="15"/>
  <c r="DE9" i="15"/>
  <c r="DA9" i="15"/>
  <c r="CW9" i="15"/>
  <c r="CS9" i="15"/>
  <c r="CO9" i="15"/>
  <c r="CK9" i="15"/>
  <c r="CG9" i="15"/>
  <c r="CC9" i="15"/>
  <c r="BY9" i="15"/>
  <c r="BU9" i="15"/>
  <c r="BQ9" i="15"/>
  <c r="BM9" i="15"/>
  <c r="BI9" i="15"/>
  <c r="BE9" i="15"/>
  <c r="BA9" i="15"/>
  <c r="AW9" i="15"/>
  <c r="AS9" i="15"/>
  <c r="AO9" i="15"/>
  <c r="AK9" i="15"/>
  <c r="AG9" i="15"/>
  <c r="AC9" i="15"/>
  <c r="Y9" i="15"/>
  <c r="U9" i="15"/>
  <c r="Q9" i="15"/>
  <c r="M9" i="15"/>
  <c r="I9" i="15"/>
  <c r="E9" i="15"/>
  <c r="HE8" i="15"/>
  <c r="HC8" i="15"/>
  <c r="FY8" i="15"/>
  <c r="FU8" i="15"/>
  <c r="FQ8" i="15"/>
  <c r="FM8" i="15"/>
  <c r="FI8" i="15"/>
  <c r="FE8" i="15"/>
  <c r="FA8" i="15"/>
  <c r="EW8" i="15"/>
  <c r="ES8" i="15"/>
  <c r="EO8" i="15"/>
  <c r="EK8" i="15"/>
  <c r="EG8" i="15"/>
  <c r="EC8" i="15"/>
  <c r="DY8" i="15"/>
  <c r="DU8" i="15"/>
  <c r="DQ8" i="15"/>
  <c r="DM8" i="15"/>
  <c r="DI8" i="15"/>
  <c r="DE8" i="15"/>
  <c r="DA8" i="15"/>
  <c r="CW8" i="15"/>
  <c r="CS8" i="15"/>
  <c r="CO8" i="15"/>
  <c r="CK8" i="15"/>
  <c r="CG8" i="15"/>
  <c r="CC8" i="15"/>
  <c r="BY8" i="15"/>
  <c r="BU8" i="15"/>
  <c r="BQ8" i="15"/>
  <c r="BM8" i="15"/>
  <c r="BI8" i="15"/>
  <c r="BE8" i="15"/>
  <c r="BA8" i="15"/>
  <c r="AW8" i="15"/>
  <c r="AS8" i="15"/>
  <c r="AO8" i="15"/>
  <c r="AK8" i="15"/>
  <c r="AG8" i="15"/>
  <c r="AC8" i="15"/>
  <c r="Y8" i="15"/>
  <c r="U8" i="15"/>
  <c r="Q8" i="15"/>
  <c r="M8" i="15"/>
  <c r="I8" i="15"/>
  <c r="E8" i="15"/>
  <c r="HE7" i="15"/>
  <c r="HC7" i="15"/>
  <c r="FY7" i="15"/>
  <c r="FU7" i="15"/>
  <c r="FQ7" i="15"/>
  <c r="FM7" i="15"/>
  <c r="FI7" i="15"/>
  <c r="FE7" i="15"/>
  <c r="FA7" i="15"/>
  <c r="EW7" i="15"/>
  <c r="ES7" i="15"/>
  <c r="EO7" i="15"/>
  <c r="EK7" i="15"/>
  <c r="EG7" i="15"/>
  <c r="EC7" i="15"/>
  <c r="DY7" i="15"/>
  <c r="DU7" i="15"/>
  <c r="DQ7" i="15"/>
  <c r="DM7" i="15"/>
  <c r="DI7" i="15"/>
  <c r="DE7" i="15"/>
  <c r="DA7" i="15"/>
  <c r="CW7" i="15"/>
  <c r="CS7" i="15"/>
  <c r="CO7" i="15"/>
  <c r="CK7" i="15"/>
  <c r="CG7" i="15"/>
  <c r="CC7" i="15"/>
  <c r="BY7" i="15"/>
  <c r="BU7" i="15"/>
  <c r="BQ7" i="15"/>
  <c r="BM7" i="15"/>
  <c r="BI7" i="15"/>
  <c r="BE7" i="15"/>
  <c r="BA7" i="15"/>
  <c r="AW7" i="15"/>
  <c r="AS7" i="15"/>
  <c r="AO7" i="15"/>
  <c r="AK7" i="15"/>
  <c r="AG7" i="15"/>
  <c r="AC7" i="15"/>
  <c r="Y7" i="15"/>
  <c r="U7" i="15"/>
  <c r="Q7" i="15"/>
  <c r="M7" i="15"/>
  <c r="I7" i="15"/>
  <c r="E7" i="15"/>
  <c r="HE6" i="15"/>
  <c r="HC6" i="15"/>
  <c r="FY6" i="15"/>
  <c r="FU6" i="15"/>
  <c r="FQ6" i="15"/>
  <c r="FM6" i="15"/>
  <c r="FI6" i="15"/>
  <c r="FE6" i="15"/>
  <c r="FA6" i="15"/>
  <c r="EW6" i="15"/>
  <c r="ES6" i="15"/>
  <c r="EO6" i="15"/>
  <c r="EK6" i="15"/>
  <c r="EG6" i="15"/>
  <c r="EC6" i="15"/>
  <c r="DY6" i="15"/>
  <c r="DU6" i="15"/>
  <c r="DQ6" i="15"/>
  <c r="DM6" i="15"/>
  <c r="DI6" i="15"/>
  <c r="DE6" i="15"/>
  <c r="DA6" i="15"/>
  <c r="CW6" i="15"/>
  <c r="CS6" i="15"/>
  <c r="CO6" i="15"/>
  <c r="CK6" i="15"/>
  <c r="CG6" i="15"/>
  <c r="CC6" i="15"/>
  <c r="BY6" i="15"/>
  <c r="BU6" i="15"/>
  <c r="BQ6" i="15"/>
  <c r="BM6" i="15"/>
  <c r="BI6" i="15"/>
  <c r="BE6" i="15"/>
  <c r="BA6" i="15"/>
  <c r="AW6" i="15"/>
  <c r="AS6" i="15"/>
  <c r="AO6" i="15"/>
  <c r="AK6" i="15"/>
  <c r="AG6" i="15"/>
  <c r="AC6" i="15"/>
  <c r="Y6" i="15"/>
  <c r="U6" i="15"/>
  <c r="Q6" i="15"/>
  <c r="M6" i="15"/>
  <c r="I6" i="15"/>
  <c r="E6" i="15"/>
  <c r="HE5" i="15"/>
  <c r="HC5" i="15"/>
  <c r="FY5" i="15"/>
  <c r="FU5" i="15"/>
  <c r="FQ5" i="15"/>
  <c r="FM5" i="15"/>
  <c r="FI5" i="15"/>
  <c r="FE5" i="15"/>
  <c r="FA5" i="15"/>
  <c r="EW5" i="15"/>
  <c r="ES5" i="15"/>
  <c r="EO5" i="15"/>
  <c r="EK5" i="15"/>
  <c r="EG5" i="15"/>
  <c r="EC5" i="15"/>
  <c r="DY5" i="15"/>
  <c r="DU5" i="15"/>
  <c r="DQ5" i="15"/>
  <c r="DM5" i="15"/>
  <c r="DI5" i="15"/>
  <c r="DE5" i="15"/>
  <c r="DA5" i="15"/>
  <c r="CW5" i="15"/>
  <c r="CS5" i="15"/>
  <c r="CO5" i="15"/>
  <c r="CK5" i="15"/>
  <c r="CG5" i="15"/>
  <c r="CC5" i="15"/>
  <c r="BY5" i="15"/>
  <c r="BU5" i="15"/>
  <c r="BQ5" i="15"/>
  <c r="BM5" i="15"/>
  <c r="BI5" i="15"/>
  <c r="BE5" i="15"/>
  <c r="BA5" i="15"/>
  <c r="AW5" i="15"/>
  <c r="AS5" i="15"/>
  <c r="AO5" i="15"/>
  <c r="AK5" i="15"/>
  <c r="AG5" i="15"/>
  <c r="AC5" i="15"/>
  <c r="Y5" i="15"/>
  <c r="U5" i="15"/>
  <c r="Q5" i="15"/>
  <c r="M5" i="15"/>
  <c r="I5" i="15"/>
  <c r="E5" i="15"/>
  <c r="HE4" i="15"/>
  <c r="HC4" i="15"/>
  <c r="FY4" i="15"/>
  <c r="FU4" i="15"/>
  <c r="FQ4" i="15"/>
  <c r="FM4" i="15"/>
  <c r="FI4" i="15"/>
  <c r="FE4" i="15"/>
  <c r="FA4" i="15"/>
  <c r="EW4" i="15"/>
  <c r="ES4" i="15"/>
  <c r="EO4" i="15"/>
  <c r="EK4" i="15"/>
  <c r="EG4" i="15"/>
  <c r="EC4" i="15"/>
  <c r="DY4" i="15"/>
  <c r="DU4" i="15"/>
  <c r="DQ4" i="15"/>
  <c r="DM4" i="15"/>
  <c r="DI4" i="15"/>
  <c r="DE4" i="15"/>
  <c r="DA4" i="15"/>
  <c r="CW4" i="15"/>
  <c r="CS4" i="15"/>
  <c r="CO4" i="15"/>
  <c r="CK4" i="15"/>
  <c r="CG4" i="15"/>
  <c r="CC4" i="15"/>
  <c r="BY4" i="15"/>
  <c r="BU4" i="15"/>
  <c r="BQ4" i="15"/>
  <c r="BM4" i="15"/>
  <c r="BI4" i="15"/>
  <c r="BE4" i="15"/>
  <c r="BA4" i="15"/>
  <c r="AW4" i="15"/>
  <c r="AS4" i="15"/>
  <c r="AO4" i="15"/>
  <c r="AK4" i="15"/>
  <c r="AG4" i="15"/>
  <c r="AC4" i="15"/>
  <c r="Y4" i="15"/>
  <c r="U4" i="15"/>
  <c r="Q4" i="15"/>
  <c r="M4" i="15"/>
  <c r="I4" i="15"/>
  <c r="E4" i="15"/>
  <c r="HE3" i="15"/>
  <c r="HC3" i="15"/>
  <c r="FY3" i="15"/>
  <c r="FU3" i="15"/>
  <c r="FQ3" i="15"/>
  <c r="FM3" i="15"/>
  <c r="FI3" i="15"/>
  <c r="FE3" i="15"/>
  <c r="FA3" i="15"/>
  <c r="EW3" i="15"/>
  <c r="ES3" i="15"/>
  <c r="EO3" i="15"/>
  <c r="EK3" i="15"/>
  <c r="EG3" i="15"/>
  <c r="EC3" i="15"/>
  <c r="DY3" i="15"/>
  <c r="DU3" i="15"/>
  <c r="DQ3" i="15"/>
  <c r="DM3" i="15"/>
  <c r="DI3" i="15"/>
  <c r="DE3" i="15"/>
  <c r="DA3" i="15"/>
  <c r="CW3" i="15"/>
  <c r="CS3" i="15"/>
  <c r="CO3" i="15"/>
  <c r="CK3" i="15"/>
  <c r="CG3" i="15"/>
  <c r="CC3" i="15"/>
  <c r="BY3" i="15"/>
  <c r="BU3" i="15"/>
  <c r="BQ3" i="15"/>
  <c r="BM3" i="15"/>
  <c r="BI3" i="15"/>
  <c r="BE3" i="15"/>
  <c r="BA3" i="15"/>
  <c r="AW3" i="15"/>
  <c r="AS3" i="15"/>
  <c r="AO3" i="15"/>
  <c r="AK3" i="15"/>
  <c r="AG3" i="15"/>
  <c r="AC3" i="15"/>
  <c r="Y3" i="15"/>
  <c r="U3" i="15"/>
  <c r="Q3" i="15"/>
  <c r="M3" i="15"/>
  <c r="I3" i="15"/>
  <c r="E3" i="15"/>
  <c r="CH14" i="13"/>
  <c r="AT14" i="13"/>
  <c r="AS14" i="13"/>
  <c r="AP14" i="13"/>
  <c r="AO14" i="13"/>
  <c r="AL14" i="13"/>
  <c r="AK14" i="13"/>
  <c r="AH14" i="13"/>
  <c r="AG14" i="13"/>
  <c r="AD14" i="13"/>
  <c r="AC14" i="13"/>
  <c r="Z14" i="13"/>
  <c r="Y14" i="13"/>
  <c r="V14" i="13"/>
  <c r="U14" i="13"/>
  <c r="R14" i="13"/>
  <c r="Q14" i="13"/>
  <c r="N14" i="13"/>
  <c r="M14" i="13"/>
  <c r="J14" i="13"/>
  <c r="I14" i="13"/>
  <c r="F14" i="13"/>
  <c r="E14" i="13"/>
  <c r="CH13" i="13"/>
  <c r="AT13" i="13"/>
  <c r="AS13" i="13"/>
  <c r="AP13" i="13"/>
  <c r="AO13" i="13"/>
  <c r="AL13" i="13"/>
  <c r="AK13" i="13"/>
  <c r="AH13" i="13"/>
  <c r="AG13" i="13"/>
  <c r="AD13" i="13"/>
  <c r="AC13" i="13"/>
  <c r="Z13" i="13"/>
  <c r="Y13" i="13"/>
  <c r="V13" i="13"/>
  <c r="U13" i="13"/>
  <c r="R13" i="13"/>
  <c r="Q13" i="13"/>
  <c r="N13" i="13"/>
  <c r="M13" i="13"/>
  <c r="J13" i="13"/>
  <c r="I13" i="13"/>
  <c r="D13" i="13"/>
  <c r="C13" i="13"/>
  <c r="GA13" i="13" s="1"/>
  <c r="CH12" i="13"/>
  <c r="AT12" i="13"/>
  <c r="AS12" i="13"/>
  <c r="AP12" i="13"/>
  <c r="AO12" i="13"/>
  <c r="AL12" i="13"/>
  <c r="AK12" i="13"/>
  <c r="AH12" i="13"/>
  <c r="AG12" i="13"/>
  <c r="AD12" i="13"/>
  <c r="AC12" i="13"/>
  <c r="Z12" i="13"/>
  <c r="Y12" i="13"/>
  <c r="V12" i="13"/>
  <c r="U12" i="13"/>
  <c r="R12" i="13"/>
  <c r="Q12" i="13"/>
  <c r="N12" i="13"/>
  <c r="M12" i="13"/>
  <c r="H12" i="13"/>
  <c r="J12" i="13" s="1"/>
  <c r="G12" i="13"/>
  <c r="D12" i="13"/>
  <c r="F12" i="13" s="1"/>
  <c r="C12" i="13"/>
  <c r="FZ11" i="13"/>
  <c r="FY11" i="13"/>
  <c r="DV11" i="13"/>
  <c r="DU11" i="13"/>
  <c r="DR11" i="13"/>
  <c r="DQ11" i="13"/>
  <c r="DN11" i="13"/>
  <c r="DM11" i="13"/>
  <c r="DJ11" i="13"/>
  <c r="DI11" i="13"/>
  <c r="DF11" i="13"/>
  <c r="DE11" i="13"/>
  <c r="DB11" i="13"/>
  <c r="DA11" i="13"/>
  <c r="CX11" i="13"/>
  <c r="CW11" i="13"/>
  <c r="CT11" i="13"/>
  <c r="CS11" i="13"/>
  <c r="CP11" i="13"/>
  <c r="CO11" i="13"/>
  <c r="CL11" i="13"/>
  <c r="CK11" i="13"/>
  <c r="CH11" i="13"/>
  <c r="CG11" i="13"/>
  <c r="CD11" i="13"/>
  <c r="CC11" i="13"/>
  <c r="BZ11" i="13"/>
  <c r="BY11" i="13"/>
  <c r="BV11" i="13"/>
  <c r="BU11" i="13"/>
  <c r="BR11" i="13"/>
  <c r="BQ11" i="13"/>
  <c r="BN11" i="13"/>
  <c r="BM11" i="13"/>
  <c r="BJ11" i="13"/>
  <c r="BI11" i="13"/>
  <c r="BF11" i="13"/>
  <c r="BE11" i="13"/>
  <c r="BB11" i="13"/>
  <c r="BA11" i="13"/>
  <c r="AX11" i="13"/>
  <c r="AW11" i="13"/>
  <c r="AT11" i="13"/>
  <c r="AS11" i="13"/>
  <c r="AP11" i="13"/>
  <c r="AO11" i="13"/>
  <c r="AL11" i="13"/>
  <c r="AK11" i="13"/>
  <c r="AH11" i="13"/>
  <c r="AG11" i="13"/>
  <c r="AD11" i="13"/>
  <c r="AC11" i="13"/>
  <c r="Z11" i="13"/>
  <c r="Y11" i="13"/>
  <c r="V11" i="13"/>
  <c r="U11" i="13"/>
  <c r="R11" i="13"/>
  <c r="Q11" i="13"/>
  <c r="N11" i="13"/>
  <c r="M11" i="13"/>
  <c r="J11" i="13"/>
  <c r="I11" i="13"/>
  <c r="F11" i="13"/>
  <c r="E11" i="13"/>
  <c r="FZ10" i="13"/>
  <c r="FY10" i="13"/>
  <c r="DU10" i="13"/>
  <c r="DQ10" i="13"/>
  <c r="DM10" i="13"/>
  <c r="DI10" i="13"/>
  <c r="DE10" i="13"/>
  <c r="DA10" i="13"/>
  <c r="CW10" i="13"/>
  <c r="CS10" i="13"/>
  <c r="CO10" i="13"/>
  <c r="CK10" i="13"/>
  <c r="CG10" i="13"/>
  <c r="CC10" i="13"/>
  <c r="BY10" i="13"/>
  <c r="BU10" i="13"/>
  <c r="BQ10" i="13"/>
  <c r="BM10" i="13"/>
  <c r="BI10" i="13"/>
  <c r="BE10" i="13"/>
  <c r="BA10" i="13"/>
  <c r="AW10" i="13"/>
  <c r="AS10" i="13"/>
  <c r="AO10" i="13"/>
  <c r="AK10" i="13"/>
  <c r="AG10" i="13"/>
  <c r="AC10" i="13"/>
  <c r="Y10" i="13"/>
  <c r="U10" i="13"/>
  <c r="Q10" i="13"/>
  <c r="M10" i="13"/>
  <c r="I10" i="13"/>
  <c r="E10" i="13"/>
  <c r="FZ9" i="13"/>
  <c r="FY9" i="13"/>
  <c r="DU9" i="13"/>
  <c r="DQ9" i="13"/>
  <c r="DM9" i="13"/>
  <c r="DI9" i="13"/>
  <c r="DE9" i="13"/>
  <c r="DA9" i="13"/>
  <c r="CW9" i="13"/>
  <c r="CS9" i="13"/>
  <c r="CO9" i="13"/>
  <c r="CK9" i="13"/>
  <c r="CG9" i="13"/>
  <c r="CC9" i="13"/>
  <c r="BY9" i="13"/>
  <c r="BU9" i="13"/>
  <c r="BQ9" i="13"/>
  <c r="BM9" i="13"/>
  <c r="BI9" i="13"/>
  <c r="BE9" i="13"/>
  <c r="BA9" i="13"/>
  <c r="AW9" i="13"/>
  <c r="AS9" i="13"/>
  <c r="AO9" i="13"/>
  <c r="AK9" i="13"/>
  <c r="AG9" i="13"/>
  <c r="AC9" i="13"/>
  <c r="Y9" i="13"/>
  <c r="U9" i="13"/>
  <c r="Q9" i="13"/>
  <c r="M9" i="13"/>
  <c r="I9" i="13"/>
  <c r="E9" i="13"/>
  <c r="FZ8" i="13"/>
  <c r="FY8" i="13"/>
  <c r="DU8" i="13"/>
  <c r="DQ8" i="13"/>
  <c r="DM8" i="13"/>
  <c r="DI8" i="13"/>
  <c r="DE8" i="13"/>
  <c r="DA8" i="13"/>
  <c r="CW8" i="13"/>
  <c r="CS8" i="13"/>
  <c r="CO8" i="13"/>
  <c r="CK8" i="13"/>
  <c r="CG8" i="13"/>
  <c r="CC8" i="13"/>
  <c r="BY8" i="13"/>
  <c r="BU8" i="13"/>
  <c r="BQ8" i="13"/>
  <c r="BM8" i="13"/>
  <c r="BI8" i="13"/>
  <c r="BE8" i="13"/>
  <c r="BA8" i="13"/>
  <c r="AW8" i="13"/>
  <c r="AS8" i="13"/>
  <c r="AO8" i="13"/>
  <c r="AK8" i="13"/>
  <c r="AG8" i="13"/>
  <c r="AC8" i="13"/>
  <c r="Y8" i="13"/>
  <c r="U8" i="13"/>
  <c r="Q8" i="13"/>
  <c r="M8" i="13"/>
  <c r="I8" i="13"/>
  <c r="E8" i="13"/>
  <c r="FY7" i="13"/>
  <c r="DU7" i="13"/>
  <c r="DQ7" i="13"/>
  <c r="DM7" i="13"/>
  <c r="DI7" i="13"/>
  <c r="DE7" i="13"/>
  <c r="DA7" i="13"/>
  <c r="CW7" i="13"/>
  <c r="CS7" i="13"/>
  <c r="CO7" i="13"/>
  <c r="CK7" i="13"/>
  <c r="CG7" i="13"/>
  <c r="CC7" i="13"/>
  <c r="BY7" i="13"/>
  <c r="BU7" i="13"/>
  <c r="BQ7" i="13"/>
  <c r="BM7" i="13"/>
  <c r="BI7" i="13"/>
  <c r="BE7" i="13"/>
  <c r="BA7" i="13"/>
  <c r="AW7" i="13"/>
  <c r="AS7" i="13"/>
  <c r="AO7" i="13"/>
  <c r="AK7" i="13"/>
  <c r="AG7" i="13"/>
  <c r="AC7" i="13"/>
  <c r="Y7" i="13"/>
  <c r="U7" i="13"/>
  <c r="Q7" i="13"/>
  <c r="M7" i="13"/>
  <c r="I7" i="13"/>
  <c r="E7" i="13"/>
  <c r="FZ6" i="13"/>
  <c r="FY6" i="13"/>
  <c r="DU6" i="13"/>
  <c r="DQ6" i="13"/>
  <c r="DM6" i="13"/>
  <c r="DI6" i="13"/>
  <c r="DE6" i="13"/>
  <c r="DA6" i="13"/>
  <c r="CW6" i="13"/>
  <c r="CS6" i="13"/>
  <c r="CO6" i="13"/>
  <c r="CK6" i="13"/>
  <c r="CG6" i="13"/>
  <c r="CC6" i="13"/>
  <c r="BY6" i="13"/>
  <c r="BU6" i="13"/>
  <c r="BQ6" i="13"/>
  <c r="BM6" i="13"/>
  <c r="BI6" i="13"/>
  <c r="BE6" i="13"/>
  <c r="BA6" i="13"/>
  <c r="AW6" i="13"/>
  <c r="AS6" i="13"/>
  <c r="AO6" i="13"/>
  <c r="AK6" i="13"/>
  <c r="AG6" i="13"/>
  <c r="AC6" i="13"/>
  <c r="Y6" i="13"/>
  <c r="U6" i="13"/>
  <c r="Q6" i="13"/>
  <c r="M6" i="13"/>
  <c r="I6" i="13"/>
  <c r="E6" i="13"/>
  <c r="FZ5" i="13"/>
  <c r="FY5" i="13"/>
  <c r="DU5" i="13"/>
  <c r="DQ5" i="13"/>
  <c r="DM5" i="13"/>
  <c r="DI5" i="13"/>
  <c r="DE5" i="13"/>
  <c r="DA5" i="13"/>
  <c r="CW5" i="13"/>
  <c r="CS5" i="13"/>
  <c r="CO5" i="13"/>
  <c r="CK5" i="13"/>
  <c r="CG5" i="13"/>
  <c r="CC5" i="13"/>
  <c r="BY5" i="13"/>
  <c r="BU5" i="13"/>
  <c r="BQ5" i="13"/>
  <c r="BM5" i="13"/>
  <c r="BI5" i="13"/>
  <c r="BE5" i="13"/>
  <c r="BA5" i="13"/>
  <c r="AW5" i="13"/>
  <c r="AS5" i="13"/>
  <c r="AO5" i="13"/>
  <c r="AK5" i="13"/>
  <c r="AG5" i="13"/>
  <c r="AC5" i="13"/>
  <c r="Y5" i="13"/>
  <c r="U5" i="13"/>
  <c r="Q5" i="13"/>
  <c r="M5" i="13"/>
  <c r="I5" i="13"/>
  <c r="E5" i="13"/>
  <c r="FZ4" i="13"/>
  <c r="FY4" i="13"/>
  <c r="DU4" i="13"/>
  <c r="DQ4" i="13"/>
  <c r="DM4" i="13"/>
  <c r="DI4" i="13"/>
  <c r="DE4" i="13"/>
  <c r="DA4" i="13"/>
  <c r="CW4" i="13"/>
  <c r="CS4" i="13"/>
  <c r="CO4" i="13"/>
  <c r="CK4" i="13"/>
  <c r="CG4" i="13"/>
  <c r="CC4" i="13"/>
  <c r="BY4" i="13"/>
  <c r="BU4" i="13"/>
  <c r="BQ4" i="13"/>
  <c r="BM4" i="13"/>
  <c r="BI4" i="13"/>
  <c r="BE4" i="13"/>
  <c r="BA4" i="13"/>
  <c r="AW4" i="13"/>
  <c r="AS4" i="13"/>
  <c r="AO4" i="13"/>
  <c r="AK4" i="13"/>
  <c r="AG4" i="13"/>
  <c r="AC4" i="13"/>
  <c r="Y4" i="13"/>
  <c r="U4" i="13"/>
  <c r="Q4" i="13"/>
  <c r="M4" i="13"/>
  <c r="I4" i="13"/>
  <c r="E4" i="13"/>
  <c r="FZ3" i="13"/>
  <c r="FY3" i="13"/>
  <c r="DU3" i="13"/>
  <c r="DQ3" i="13"/>
  <c r="DM3" i="13"/>
  <c r="DI3" i="13"/>
  <c r="DE3" i="13"/>
  <c r="DA3" i="13"/>
  <c r="CW3" i="13"/>
  <c r="CS3" i="13"/>
  <c r="CO3" i="13"/>
  <c r="CK3" i="13"/>
  <c r="CG3" i="13"/>
  <c r="CC3" i="13"/>
  <c r="BY3" i="13"/>
  <c r="BU3" i="13"/>
  <c r="BQ3" i="13"/>
  <c r="BM3" i="13"/>
  <c r="BI3" i="13"/>
  <c r="BE3" i="13"/>
  <c r="BA3" i="13"/>
  <c r="AW3" i="13"/>
  <c r="AS3" i="13"/>
  <c r="AO3" i="13"/>
  <c r="AK3" i="13"/>
  <c r="AG3" i="13"/>
  <c r="AC3" i="13"/>
  <c r="Y3" i="13"/>
  <c r="U3" i="13"/>
  <c r="Q3" i="13"/>
  <c r="M3" i="13"/>
  <c r="I3" i="13"/>
  <c r="E3" i="13"/>
  <c r="E12" i="15" l="1"/>
  <c r="GB3" i="13"/>
  <c r="GB7" i="13"/>
  <c r="GB10" i="13"/>
  <c r="GB6" i="13"/>
  <c r="N10" i="15"/>
  <c r="AL10" i="15"/>
  <c r="BJ10" i="15"/>
  <c r="CH10" i="15"/>
  <c r="DF10" i="15"/>
  <c r="ED10" i="15"/>
  <c r="FB10" i="15"/>
  <c r="HF10" i="15" s="1"/>
  <c r="HI10" i="15" s="1"/>
  <c r="FZ10" i="15"/>
  <c r="V11" i="15"/>
  <c r="AT11" i="15"/>
  <c r="BR11" i="15"/>
  <c r="GB9" i="13"/>
  <c r="GD11" i="13"/>
  <c r="Z11" i="15"/>
  <c r="AX11" i="15"/>
  <c r="GB5" i="13"/>
  <c r="GB11" i="13"/>
  <c r="GB14" i="13"/>
  <c r="R14" i="15"/>
  <c r="FF14" i="15" s="1"/>
  <c r="FI14" i="15" s="1"/>
  <c r="AP14" i="15"/>
  <c r="GD14" i="13"/>
  <c r="V10" i="15"/>
  <c r="AT10" i="15"/>
  <c r="BR10" i="15"/>
  <c r="CP10" i="15"/>
  <c r="DN10" i="15"/>
  <c r="EL10" i="15"/>
  <c r="F11" i="15"/>
  <c r="AD11" i="15"/>
  <c r="GB8" i="13"/>
  <c r="E12" i="13"/>
  <c r="GB12" i="13" s="1"/>
  <c r="GA12" i="13"/>
  <c r="V14" i="15"/>
  <c r="DN14" i="15"/>
  <c r="GB4" i="13"/>
  <c r="GD12" i="13"/>
  <c r="DJ9" i="15"/>
  <c r="BV11" i="15"/>
  <c r="F9" i="15"/>
  <c r="J9" i="15"/>
  <c r="N9" i="15"/>
  <c r="R9" i="15"/>
  <c r="V9" i="15"/>
  <c r="Z9" i="15"/>
  <c r="AD9" i="15"/>
  <c r="AH9" i="15"/>
  <c r="AL9" i="15"/>
  <c r="AP9" i="15"/>
  <c r="AT9" i="15"/>
  <c r="AX9" i="15"/>
  <c r="BB9" i="15"/>
  <c r="BF9" i="15"/>
  <c r="BJ9" i="15"/>
  <c r="BN9" i="15"/>
  <c r="BR9" i="15"/>
  <c r="BV9" i="15"/>
  <c r="BZ9" i="15"/>
  <c r="CD9" i="15"/>
  <c r="CH9" i="15"/>
  <c r="CL9" i="15"/>
  <c r="CP9" i="15"/>
  <c r="CT9" i="15"/>
  <c r="CX9" i="15"/>
  <c r="DB9" i="15"/>
  <c r="DF9" i="15"/>
  <c r="HD7" i="15"/>
  <c r="HJ7" i="15" s="1"/>
  <c r="F7" i="15"/>
  <c r="HF7" i="15" s="1"/>
  <c r="HI7" i="15" s="1"/>
  <c r="J7" i="15"/>
  <c r="N7" i="15"/>
  <c r="R7" i="15"/>
  <c r="V7" i="15"/>
  <c r="Z7" i="15"/>
  <c r="AD7" i="15"/>
  <c r="AH7" i="15"/>
  <c r="AL7" i="15"/>
  <c r="AP7" i="15"/>
  <c r="AT7" i="15"/>
  <c r="AX7" i="15"/>
  <c r="BB7" i="15"/>
  <c r="BF7" i="15"/>
  <c r="BJ7" i="15"/>
  <c r="BN7" i="15"/>
  <c r="BR7" i="15"/>
  <c r="BV7" i="15"/>
  <c r="BZ7" i="15"/>
  <c r="CD7" i="15"/>
  <c r="CH7" i="15"/>
  <c r="CL7" i="15"/>
  <c r="CP7" i="15"/>
  <c r="CT7" i="15"/>
  <c r="CX7" i="15"/>
  <c r="DB7" i="15"/>
  <c r="DF7" i="15"/>
  <c r="DJ7" i="15"/>
  <c r="DN7" i="15"/>
  <c r="DR7" i="15"/>
  <c r="DV7" i="15"/>
  <c r="DZ7" i="15"/>
  <c r="ED7" i="15"/>
  <c r="EH7" i="15"/>
  <c r="EL7" i="15"/>
  <c r="EP7" i="15"/>
  <c r="ET7" i="15"/>
  <c r="EX7" i="15"/>
  <c r="FB7" i="15"/>
  <c r="FF7" i="15"/>
  <c r="FJ7" i="15"/>
  <c r="FN7" i="15"/>
  <c r="FR7" i="15"/>
  <c r="FV7" i="15"/>
  <c r="FZ7" i="15"/>
  <c r="HD9" i="15"/>
  <c r="HG9" i="15" s="1"/>
  <c r="F3" i="15"/>
  <c r="J3" i="15"/>
  <c r="N3" i="15"/>
  <c r="R3" i="15"/>
  <c r="V3" i="15"/>
  <c r="Z3" i="15"/>
  <c r="AD3" i="15"/>
  <c r="AH3" i="15"/>
  <c r="AL3" i="15"/>
  <c r="AP3" i="15"/>
  <c r="AT3" i="15"/>
  <c r="AX3" i="15"/>
  <c r="BB3" i="15"/>
  <c r="BF3" i="15"/>
  <c r="BJ3" i="15"/>
  <c r="BN3" i="15"/>
  <c r="BR3" i="15"/>
  <c r="BV3" i="15"/>
  <c r="BZ3" i="15"/>
  <c r="CD3" i="15"/>
  <c r="CH3" i="15"/>
  <c r="CL3" i="15"/>
  <c r="CP3" i="15"/>
  <c r="CT3" i="15"/>
  <c r="CX3" i="15"/>
  <c r="DB3" i="15"/>
  <c r="DF3" i="15"/>
  <c r="DJ3" i="15"/>
  <c r="DN3" i="15"/>
  <c r="DR3" i="15"/>
  <c r="DV3" i="15"/>
  <c r="DZ3" i="15"/>
  <c r="ED3" i="15"/>
  <c r="EH3" i="15"/>
  <c r="EL3" i="15"/>
  <c r="HD3" i="15"/>
  <c r="HG3" i="15" s="1"/>
  <c r="F5" i="15"/>
  <c r="J5" i="15"/>
  <c r="N5" i="15"/>
  <c r="R5" i="15"/>
  <c r="V5" i="15"/>
  <c r="Z5" i="15"/>
  <c r="AD5" i="15"/>
  <c r="AH5" i="15"/>
  <c r="AL5" i="15"/>
  <c r="AP5" i="15"/>
  <c r="AT5" i="15"/>
  <c r="AX5" i="15"/>
  <c r="BB5" i="15"/>
  <c r="BF5" i="15"/>
  <c r="BJ5" i="15"/>
  <c r="BN5" i="15"/>
  <c r="BR5" i="15"/>
  <c r="BV5" i="15"/>
  <c r="BZ5" i="15"/>
  <c r="CD5" i="15"/>
  <c r="CH5" i="15"/>
  <c r="CL5" i="15"/>
  <c r="CP5" i="15"/>
  <c r="CT5" i="15"/>
  <c r="CX5" i="15"/>
  <c r="DB5" i="15"/>
  <c r="DF5" i="15"/>
  <c r="DJ5" i="15"/>
  <c r="DN5" i="15"/>
  <c r="DR5" i="15"/>
  <c r="DV5" i="15"/>
  <c r="DZ5" i="15"/>
  <c r="ED5" i="15"/>
  <c r="EH5" i="15"/>
  <c r="EL5" i="15"/>
  <c r="EP5" i="15"/>
  <c r="ET5" i="15"/>
  <c r="EX5" i="15"/>
  <c r="FB5" i="15"/>
  <c r="FF5" i="15"/>
  <c r="FJ5" i="15"/>
  <c r="HD5" i="15"/>
  <c r="HJ5" i="15" s="1"/>
  <c r="EP3" i="15"/>
  <c r="ET3" i="15"/>
  <c r="EX3" i="15"/>
  <c r="FB3" i="15"/>
  <c r="FF3" i="15"/>
  <c r="FJ3" i="15"/>
  <c r="FN3" i="15"/>
  <c r="FR3" i="15"/>
  <c r="FV3" i="15"/>
  <c r="FZ3" i="15"/>
  <c r="FN5" i="15"/>
  <c r="FR5" i="15"/>
  <c r="FV5" i="15"/>
  <c r="FZ5" i="15"/>
  <c r="F10" i="13"/>
  <c r="J10" i="13"/>
  <c r="N10" i="13"/>
  <c r="R10" i="13"/>
  <c r="V10" i="13"/>
  <c r="Z10" i="13"/>
  <c r="AD10" i="13"/>
  <c r="AH10" i="13"/>
  <c r="AL10" i="13"/>
  <c r="AP10" i="13"/>
  <c r="AT10" i="13"/>
  <c r="AX10" i="13"/>
  <c r="BB10" i="13"/>
  <c r="BF10" i="13"/>
  <c r="BJ10" i="13"/>
  <c r="BN10" i="13"/>
  <c r="BR10" i="13"/>
  <c r="BV10" i="13"/>
  <c r="BZ10" i="13"/>
  <c r="CD10" i="13"/>
  <c r="CH10" i="13"/>
  <c r="CL10" i="13"/>
  <c r="CP10" i="13"/>
  <c r="CT10" i="13"/>
  <c r="CX10" i="13"/>
  <c r="DB10" i="13"/>
  <c r="DF10" i="13"/>
  <c r="DJ10" i="13"/>
  <c r="DN10" i="13"/>
  <c r="DR10" i="13"/>
  <c r="DV10" i="13"/>
  <c r="I12" i="13"/>
  <c r="GG11" i="13"/>
  <c r="E13" i="13"/>
  <c r="GB13" i="13" s="1"/>
  <c r="F5" i="13"/>
  <c r="J5" i="13"/>
  <c r="N5" i="13"/>
  <c r="R5" i="13"/>
  <c r="V5" i="13"/>
  <c r="Z5" i="13"/>
  <c r="AD5" i="13"/>
  <c r="AH5" i="13"/>
  <c r="AL5" i="13"/>
  <c r="AP5" i="13"/>
  <c r="AT5" i="13"/>
  <c r="AX5" i="13"/>
  <c r="BB5" i="13"/>
  <c r="BF5" i="13"/>
  <c r="BJ5" i="13"/>
  <c r="BN5" i="13"/>
  <c r="BR5" i="13"/>
  <c r="BV5" i="13"/>
  <c r="BZ5" i="13"/>
  <c r="CD5" i="13"/>
  <c r="CH5" i="13"/>
  <c r="CL5" i="13"/>
  <c r="CP5" i="13"/>
  <c r="CT5" i="13"/>
  <c r="CX5" i="13"/>
  <c r="DB5" i="13"/>
  <c r="DF5" i="13"/>
  <c r="DJ5" i="13"/>
  <c r="DN5" i="13"/>
  <c r="DR5" i="13"/>
  <c r="DV5" i="13"/>
  <c r="F6" i="13"/>
  <c r="J6" i="13"/>
  <c r="N6" i="13"/>
  <c r="R6" i="13"/>
  <c r="V6" i="13"/>
  <c r="Z6" i="13"/>
  <c r="AD6" i="13"/>
  <c r="AH6" i="13"/>
  <c r="AL6" i="13"/>
  <c r="AP6" i="13"/>
  <c r="AT6" i="13"/>
  <c r="AX6" i="13"/>
  <c r="BB6" i="13"/>
  <c r="BF6" i="13"/>
  <c r="BJ6" i="13"/>
  <c r="BN6" i="13"/>
  <c r="BR6" i="13"/>
  <c r="BV6" i="13"/>
  <c r="BZ6" i="13"/>
  <c r="CD6" i="13"/>
  <c r="CH6" i="13"/>
  <c r="CL6" i="13"/>
  <c r="CP6" i="13"/>
  <c r="HD11" i="15"/>
  <c r="HJ11" i="15" s="1"/>
  <c r="HD4" i="15"/>
  <c r="HG4" i="15" s="1"/>
  <c r="HD8" i="15"/>
  <c r="HG8" i="15" s="1"/>
  <c r="I12" i="15"/>
  <c r="E13" i="15"/>
  <c r="HJ3" i="15"/>
  <c r="FZ4" i="15"/>
  <c r="FV4" i="15"/>
  <c r="FR4" i="15"/>
  <c r="FN4" i="15"/>
  <c r="FJ4" i="15"/>
  <c r="FF4" i="15"/>
  <c r="FB4" i="15"/>
  <c r="EX4" i="15"/>
  <c r="ET4" i="15"/>
  <c r="EP4" i="15"/>
  <c r="EL4" i="15"/>
  <c r="EH4" i="15"/>
  <c r="ED4" i="15"/>
  <c r="DZ4" i="15"/>
  <c r="DV4" i="15"/>
  <c r="DR4" i="15"/>
  <c r="DN4" i="15"/>
  <c r="DJ4" i="15"/>
  <c r="DF4" i="15"/>
  <c r="DB4" i="15"/>
  <c r="CX4" i="15"/>
  <c r="CT4" i="15"/>
  <c r="CP4" i="15"/>
  <c r="CL4" i="15"/>
  <c r="CH4" i="15"/>
  <c r="CD4" i="15"/>
  <c r="BZ4" i="15"/>
  <c r="BV4" i="15"/>
  <c r="BR4" i="15"/>
  <c r="BN4" i="15"/>
  <c r="BJ4" i="15"/>
  <c r="BF4" i="15"/>
  <c r="BB4" i="15"/>
  <c r="AX4" i="15"/>
  <c r="AT4" i="15"/>
  <c r="AP4" i="15"/>
  <c r="AL4" i="15"/>
  <c r="AH4" i="15"/>
  <c r="AD4" i="15"/>
  <c r="Z4" i="15"/>
  <c r="V4" i="15"/>
  <c r="R4" i="15"/>
  <c r="HD6" i="15"/>
  <c r="F4" i="15"/>
  <c r="J4" i="15"/>
  <c r="N4" i="15"/>
  <c r="FZ9" i="15"/>
  <c r="FV9" i="15"/>
  <c r="FR9" i="15"/>
  <c r="FN9" i="15"/>
  <c r="FJ9" i="15"/>
  <c r="FF9" i="15"/>
  <c r="FB9" i="15"/>
  <c r="EX9" i="15"/>
  <c r="ET9" i="15"/>
  <c r="EP9" i="15"/>
  <c r="EL9" i="15"/>
  <c r="EH9" i="15"/>
  <c r="ED9" i="15"/>
  <c r="DZ9" i="15"/>
  <c r="DV9" i="15"/>
  <c r="DR9" i="15"/>
  <c r="DN9" i="15"/>
  <c r="F6" i="15"/>
  <c r="J6" i="15"/>
  <c r="N6" i="15"/>
  <c r="R6" i="15"/>
  <c r="V6" i="15"/>
  <c r="Z6" i="15"/>
  <c r="AD6" i="15"/>
  <c r="AH6" i="15"/>
  <c r="AL6" i="15"/>
  <c r="AP6" i="15"/>
  <c r="AT6" i="15"/>
  <c r="AX6" i="15"/>
  <c r="BB6" i="15"/>
  <c r="BF6" i="15"/>
  <c r="BJ6" i="15"/>
  <c r="BN6" i="15"/>
  <c r="BR6" i="15"/>
  <c r="BV6" i="15"/>
  <c r="BZ6" i="15"/>
  <c r="CD6" i="15"/>
  <c r="CH6" i="15"/>
  <c r="CL6" i="15"/>
  <c r="CP6" i="15"/>
  <c r="CT6" i="15"/>
  <c r="CX6" i="15"/>
  <c r="DB6" i="15"/>
  <c r="DF6" i="15"/>
  <c r="DJ6" i="15"/>
  <c r="DN6" i="15"/>
  <c r="DR6" i="15"/>
  <c r="DV6" i="15"/>
  <c r="DZ6" i="15"/>
  <c r="ED6" i="15"/>
  <c r="EH6" i="15"/>
  <c r="EL6" i="15"/>
  <c r="EP6" i="15"/>
  <c r="ET6" i="15"/>
  <c r="EX6" i="15"/>
  <c r="FB6" i="15"/>
  <c r="FF6" i="15"/>
  <c r="FJ6" i="15"/>
  <c r="FN6" i="15"/>
  <c r="FR6" i="15"/>
  <c r="FV6" i="15"/>
  <c r="FZ6" i="15"/>
  <c r="HG7" i="15"/>
  <c r="F8" i="15"/>
  <c r="J8" i="15"/>
  <c r="N8" i="15"/>
  <c r="R8" i="15"/>
  <c r="V8" i="15"/>
  <c r="Z8" i="15"/>
  <c r="AD8" i="15"/>
  <c r="AH8" i="15"/>
  <c r="AL8" i="15"/>
  <c r="AP8" i="15"/>
  <c r="AT8" i="15"/>
  <c r="AX8" i="15"/>
  <c r="BB8" i="15"/>
  <c r="BF8" i="15"/>
  <c r="BJ8" i="15"/>
  <c r="BN8" i="15"/>
  <c r="BR8" i="15"/>
  <c r="BV8" i="15"/>
  <c r="BZ8" i="15"/>
  <c r="CD8" i="15"/>
  <c r="CH8" i="15"/>
  <c r="CL8" i="15"/>
  <c r="CP8" i="15"/>
  <c r="CT8" i="15"/>
  <c r="CX8" i="15"/>
  <c r="DB8" i="15"/>
  <c r="DF8" i="15"/>
  <c r="DJ8" i="15"/>
  <c r="DN8" i="15"/>
  <c r="DR8" i="15"/>
  <c r="DV8" i="15"/>
  <c r="DZ8" i="15"/>
  <c r="ED8" i="15"/>
  <c r="EH8" i="15"/>
  <c r="EL8" i="15"/>
  <c r="EP8" i="15"/>
  <c r="ET8" i="15"/>
  <c r="EX8" i="15"/>
  <c r="FB8" i="15"/>
  <c r="FF8" i="15"/>
  <c r="FJ8" i="15"/>
  <c r="FN8" i="15"/>
  <c r="FR8" i="15"/>
  <c r="FV8" i="15"/>
  <c r="FZ8" i="15"/>
  <c r="HJ10" i="15"/>
  <c r="HG10" i="15"/>
  <c r="FJ14" i="15"/>
  <c r="FG14" i="15"/>
  <c r="HC14" i="15" s="1"/>
  <c r="FE12" i="15"/>
  <c r="J12" i="15" s="1"/>
  <c r="FE13" i="15"/>
  <c r="BZ11" i="15"/>
  <c r="CD11" i="15"/>
  <c r="CH11" i="15"/>
  <c r="CL11" i="15"/>
  <c r="CP11" i="15"/>
  <c r="CT11" i="15"/>
  <c r="CX11" i="15"/>
  <c r="DB11" i="15"/>
  <c r="DF11" i="15"/>
  <c r="DJ11" i="15"/>
  <c r="DN11" i="15"/>
  <c r="DR11" i="15"/>
  <c r="DV11" i="15"/>
  <c r="DZ11" i="15"/>
  <c r="ED11" i="15"/>
  <c r="EH11" i="15"/>
  <c r="EL11" i="15"/>
  <c r="EP11" i="15"/>
  <c r="ET11" i="15"/>
  <c r="EX11" i="15"/>
  <c r="FB11" i="15"/>
  <c r="FF11" i="15"/>
  <c r="FJ11" i="15"/>
  <c r="FN11" i="15"/>
  <c r="FR11" i="15"/>
  <c r="FV11" i="15"/>
  <c r="FZ11" i="15"/>
  <c r="GE4" i="13"/>
  <c r="F3" i="13"/>
  <c r="J3" i="13"/>
  <c r="N3" i="13"/>
  <c r="R3" i="13"/>
  <c r="V3" i="13"/>
  <c r="Z3" i="13"/>
  <c r="AD3" i="13"/>
  <c r="AH3" i="13"/>
  <c r="AL3" i="13"/>
  <c r="F8" i="13"/>
  <c r="CT6" i="13"/>
  <c r="CX6" i="13"/>
  <c r="DB6" i="13"/>
  <c r="DF6" i="13"/>
  <c r="DJ6" i="13"/>
  <c r="DN6" i="13"/>
  <c r="DR6" i="13"/>
  <c r="DV6" i="13"/>
  <c r="AP3" i="13"/>
  <c r="AT3" i="13"/>
  <c r="AX3" i="13"/>
  <c r="BB3" i="13"/>
  <c r="BF3" i="13"/>
  <c r="BJ3" i="13"/>
  <c r="BN3" i="13"/>
  <c r="BR3" i="13"/>
  <c r="BV3" i="13"/>
  <c r="GH3" i="13"/>
  <c r="GH8" i="13"/>
  <c r="J8" i="13"/>
  <c r="N8" i="13"/>
  <c r="R8" i="13"/>
  <c r="V8" i="13"/>
  <c r="Z8" i="13"/>
  <c r="AD8" i="13"/>
  <c r="AH8" i="13"/>
  <c r="AL8" i="13"/>
  <c r="AP8" i="13"/>
  <c r="AT8" i="13"/>
  <c r="AX8" i="13"/>
  <c r="BB8" i="13"/>
  <c r="BF8" i="13"/>
  <c r="BJ8" i="13"/>
  <c r="BN8" i="13"/>
  <c r="BR8" i="13"/>
  <c r="BV8" i="13"/>
  <c r="BZ8" i="13"/>
  <c r="CD8" i="13"/>
  <c r="CH8" i="13"/>
  <c r="CL8" i="13"/>
  <c r="CP8" i="13"/>
  <c r="CT8" i="13"/>
  <c r="CX8" i="13"/>
  <c r="DB8" i="13"/>
  <c r="DF8" i="13"/>
  <c r="DJ8" i="13"/>
  <c r="DN8" i="13"/>
  <c r="DR8" i="13"/>
  <c r="DV8" i="13"/>
  <c r="BZ3" i="13"/>
  <c r="CD3" i="13"/>
  <c r="CH3" i="13"/>
  <c r="CL3" i="13"/>
  <c r="CP3" i="13"/>
  <c r="CT3" i="13"/>
  <c r="CX3" i="13"/>
  <c r="DB3" i="13"/>
  <c r="DF3" i="13"/>
  <c r="DJ3" i="13"/>
  <c r="DN3" i="13"/>
  <c r="DR3" i="13"/>
  <c r="DV3" i="13"/>
  <c r="GE5" i="13"/>
  <c r="GH5" i="13"/>
  <c r="F4" i="13"/>
  <c r="J4" i="13"/>
  <c r="N4" i="13"/>
  <c r="R4" i="13"/>
  <c r="V4" i="13"/>
  <c r="Z4" i="13"/>
  <c r="AD4" i="13"/>
  <c r="AH4" i="13"/>
  <c r="AL4" i="13"/>
  <c r="AP4" i="13"/>
  <c r="AT4" i="13"/>
  <c r="AX4" i="13"/>
  <c r="BB4" i="13"/>
  <c r="BF4" i="13"/>
  <c r="BJ4" i="13"/>
  <c r="BN4" i="13"/>
  <c r="BR4" i="13"/>
  <c r="BV4" i="13"/>
  <c r="BZ4" i="13"/>
  <c r="CD4" i="13"/>
  <c r="CH4" i="13"/>
  <c r="CL4" i="13"/>
  <c r="CP4" i="13"/>
  <c r="CT4" i="13"/>
  <c r="CX4" i="13"/>
  <c r="DB4" i="13"/>
  <c r="DF4" i="13"/>
  <c r="DJ4" i="13"/>
  <c r="DN4" i="13"/>
  <c r="DR4" i="13"/>
  <c r="DV4" i="13"/>
  <c r="GH6" i="13"/>
  <c r="GE6" i="13"/>
  <c r="FZ7" i="13"/>
  <c r="DV7" i="13"/>
  <c r="DR7" i="13"/>
  <c r="DN7" i="13"/>
  <c r="DJ7" i="13"/>
  <c r="DF7" i="13"/>
  <c r="DB7" i="13"/>
  <c r="CX7" i="13"/>
  <c r="CT7" i="13"/>
  <c r="CP7" i="13"/>
  <c r="CL7" i="13"/>
  <c r="CH7" i="13"/>
  <c r="CD7" i="13"/>
  <c r="BZ7" i="13"/>
  <c r="BV7" i="13"/>
  <c r="BR7" i="13"/>
  <c r="BN7" i="13"/>
  <c r="BJ7" i="13"/>
  <c r="BF7" i="13"/>
  <c r="BB7" i="13"/>
  <c r="AX7" i="13"/>
  <c r="AT7" i="13"/>
  <c r="AP7" i="13"/>
  <c r="AL7" i="13"/>
  <c r="AH7" i="13"/>
  <c r="AD7" i="13"/>
  <c r="Z7" i="13"/>
  <c r="V7" i="13"/>
  <c r="R7" i="13"/>
  <c r="N7" i="13"/>
  <c r="J7" i="13"/>
  <c r="F7" i="13"/>
  <c r="GH9" i="13"/>
  <c r="GE9" i="13"/>
  <c r="GH10" i="13"/>
  <c r="GE10" i="13"/>
  <c r="GH11" i="13"/>
  <c r="GE11" i="13"/>
  <c r="F9" i="13"/>
  <c r="J9" i="13"/>
  <c r="N9" i="13"/>
  <c r="R9" i="13"/>
  <c r="V9" i="13"/>
  <c r="Z9" i="13"/>
  <c r="AD9" i="13"/>
  <c r="AH9" i="13"/>
  <c r="AL9" i="13"/>
  <c r="AP9" i="13"/>
  <c r="AT9" i="13"/>
  <c r="AX9" i="13"/>
  <c r="BB9" i="13"/>
  <c r="BF9" i="13"/>
  <c r="BJ9" i="13"/>
  <c r="BN9" i="13"/>
  <c r="BR9" i="13"/>
  <c r="BV9" i="13"/>
  <c r="BZ9" i="13"/>
  <c r="CD9" i="13"/>
  <c r="CH9" i="13"/>
  <c r="CL9" i="13"/>
  <c r="CP9" i="13"/>
  <c r="CT9" i="13"/>
  <c r="CX9" i="13"/>
  <c r="DB9" i="13"/>
  <c r="DF9" i="13"/>
  <c r="DJ9" i="13"/>
  <c r="DN9" i="13"/>
  <c r="DR9" i="13"/>
  <c r="DV9" i="13"/>
  <c r="F13" i="13"/>
  <c r="GD13" i="13" s="1"/>
  <c r="HD14" i="15" l="1"/>
  <c r="GD9" i="13"/>
  <c r="GD8" i="13"/>
  <c r="GD6" i="13"/>
  <c r="GD10" i="13"/>
  <c r="GG10" i="13" s="1"/>
  <c r="GD7" i="13"/>
  <c r="GD4" i="13"/>
  <c r="GD5" i="13"/>
  <c r="GG5" i="13" s="1"/>
  <c r="GD3" i="13"/>
  <c r="GG3" i="13" s="1"/>
  <c r="HJ9" i="15"/>
  <c r="HG5" i="15"/>
  <c r="HG11" i="15"/>
  <c r="HJ8" i="15"/>
  <c r="HF5" i="15"/>
  <c r="HI5" i="15" s="1"/>
  <c r="HF3" i="15"/>
  <c r="HI3" i="15" s="1"/>
  <c r="GE8" i="13"/>
  <c r="GH4" i="13"/>
  <c r="GE3" i="13"/>
  <c r="GG6" i="13"/>
  <c r="GG7" i="13"/>
  <c r="HF9" i="15"/>
  <c r="HI9" i="15" s="1"/>
  <c r="HF11" i="15"/>
  <c r="HI11" i="15" s="1"/>
  <c r="HJ4" i="15"/>
  <c r="FJ13" i="15"/>
  <c r="FG13" i="15"/>
  <c r="HC13" i="15" s="1"/>
  <c r="DN13" i="15"/>
  <c r="AT13" i="15"/>
  <c r="AP13" i="15"/>
  <c r="AL13" i="15"/>
  <c r="AH13" i="15"/>
  <c r="AD13" i="15"/>
  <c r="Z13" i="15"/>
  <c r="V13" i="15"/>
  <c r="R13" i="15"/>
  <c r="N13" i="15"/>
  <c r="J13" i="15"/>
  <c r="F13" i="15"/>
  <c r="HF8" i="15"/>
  <c r="HI8" i="15" s="1"/>
  <c r="HF6" i="15"/>
  <c r="HI6" i="15" s="1"/>
  <c r="HJ6" i="15"/>
  <c r="HG6" i="15"/>
  <c r="DN12" i="15"/>
  <c r="AT12" i="15"/>
  <c r="AP12" i="15"/>
  <c r="AL12" i="15"/>
  <c r="AH12" i="15"/>
  <c r="AD12" i="15"/>
  <c r="Z12" i="15"/>
  <c r="V12" i="15"/>
  <c r="R12" i="15"/>
  <c r="N12" i="15"/>
  <c r="F12" i="15"/>
  <c r="FJ12" i="15"/>
  <c r="FG12" i="15"/>
  <c r="HC12" i="15" s="1"/>
  <c r="HF4" i="15"/>
  <c r="HI4" i="15" s="1"/>
  <c r="GG8" i="13"/>
  <c r="GG9" i="13"/>
  <c r="GH7" i="13"/>
  <c r="GE7" i="13"/>
  <c r="GG4" i="13"/>
  <c r="HG15" i="15" l="1"/>
  <c r="HJ15" i="15" s="1"/>
  <c r="GE15" i="13"/>
  <c r="GH15" i="13" s="1"/>
  <c r="HI15" i="15"/>
  <c r="FF12" i="15"/>
  <c r="FI12" i="15" s="1"/>
  <c r="HD12" i="15" s="1"/>
  <c r="FF13" i="15"/>
  <c r="FI13" i="15" s="1"/>
  <c r="HD13" i="15" s="1"/>
  <c r="GG15" i="13"/>
  <c r="FE14" i="11" l="1"/>
  <c r="DN14" i="11" s="1"/>
  <c r="FC14" i="11"/>
  <c r="AS14" i="11"/>
  <c r="AO14" i="11"/>
  <c r="AK14" i="11"/>
  <c r="AH14" i="11"/>
  <c r="AG14" i="11"/>
  <c r="AD14" i="11"/>
  <c r="AC14" i="11"/>
  <c r="Z14" i="11"/>
  <c r="Y14" i="11"/>
  <c r="V14" i="11"/>
  <c r="U14" i="11"/>
  <c r="R14" i="11"/>
  <c r="Q14" i="11"/>
  <c r="N14" i="11"/>
  <c r="M14" i="11"/>
  <c r="J14" i="11"/>
  <c r="I14" i="11"/>
  <c r="F14" i="11"/>
  <c r="E14" i="11"/>
  <c r="AS13" i="11"/>
  <c r="AO13" i="11"/>
  <c r="AK13" i="11"/>
  <c r="AG13" i="11"/>
  <c r="AC13" i="11"/>
  <c r="Y13" i="11"/>
  <c r="U13" i="11"/>
  <c r="Q13" i="11"/>
  <c r="M13" i="11"/>
  <c r="I13" i="11"/>
  <c r="D13" i="11"/>
  <c r="FM13" i="11" s="1"/>
  <c r="BJ13" i="11" s="1"/>
  <c r="C13" i="11"/>
  <c r="FC13" i="11" s="1"/>
  <c r="AS12" i="11"/>
  <c r="AO12" i="11"/>
  <c r="AK12" i="11"/>
  <c r="AG12" i="11"/>
  <c r="AC12" i="11"/>
  <c r="Y12" i="11"/>
  <c r="U12" i="11"/>
  <c r="Q12" i="11"/>
  <c r="M12" i="11"/>
  <c r="H12" i="11"/>
  <c r="G12" i="11"/>
  <c r="FC12" i="11" s="1"/>
  <c r="D12" i="11"/>
  <c r="C12" i="11"/>
  <c r="FM11" i="11"/>
  <c r="FJ11" i="11" s="1"/>
  <c r="FK11" i="11"/>
  <c r="FI11" i="11"/>
  <c r="FE11" i="11"/>
  <c r="FA11" i="11"/>
  <c r="EW11" i="11"/>
  <c r="ES11" i="11"/>
  <c r="EO11" i="11"/>
  <c r="EK11" i="11"/>
  <c r="EG11" i="11"/>
  <c r="EC11" i="11"/>
  <c r="DY11" i="11"/>
  <c r="DU11" i="11"/>
  <c r="DQ11" i="11"/>
  <c r="DM11" i="11"/>
  <c r="DI11" i="11"/>
  <c r="DE11" i="11"/>
  <c r="DA11" i="11"/>
  <c r="CW11" i="11"/>
  <c r="CS11" i="11"/>
  <c r="CO11" i="11"/>
  <c r="CK11" i="11"/>
  <c r="CG11" i="11"/>
  <c r="CC11" i="11"/>
  <c r="BY11" i="11"/>
  <c r="BU11" i="11"/>
  <c r="BQ11" i="11"/>
  <c r="BM11" i="11"/>
  <c r="BI11" i="11"/>
  <c r="BE11" i="11"/>
  <c r="BA11" i="11"/>
  <c r="AW11" i="11"/>
  <c r="AS11" i="11"/>
  <c r="AO11" i="11"/>
  <c r="AK11" i="11"/>
  <c r="AG11" i="11"/>
  <c r="AC11" i="11"/>
  <c r="Y11" i="11"/>
  <c r="U11" i="11"/>
  <c r="Q11" i="11"/>
  <c r="M11" i="11"/>
  <c r="I11" i="11"/>
  <c r="E11" i="11"/>
  <c r="FM10" i="11"/>
  <c r="FJ10" i="11" s="1"/>
  <c r="FK10" i="11"/>
  <c r="FI10" i="11"/>
  <c r="FE10" i="11"/>
  <c r="FA10" i="11"/>
  <c r="EW10" i="11"/>
  <c r="ES10" i="11"/>
  <c r="EO10" i="11"/>
  <c r="EK10" i="11"/>
  <c r="EG10" i="11"/>
  <c r="EC10" i="11"/>
  <c r="DY10" i="11"/>
  <c r="DU10" i="11"/>
  <c r="DQ10" i="11"/>
  <c r="DM10" i="11"/>
  <c r="DI10" i="11"/>
  <c r="DE10" i="11"/>
  <c r="DB10" i="11"/>
  <c r="DA10" i="11"/>
  <c r="CX10" i="11"/>
  <c r="CW10" i="11"/>
  <c r="CS10" i="11"/>
  <c r="CO10" i="11"/>
  <c r="CL10" i="11"/>
  <c r="CK10" i="11"/>
  <c r="CH10" i="11"/>
  <c r="CG10" i="11"/>
  <c r="CD10" i="11"/>
  <c r="CC10" i="11"/>
  <c r="BZ10" i="11"/>
  <c r="BY10" i="11"/>
  <c r="BV10" i="11"/>
  <c r="BU10" i="11"/>
  <c r="BR10" i="11"/>
  <c r="BQ10" i="11"/>
  <c r="BN10" i="11"/>
  <c r="BM10" i="11"/>
  <c r="BJ10" i="11"/>
  <c r="BI10" i="11"/>
  <c r="BF10" i="11"/>
  <c r="BE10" i="11"/>
  <c r="BB10" i="11"/>
  <c r="BA10" i="11"/>
  <c r="AX10" i="11"/>
  <c r="AW10" i="11"/>
  <c r="AT10" i="11"/>
  <c r="AS10" i="11"/>
  <c r="AP10" i="11"/>
  <c r="AO10" i="11"/>
  <c r="AL10" i="11"/>
  <c r="AK10" i="11"/>
  <c r="AH10" i="11"/>
  <c r="AG10" i="11"/>
  <c r="AD10" i="11"/>
  <c r="AC10" i="11"/>
  <c r="Z10" i="11"/>
  <c r="Y10" i="11"/>
  <c r="V10" i="11"/>
  <c r="U10" i="11"/>
  <c r="R10" i="11"/>
  <c r="Q10" i="11"/>
  <c r="N10" i="11"/>
  <c r="M10" i="11"/>
  <c r="J10" i="11"/>
  <c r="I10" i="11"/>
  <c r="F10" i="11"/>
  <c r="E10" i="11"/>
  <c r="FM9" i="11"/>
  <c r="FJ9" i="11" s="1"/>
  <c r="FK9" i="11"/>
  <c r="FI9" i="11"/>
  <c r="FE9" i="11"/>
  <c r="FB9" i="11"/>
  <c r="FA9" i="11"/>
  <c r="EX9" i="11"/>
  <c r="EW9" i="11"/>
  <c r="ET9" i="11"/>
  <c r="ES9" i="11"/>
  <c r="EP9" i="11"/>
  <c r="EO9" i="11"/>
  <c r="EK9" i="11"/>
  <c r="EG9" i="11"/>
  <c r="ED9" i="11"/>
  <c r="EC9" i="11"/>
  <c r="DZ9" i="11"/>
  <c r="DY9" i="11"/>
  <c r="DV9" i="11"/>
  <c r="DU9" i="11"/>
  <c r="DR9" i="11"/>
  <c r="DQ9" i="11"/>
  <c r="DM9" i="11"/>
  <c r="DI9" i="11"/>
  <c r="DF9" i="11"/>
  <c r="DE9" i="11"/>
  <c r="DB9" i="11"/>
  <c r="DA9" i="11"/>
  <c r="CX9" i="11"/>
  <c r="CW9" i="11"/>
  <c r="CT9" i="11"/>
  <c r="CS9" i="11"/>
  <c r="CO9" i="11"/>
  <c r="CK9" i="11"/>
  <c r="CH9" i="11"/>
  <c r="CG9" i="11"/>
  <c r="CD9" i="11"/>
  <c r="CC9" i="11"/>
  <c r="BZ9" i="11"/>
  <c r="BY9" i="11"/>
  <c r="BV9" i="11"/>
  <c r="BU9" i="11"/>
  <c r="BQ9" i="11"/>
  <c r="BM9" i="11"/>
  <c r="BJ9" i="11"/>
  <c r="BI9" i="11"/>
  <c r="BF9" i="11"/>
  <c r="BE9" i="11"/>
  <c r="BB9" i="11"/>
  <c r="BA9" i="11"/>
  <c r="AX9" i="11"/>
  <c r="AW9" i="11"/>
  <c r="AS9" i="11"/>
  <c r="AP9" i="11"/>
  <c r="AO9" i="11"/>
  <c r="AL9" i="11"/>
  <c r="AK9" i="11"/>
  <c r="AH9" i="11"/>
  <c r="AG9" i="11"/>
  <c r="AD9" i="11"/>
  <c r="AC9" i="11"/>
  <c r="Z9" i="11"/>
  <c r="Y9" i="11"/>
  <c r="U9" i="11"/>
  <c r="R9" i="11"/>
  <c r="Q9" i="11"/>
  <c r="N9" i="11"/>
  <c r="M9" i="11"/>
  <c r="J9" i="11"/>
  <c r="I9" i="11"/>
  <c r="F9" i="11"/>
  <c r="E9" i="11"/>
  <c r="FM8" i="11"/>
  <c r="AT8" i="11" s="1"/>
  <c r="FK8" i="11"/>
  <c r="FI8" i="11"/>
  <c r="FE8" i="11"/>
  <c r="FA8" i="11"/>
  <c r="EW8" i="11"/>
  <c r="ES8" i="11"/>
  <c r="EO8" i="11"/>
  <c r="EK8" i="11"/>
  <c r="EG8" i="11"/>
  <c r="EC8" i="11"/>
  <c r="DY8" i="11"/>
  <c r="DU8" i="11"/>
  <c r="DQ8" i="11"/>
  <c r="DM8" i="11"/>
  <c r="DI8" i="11"/>
  <c r="DE8" i="11"/>
  <c r="DA8" i="11"/>
  <c r="CW8" i="11"/>
  <c r="CS8" i="11"/>
  <c r="CO8" i="11"/>
  <c r="CK8" i="11"/>
  <c r="CG8" i="11"/>
  <c r="CC8" i="11"/>
  <c r="BY8" i="11"/>
  <c r="BU8" i="11"/>
  <c r="BQ8" i="11"/>
  <c r="BM8" i="11"/>
  <c r="BI8" i="11"/>
  <c r="BE8" i="11"/>
  <c r="BA8" i="11"/>
  <c r="AX8" i="11"/>
  <c r="AW8" i="11"/>
  <c r="AS8" i="11"/>
  <c r="AO8" i="11"/>
  <c r="AK8" i="11"/>
  <c r="AG8" i="11"/>
  <c r="AC8" i="11"/>
  <c r="Z8" i="11"/>
  <c r="Y8" i="11"/>
  <c r="U8" i="11"/>
  <c r="Q8" i="11"/>
  <c r="M8" i="11"/>
  <c r="I8" i="11"/>
  <c r="E8" i="11"/>
  <c r="FM7" i="11"/>
  <c r="FJ7" i="11" s="1"/>
  <c r="FK7" i="11"/>
  <c r="FI7" i="11"/>
  <c r="FE7" i="11"/>
  <c r="FA7" i="11"/>
  <c r="EW7" i="11"/>
  <c r="ES7" i="11"/>
  <c r="EO7" i="11"/>
  <c r="EK7" i="11"/>
  <c r="EG7" i="11"/>
  <c r="EC7" i="11"/>
  <c r="DY7" i="11"/>
  <c r="DU7" i="11"/>
  <c r="DQ7" i="11"/>
  <c r="DM7" i="11"/>
  <c r="DI7" i="11"/>
  <c r="DE7" i="11"/>
  <c r="DA7" i="11"/>
  <c r="CW7" i="11"/>
  <c r="CS7" i="11"/>
  <c r="CO7" i="11"/>
  <c r="CK7" i="11"/>
  <c r="CG7" i="11"/>
  <c r="CC7" i="11"/>
  <c r="BY7" i="11"/>
  <c r="BU7" i="11"/>
  <c r="BQ7" i="11"/>
  <c r="BM7" i="11"/>
  <c r="BI7" i="11"/>
  <c r="BE7" i="11"/>
  <c r="BA7" i="11"/>
  <c r="AW7" i="11"/>
  <c r="AS7" i="11"/>
  <c r="AO7" i="11"/>
  <c r="AK7" i="11"/>
  <c r="AG7" i="11"/>
  <c r="AC7" i="11"/>
  <c r="Y7" i="11"/>
  <c r="U7" i="11"/>
  <c r="Q7" i="11"/>
  <c r="M7" i="11"/>
  <c r="I7" i="11"/>
  <c r="E7" i="11"/>
  <c r="FM6" i="11"/>
  <c r="FJ6" i="11" s="1"/>
  <c r="FK6" i="11"/>
  <c r="FI6" i="11"/>
  <c r="FE6" i="11"/>
  <c r="FA6" i="11"/>
  <c r="EW6" i="11"/>
  <c r="ES6" i="11"/>
  <c r="EO6" i="11"/>
  <c r="EK6" i="11"/>
  <c r="EG6" i="11"/>
  <c r="EC6" i="11"/>
  <c r="DZ6" i="11"/>
  <c r="DY6" i="11"/>
  <c r="DU6" i="11"/>
  <c r="DQ6" i="11"/>
  <c r="DM6" i="11"/>
  <c r="DI6" i="11"/>
  <c r="DE6" i="11"/>
  <c r="DB6" i="11"/>
  <c r="DA6" i="11"/>
  <c r="CW6" i="11"/>
  <c r="CS6" i="11"/>
  <c r="CO6" i="11"/>
  <c r="CK6" i="11"/>
  <c r="CG6" i="11"/>
  <c r="CD6" i="11"/>
  <c r="CC6" i="11"/>
  <c r="BY6" i="11"/>
  <c r="BU6" i="11"/>
  <c r="BQ6" i="11"/>
  <c r="BM6" i="11"/>
  <c r="BI6" i="11"/>
  <c r="BF6" i="11"/>
  <c r="BE6" i="11"/>
  <c r="BA6" i="11"/>
  <c r="AW6" i="11"/>
  <c r="AS6" i="11"/>
  <c r="AO6" i="11"/>
  <c r="AK6" i="11"/>
  <c r="AH6" i="11"/>
  <c r="AG6" i="11"/>
  <c r="AC6" i="11"/>
  <c r="Y6" i="11"/>
  <c r="U6" i="11"/>
  <c r="Q6" i="11"/>
  <c r="M6" i="11"/>
  <c r="J6" i="11"/>
  <c r="I6" i="11"/>
  <c r="E6" i="11"/>
  <c r="FM5" i="11"/>
  <c r="FJ5" i="11" s="1"/>
  <c r="FK5" i="11"/>
  <c r="FI5" i="11"/>
  <c r="FE5" i="11"/>
  <c r="FA5" i="11"/>
  <c r="EW5" i="11"/>
  <c r="ES5" i="11"/>
  <c r="EO5" i="11"/>
  <c r="EK5" i="11"/>
  <c r="EG5" i="11"/>
  <c r="EC5" i="11"/>
  <c r="DY5" i="11"/>
  <c r="DU5" i="11"/>
  <c r="DQ5" i="11"/>
  <c r="DM5" i="11"/>
  <c r="DI5" i="11"/>
  <c r="DE5" i="11"/>
  <c r="DB5" i="11"/>
  <c r="DA5" i="11"/>
  <c r="CW5" i="11"/>
  <c r="CT5" i="11"/>
  <c r="CS5" i="11"/>
  <c r="CO5" i="11"/>
  <c r="CK5" i="11"/>
  <c r="CG5" i="11"/>
  <c r="CD5" i="11"/>
  <c r="CC5" i="11"/>
  <c r="BY5" i="11"/>
  <c r="BV5" i="11"/>
  <c r="BU5" i="11"/>
  <c r="BQ5" i="11"/>
  <c r="BM5" i="11"/>
  <c r="BI5" i="11"/>
  <c r="BF5" i="11"/>
  <c r="BE5" i="11"/>
  <c r="BA5" i="11"/>
  <c r="AX5" i="11"/>
  <c r="AW5" i="11"/>
  <c r="AS5" i="11"/>
  <c r="AO5" i="11"/>
  <c r="AK5" i="11"/>
  <c r="AH5" i="11"/>
  <c r="AG5" i="11"/>
  <c r="AC5" i="11"/>
  <c r="Z5" i="11"/>
  <c r="Y5" i="11"/>
  <c r="U5" i="11"/>
  <c r="Q5" i="11"/>
  <c r="M5" i="11"/>
  <c r="J5" i="11"/>
  <c r="I5" i="11"/>
  <c r="E5" i="11"/>
  <c r="FM4" i="11"/>
  <c r="FJ4" i="11" s="1"/>
  <c r="FK4" i="11"/>
  <c r="FI4" i="11"/>
  <c r="FE4" i="11"/>
  <c r="FA4" i="11"/>
  <c r="EW4" i="11"/>
  <c r="ES4" i="11"/>
  <c r="EO4" i="11"/>
  <c r="EK4" i="11"/>
  <c r="EG4" i="11"/>
  <c r="EC4" i="11"/>
  <c r="DY4" i="11"/>
  <c r="DU4" i="11"/>
  <c r="DQ4" i="11"/>
  <c r="DM4" i="11"/>
  <c r="DI4" i="11"/>
  <c r="DE4" i="11"/>
  <c r="DA4" i="11"/>
  <c r="CX4" i="11"/>
  <c r="CW4" i="11"/>
  <c r="CT4" i="11"/>
  <c r="CS4" i="11"/>
  <c r="CO4" i="11"/>
  <c r="CK4" i="11"/>
  <c r="CG4" i="11"/>
  <c r="CC4" i="11"/>
  <c r="BZ4" i="11"/>
  <c r="BY4" i="11"/>
  <c r="BV4" i="11"/>
  <c r="BU4" i="11"/>
  <c r="BQ4" i="11"/>
  <c r="BM4" i="11"/>
  <c r="BI4" i="11"/>
  <c r="BE4" i="11"/>
  <c r="BB4" i="11"/>
  <c r="BA4" i="11"/>
  <c r="AX4" i="11"/>
  <c r="AW4" i="11"/>
  <c r="AS4" i="11"/>
  <c r="AO4" i="11"/>
  <c r="AK4" i="11"/>
  <c r="AG4" i="11"/>
  <c r="AD4" i="11"/>
  <c r="AC4" i="11"/>
  <c r="Z4" i="11"/>
  <c r="Y4" i="11"/>
  <c r="U4" i="11"/>
  <c r="Q4" i="11"/>
  <c r="M4" i="11"/>
  <c r="I4" i="11"/>
  <c r="F4" i="11"/>
  <c r="E4" i="11"/>
  <c r="FL4" i="11" s="1"/>
  <c r="FM3" i="11"/>
  <c r="FJ3" i="11" s="1"/>
  <c r="FK3" i="11"/>
  <c r="FI3" i="11"/>
  <c r="FE3" i="11"/>
  <c r="FA3" i="11"/>
  <c r="EW3" i="11"/>
  <c r="ES3" i="11"/>
  <c r="EP3" i="11"/>
  <c r="EO3" i="11"/>
  <c r="EK3" i="11"/>
  <c r="EG3" i="11"/>
  <c r="EC3" i="11"/>
  <c r="DY3" i="11"/>
  <c r="DV3" i="11"/>
  <c r="DU3" i="11"/>
  <c r="DR3" i="11"/>
  <c r="DQ3" i="11"/>
  <c r="DM3" i="11"/>
  <c r="DI3" i="11"/>
  <c r="DE3" i="11"/>
  <c r="DA3" i="11"/>
  <c r="CX3" i="11"/>
  <c r="CW3" i="11"/>
  <c r="CT3" i="11"/>
  <c r="CS3" i="11"/>
  <c r="CO3" i="11"/>
  <c r="CK3" i="11"/>
  <c r="CG3" i="11"/>
  <c r="CC3" i="11"/>
  <c r="BZ3" i="11"/>
  <c r="BY3" i="11"/>
  <c r="BV3" i="11"/>
  <c r="BU3" i="11"/>
  <c r="BQ3" i="11"/>
  <c r="BM3" i="11"/>
  <c r="BI3" i="11"/>
  <c r="BE3" i="11"/>
  <c r="BB3" i="11"/>
  <c r="BA3" i="11"/>
  <c r="AX3" i="11"/>
  <c r="AW3" i="11"/>
  <c r="AS3" i="11"/>
  <c r="AO3" i="11"/>
  <c r="AK3" i="11"/>
  <c r="AG3" i="11"/>
  <c r="AD3" i="11"/>
  <c r="AC3" i="11"/>
  <c r="Z3" i="11"/>
  <c r="Y3" i="11"/>
  <c r="U3" i="11"/>
  <c r="Q3" i="11"/>
  <c r="M3" i="11"/>
  <c r="I3" i="11"/>
  <c r="F3" i="11"/>
  <c r="E3" i="11"/>
  <c r="FL3" i="11" s="1"/>
  <c r="FE14" i="10"/>
  <c r="DN14" i="10" s="1"/>
  <c r="FC14" i="10"/>
  <c r="AS14" i="10"/>
  <c r="AO14" i="10"/>
  <c r="AK14" i="10"/>
  <c r="AG14" i="10"/>
  <c r="AC14" i="10"/>
  <c r="Y14" i="10"/>
  <c r="U14" i="10"/>
  <c r="Q14" i="10"/>
  <c r="M14" i="10"/>
  <c r="I14" i="10"/>
  <c r="E14" i="10"/>
  <c r="AS13" i="10"/>
  <c r="AO13" i="10"/>
  <c r="AK13" i="10"/>
  <c r="AG13" i="10"/>
  <c r="AC13" i="10"/>
  <c r="Y13" i="10"/>
  <c r="U13" i="10"/>
  <c r="Q13" i="10"/>
  <c r="M13" i="10"/>
  <c r="I13" i="10"/>
  <c r="D13" i="10"/>
  <c r="C13" i="10"/>
  <c r="FC13" i="10" s="1"/>
  <c r="AS12" i="10"/>
  <c r="AO12" i="10"/>
  <c r="AK12" i="10"/>
  <c r="AG12" i="10"/>
  <c r="AC12" i="10"/>
  <c r="Y12" i="10"/>
  <c r="U12" i="10"/>
  <c r="Q12" i="10"/>
  <c r="M12" i="10"/>
  <c r="H12" i="10"/>
  <c r="G12" i="10"/>
  <c r="D12" i="10"/>
  <c r="C12" i="10"/>
  <c r="GH5" i="10"/>
  <c r="FE14" i="8"/>
  <c r="DN14" i="8" s="1"/>
  <c r="FC14" i="8"/>
  <c r="AS14" i="8"/>
  <c r="AO14" i="8"/>
  <c r="AK14" i="8"/>
  <c r="AG14" i="8"/>
  <c r="AC14" i="8"/>
  <c r="Y14" i="8"/>
  <c r="U14" i="8"/>
  <c r="Q14" i="8"/>
  <c r="M14" i="8"/>
  <c r="I14" i="8"/>
  <c r="E14" i="8"/>
  <c r="AS13" i="8"/>
  <c r="AO13" i="8"/>
  <c r="AK13" i="8"/>
  <c r="AG13" i="8"/>
  <c r="AC13" i="8"/>
  <c r="Y13" i="8"/>
  <c r="U13" i="8"/>
  <c r="Q13" i="8"/>
  <c r="M13" i="8"/>
  <c r="I13" i="8"/>
  <c r="D13" i="8"/>
  <c r="C13" i="8"/>
  <c r="FC13" i="8" s="1"/>
  <c r="AS12" i="8"/>
  <c r="AO12" i="8"/>
  <c r="AK12" i="8"/>
  <c r="AG12" i="8"/>
  <c r="AC12" i="8"/>
  <c r="Y12" i="8"/>
  <c r="U12" i="8"/>
  <c r="Q12" i="8"/>
  <c r="M12" i="8"/>
  <c r="H12" i="8"/>
  <c r="G12" i="8"/>
  <c r="D12" i="8"/>
  <c r="C12" i="8"/>
  <c r="FM11" i="8"/>
  <c r="BZ11" i="8" s="1"/>
  <c r="FK11" i="8"/>
  <c r="BY11" i="8"/>
  <c r="BV11" i="8"/>
  <c r="BU11" i="8"/>
  <c r="BR11" i="8"/>
  <c r="BQ11" i="8"/>
  <c r="BN11" i="8"/>
  <c r="BM11" i="8"/>
  <c r="BJ11" i="8"/>
  <c r="BI11" i="8"/>
  <c r="BF11" i="8"/>
  <c r="BE11" i="8"/>
  <c r="BA11" i="8"/>
  <c r="AX11" i="8"/>
  <c r="AW11" i="8"/>
  <c r="AT11" i="8"/>
  <c r="AS11" i="8"/>
  <c r="AP11" i="8"/>
  <c r="AO11" i="8"/>
  <c r="AL11" i="8"/>
  <c r="AK11" i="8"/>
  <c r="AH11" i="8"/>
  <c r="AG11" i="8"/>
  <c r="AC11" i="8"/>
  <c r="Z11" i="8"/>
  <c r="Y11" i="8"/>
  <c r="V11" i="8"/>
  <c r="U11" i="8"/>
  <c r="R11" i="8"/>
  <c r="Q11" i="8"/>
  <c r="N11" i="8"/>
  <c r="M11" i="8"/>
  <c r="J11" i="8"/>
  <c r="I11" i="8"/>
  <c r="E11" i="8"/>
  <c r="FM10" i="8"/>
  <c r="J10" i="8" s="1"/>
  <c r="FK10" i="8"/>
  <c r="BY10" i="8"/>
  <c r="BU10" i="8"/>
  <c r="BQ10" i="8"/>
  <c r="BM10" i="8"/>
  <c r="BI10" i="8"/>
  <c r="BE10" i="8"/>
  <c r="BA10" i="8"/>
  <c r="AW10" i="8"/>
  <c r="AS10" i="8"/>
  <c r="AO10" i="8"/>
  <c r="AK10" i="8"/>
  <c r="AG10" i="8"/>
  <c r="AC10" i="8"/>
  <c r="Y10" i="8"/>
  <c r="U10" i="8"/>
  <c r="Q10" i="8"/>
  <c r="M10" i="8"/>
  <c r="I10" i="8"/>
  <c r="E10" i="8"/>
  <c r="FM9" i="8"/>
  <c r="BJ9" i="8" s="1"/>
  <c r="FK9" i="8"/>
  <c r="BY9" i="8"/>
  <c r="BV9" i="8"/>
  <c r="BU9" i="8"/>
  <c r="BR9" i="8"/>
  <c r="BQ9" i="8"/>
  <c r="BN9" i="8"/>
  <c r="BM9" i="8"/>
  <c r="BI9" i="8"/>
  <c r="BF9" i="8"/>
  <c r="BE9" i="8"/>
  <c r="BA9" i="8"/>
  <c r="AX9" i="8"/>
  <c r="AW9" i="8"/>
  <c r="AT9" i="8"/>
  <c r="AS9" i="8"/>
  <c r="AP9" i="8"/>
  <c r="AO9" i="8"/>
  <c r="AK9" i="8"/>
  <c r="AH9" i="8"/>
  <c r="AG9" i="8"/>
  <c r="AC9" i="8"/>
  <c r="Z9" i="8"/>
  <c r="Y9" i="8"/>
  <c r="V9" i="8"/>
  <c r="U9" i="8"/>
  <c r="R9" i="8"/>
  <c r="Q9" i="8"/>
  <c r="M9" i="8"/>
  <c r="J9" i="8"/>
  <c r="I9" i="8"/>
  <c r="E9" i="8"/>
  <c r="FM8" i="8"/>
  <c r="FK8" i="8"/>
  <c r="BY8" i="8"/>
  <c r="BU8" i="8"/>
  <c r="BQ8" i="8"/>
  <c r="BM8" i="8"/>
  <c r="BI8" i="8"/>
  <c r="BE8" i="8"/>
  <c r="BA8" i="8"/>
  <c r="AW8" i="8"/>
  <c r="AS8" i="8"/>
  <c r="AO8" i="8"/>
  <c r="AK8" i="8"/>
  <c r="AG8" i="8"/>
  <c r="AC8" i="8"/>
  <c r="Y8" i="8"/>
  <c r="U8" i="8"/>
  <c r="Q8" i="8"/>
  <c r="M8" i="8"/>
  <c r="I8" i="8"/>
  <c r="E8" i="8"/>
  <c r="FM7" i="8"/>
  <c r="FK7" i="8"/>
  <c r="BZ7" i="8"/>
  <c r="BY7" i="8"/>
  <c r="BV7" i="8"/>
  <c r="BU7" i="8"/>
  <c r="BR7" i="8"/>
  <c r="BQ7" i="8"/>
  <c r="BN7" i="8"/>
  <c r="BM7" i="8"/>
  <c r="BJ7" i="8"/>
  <c r="BI7" i="8"/>
  <c r="BF7" i="8"/>
  <c r="BE7" i="8"/>
  <c r="BB7" i="8"/>
  <c r="BA7" i="8"/>
  <c r="AX7" i="8"/>
  <c r="AW7" i="8"/>
  <c r="AT7" i="8"/>
  <c r="AS7" i="8"/>
  <c r="AP7" i="8"/>
  <c r="AO7" i="8"/>
  <c r="AL7" i="8"/>
  <c r="AK7" i="8"/>
  <c r="AH7" i="8"/>
  <c r="AG7" i="8"/>
  <c r="AD7" i="8"/>
  <c r="AC7" i="8"/>
  <c r="Z7" i="8"/>
  <c r="Y7" i="8"/>
  <c r="V7" i="8"/>
  <c r="U7" i="8"/>
  <c r="R7" i="8"/>
  <c r="Q7" i="8"/>
  <c r="N7" i="8"/>
  <c r="M7" i="8"/>
  <c r="J7" i="8"/>
  <c r="I7" i="8"/>
  <c r="F7" i="8"/>
  <c r="E7" i="8"/>
  <c r="FM6" i="8"/>
  <c r="AT6" i="8" s="1"/>
  <c r="FK6" i="8"/>
  <c r="BY6" i="8"/>
  <c r="BU6" i="8"/>
  <c r="BQ6" i="8"/>
  <c r="BM6" i="8"/>
  <c r="BI6" i="8"/>
  <c r="BE6" i="8"/>
  <c r="BA6" i="8"/>
  <c r="AW6" i="8"/>
  <c r="AS6" i="8"/>
  <c r="AO6" i="8"/>
  <c r="AK6" i="8"/>
  <c r="AG6" i="8"/>
  <c r="AC6" i="8"/>
  <c r="Y6" i="8"/>
  <c r="U6" i="8"/>
  <c r="Q6" i="8"/>
  <c r="M6" i="8"/>
  <c r="I6" i="8"/>
  <c r="E6" i="8"/>
  <c r="FM5" i="8"/>
  <c r="FK5" i="8"/>
  <c r="BY5" i="8"/>
  <c r="BU5" i="8"/>
  <c r="BQ5" i="8"/>
  <c r="BM5" i="8"/>
  <c r="BI5" i="8"/>
  <c r="BE5" i="8"/>
  <c r="BA5" i="8"/>
  <c r="AW5" i="8"/>
  <c r="AS5" i="8"/>
  <c r="AO5" i="8"/>
  <c r="AK5" i="8"/>
  <c r="AG5" i="8"/>
  <c r="AC5" i="8"/>
  <c r="Y5" i="8"/>
  <c r="U5" i="8"/>
  <c r="Q5" i="8"/>
  <c r="M5" i="8"/>
  <c r="I5" i="8"/>
  <c r="E5" i="8"/>
  <c r="FM4" i="8"/>
  <c r="BZ4" i="8" s="1"/>
  <c r="FK4" i="8"/>
  <c r="BY4" i="8"/>
  <c r="BV4" i="8"/>
  <c r="BU4" i="8"/>
  <c r="BR4" i="8"/>
  <c r="BQ4" i="8"/>
  <c r="BN4" i="8"/>
  <c r="BM4" i="8"/>
  <c r="BJ4" i="8"/>
  <c r="BI4" i="8"/>
  <c r="BF4" i="8"/>
  <c r="BE4" i="8"/>
  <c r="BA4" i="8"/>
  <c r="AX4" i="8"/>
  <c r="AW4" i="8"/>
  <c r="AT4" i="8"/>
  <c r="AS4" i="8"/>
  <c r="AP4" i="8"/>
  <c r="AO4" i="8"/>
  <c r="AL4" i="8"/>
  <c r="AK4" i="8"/>
  <c r="AH4" i="8"/>
  <c r="AG4" i="8"/>
  <c r="AC4" i="8"/>
  <c r="Z4" i="8"/>
  <c r="Y4" i="8"/>
  <c r="V4" i="8"/>
  <c r="U4" i="8"/>
  <c r="R4" i="8"/>
  <c r="Q4" i="8"/>
  <c r="N4" i="8"/>
  <c r="M4" i="8"/>
  <c r="J4" i="8"/>
  <c r="I4" i="8"/>
  <c r="E4" i="8"/>
  <c r="FM3" i="8"/>
  <c r="FK3" i="8"/>
  <c r="BY3" i="8"/>
  <c r="BU3" i="8"/>
  <c r="BQ3" i="8"/>
  <c r="BM3" i="8"/>
  <c r="BI3" i="8"/>
  <c r="BE3" i="8"/>
  <c r="BA3" i="8"/>
  <c r="AW3" i="8"/>
  <c r="AS3" i="8"/>
  <c r="AO3" i="8"/>
  <c r="AK3" i="8"/>
  <c r="AG3" i="8"/>
  <c r="AC3" i="8"/>
  <c r="Y3" i="8"/>
  <c r="U3" i="8"/>
  <c r="Q3" i="8"/>
  <c r="M3" i="8"/>
  <c r="I3" i="8"/>
  <c r="E3" i="8"/>
  <c r="FE14" i="7"/>
  <c r="DN14" i="7" s="1"/>
  <c r="FC14" i="7"/>
  <c r="AS14" i="7"/>
  <c r="AO14" i="7"/>
  <c r="AK14" i="7"/>
  <c r="AG14" i="7"/>
  <c r="AC14" i="7"/>
  <c r="Y14" i="7"/>
  <c r="U14" i="7"/>
  <c r="Q14" i="7"/>
  <c r="M14" i="7"/>
  <c r="I14" i="7"/>
  <c r="E14" i="7"/>
  <c r="AS13" i="7"/>
  <c r="AO13" i="7"/>
  <c r="AK13" i="7"/>
  <c r="AG13" i="7"/>
  <c r="AC13" i="7"/>
  <c r="Y13" i="7"/>
  <c r="U13" i="7"/>
  <c r="Q13" i="7"/>
  <c r="M13" i="7"/>
  <c r="I13" i="7"/>
  <c r="D13" i="7"/>
  <c r="C13" i="7"/>
  <c r="FC13" i="7" s="1"/>
  <c r="AS12" i="7"/>
  <c r="AO12" i="7"/>
  <c r="AK12" i="7"/>
  <c r="AG12" i="7"/>
  <c r="AC12" i="7"/>
  <c r="Y12" i="7"/>
  <c r="U12" i="7"/>
  <c r="Q12" i="7"/>
  <c r="M12" i="7"/>
  <c r="H12" i="7"/>
  <c r="G12" i="7"/>
  <c r="D12" i="7"/>
  <c r="C12" i="7"/>
  <c r="FM11" i="7"/>
  <c r="BJ11" i="7" s="1"/>
  <c r="FK11" i="7"/>
  <c r="BR11" i="7"/>
  <c r="BQ11" i="7"/>
  <c r="BN11" i="7"/>
  <c r="BM11" i="7"/>
  <c r="BI11" i="7"/>
  <c r="BE11" i="7"/>
  <c r="BB11" i="7"/>
  <c r="BA11" i="7"/>
  <c r="AX11" i="7"/>
  <c r="AW11" i="7"/>
  <c r="AT11" i="7"/>
  <c r="AS11" i="7"/>
  <c r="AP11" i="7"/>
  <c r="AO11" i="7"/>
  <c r="AK11" i="7"/>
  <c r="AG11" i="7"/>
  <c r="AD11" i="7"/>
  <c r="AC11" i="7"/>
  <c r="Z11" i="7"/>
  <c r="Y11" i="7"/>
  <c r="V11" i="7"/>
  <c r="U11" i="7"/>
  <c r="R11" i="7"/>
  <c r="Q11" i="7"/>
  <c r="M11" i="7"/>
  <c r="I11" i="7"/>
  <c r="F11" i="7"/>
  <c r="E11" i="7"/>
  <c r="FM10" i="7"/>
  <c r="BQ10" i="7"/>
  <c r="BM10" i="7"/>
  <c r="BI10" i="7"/>
  <c r="BE10" i="7"/>
  <c r="BA10" i="7"/>
  <c r="AW10" i="7"/>
  <c r="AS10" i="7"/>
  <c r="AO10" i="7"/>
  <c r="AK10" i="7"/>
  <c r="AG10" i="7"/>
  <c r="AC10" i="7"/>
  <c r="Y10" i="7"/>
  <c r="U10" i="7"/>
  <c r="Q10" i="7"/>
  <c r="M10" i="7"/>
  <c r="I10" i="7"/>
  <c r="E10" i="7"/>
  <c r="FM9" i="7"/>
  <c r="FK9" i="7"/>
  <c r="BQ9" i="7"/>
  <c r="BM9" i="7"/>
  <c r="BI9" i="7"/>
  <c r="BE9" i="7"/>
  <c r="BA9" i="7"/>
  <c r="AW9" i="7"/>
  <c r="AS9" i="7"/>
  <c r="AO9" i="7"/>
  <c r="AK9" i="7"/>
  <c r="AG9" i="7"/>
  <c r="AC9" i="7"/>
  <c r="Y9" i="7"/>
  <c r="U9" i="7"/>
  <c r="Q9" i="7"/>
  <c r="M9" i="7"/>
  <c r="I9" i="7"/>
  <c r="E9" i="7"/>
  <c r="FM8" i="7"/>
  <c r="FK8" i="7"/>
  <c r="BQ8" i="7"/>
  <c r="BM8" i="7"/>
  <c r="BI8" i="7"/>
  <c r="BE8" i="7"/>
  <c r="BA8" i="7"/>
  <c r="AW8" i="7"/>
  <c r="AS8" i="7"/>
  <c r="AO8" i="7"/>
  <c r="AK8" i="7"/>
  <c r="AG8" i="7"/>
  <c r="AC8" i="7"/>
  <c r="Y8" i="7"/>
  <c r="U8" i="7"/>
  <c r="Q8" i="7"/>
  <c r="M8" i="7"/>
  <c r="I8" i="7"/>
  <c r="E8" i="7"/>
  <c r="FM7" i="7"/>
  <c r="FK7" i="7"/>
  <c r="BQ7" i="7"/>
  <c r="BM7" i="7"/>
  <c r="BI7" i="7"/>
  <c r="BE7" i="7"/>
  <c r="BA7" i="7"/>
  <c r="AW7" i="7"/>
  <c r="AS7" i="7"/>
  <c r="AO7" i="7"/>
  <c r="AK7" i="7"/>
  <c r="AG7" i="7"/>
  <c r="AC7" i="7"/>
  <c r="Y7" i="7"/>
  <c r="U7" i="7"/>
  <c r="Q7" i="7"/>
  <c r="M7" i="7"/>
  <c r="I7" i="7"/>
  <c r="E7" i="7"/>
  <c r="FM6" i="7"/>
  <c r="FK6" i="7"/>
  <c r="BQ6" i="7"/>
  <c r="BM6" i="7"/>
  <c r="BI6" i="7"/>
  <c r="BE6" i="7"/>
  <c r="BA6" i="7"/>
  <c r="AW6" i="7"/>
  <c r="AS6" i="7"/>
  <c r="AO6" i="7"/>
  <c r="AK6" i="7"/>
  <c r="AG6" i="7"/>
  <c r="AC6" i="7"/>
  <c r="Y6" i="7"/>
  <c r="U6" i="7"/>
  <c r="Q6" i="7"/>
  <c r="M6" i="7"/>
  <c r="I6" i="7"/>
  <c r="E6" i="7"/>
  <c r="FM5" i="7"/>
  <c r="FK5" i="7"/>
  <c r="BQ5" i="7"/>
  <c r="BM5" i="7"/>
  <c r="BI5" i="7"/>
  <c r="BE5" i="7"/>
  <c r="BA5" i="7"/>
  <c r="AW5" i="7"/>
  <c r="AS5" i="7"/>
  <c r="AO5" i="7"/>
  <c r="AK5" i="7"/>
  <c r="AG5" i="7"/>
  <c r="AC5" i="7"/>
  <c r="Y5" i="7"/>
  <c r="U5" i="7"/>
  <c r="Q5" i="7"/>
  <c r="M5" i="7"/>
  <c r="I5" i="7"/>
  <c r="E5" i="7"/>
  <c r="FM4" i="7"/>
  <c r="FK4" i="7"/>
  <c r="BQ4" i="7"/>
  <c r="BM4" i="7"/>
  <c r="BI4" i="7"/>
  <c r="BE4" i="7"/>
  <c r="BA4" i="7"/>
  <c r="AW4" i="7"/>
  <c r="AS4" i="7"/>
  <c r="AK4" i="7"/>
  <c r="AG4" i="7"/>
  <c r="AC4" i="7"/>
  <c r="Y4" i="7"/>
  <c r="U4" i="7"/>
  <c r="Q4" i="7"/>
  <c r="M4" i="7"/>
  <c r="I4" i="7"/>
  <c r="E4" i="7"/>
  <c r="FM3" i="7"/>
  <c r="FK3" i="7"/>
  <c r="BQ3" i="7"/>
  <c r="BM3" i="7"/>
  <c r="BI3" i="7"/>
  <c r="BE3" i="7"/>
  <c r="BA3" i="7"/>
  <c r="AW3" i="7"/>
  <c r="AS3" i="7"/>
  <c r="AK3" i="7"/>
  <c r="AG3" i="7"/>
  <c r="AC3" i="7"/>
  <c r="Y3" i="7"/>
  <c r="U3" i="7"/>
  <c r="Q3" i="7"/>
  <c r="M3" i="7"/>
  <c r="I3" i="7"/>
  <c r="E3" i="7"/>
  <c r="V7" i="11" l="1"/>
  <c r="AT7" i="11"/>
  <c r="BR7" i="11"/>
  <c r="CP7" i="11"/>
  <c r="FL7" i="8"/>
  <c r="ET3" i="11"/>
  <c r="Z7" i="11"/>
  <c r="AX7" i="11"/>
  <c r="BV7" i="11"/>
  <c r="CT7" i="11"/>
  <c r="FL8" i="11"/>
  <c r="FO8" i="11" s="1"/>
  <c r="E12" i="11"/>
  <c r="AL11" i="11"/>
  <c r="FL9" i="8"/>
  <c r="FR9" i="8" s="1"/>
  <c r="N5" i="11"/>
  <c r="AL5" i="11"/>
  <c r="BJ5" i="11"/>
  <c r="CH5" i="11"/>
  <c r="DF5" i="11"/>
  <c r="N6" i="11"/>
  <c r="AL6" i="11"/>
  <c r="BJ6" i="11"/>
  <c r="CH6" i="11"/>
  <c r="DF6" i="11"/>
  <c r="ED6" i="11"/>
  <c r="FL7" i="11"/>
  <c r="F8" i="11"/>
  <c r="AD8" i="11"/>
  <c r="BB8" i="11"/>
  <c r="R11" i="11"/>
  <c r="AP11" i="11"/>
  <c r="BN11" i="11"/>
  <c r="CL11" i="11"/>
  <c r="DJ11" i="11"/>
  <c r="EH11" i="11"/>
  <c r="DF11" i="11"/>
  <c r="FL9" i="7"/>
  <c r="FL4" i="8"/>
  <c r="FR4" i="8" s="1"/>
  <c r="F9" i="8"/>
  <c r="AD9" i="8"/>
  <c r="BB9" i="8"/>
  <c r="BZ9" i="8"/>
  <c r="FL11" i="8"/>
  <c r="FR11" i="8" s="1"/>
  <c r="J3" i="11"/>
  <c r="FN3" i="11" s="1"/>
  <c r="FQ3" i="11" s="1"/>
  <c r="FQ16" i="11" s="1"/>
  <c r="AH3" i="11"/>
  <c r="BF3" i="11"/>
  <c r="CD3" i="11"/>
  <c r="DB3" i="11"/>
  <c r="DZ3" i="11"/>
  <c r="EX3" i="11"/>
  <c r="J4" i="11"/>
  <c r="AH4" i="11"/>
  <c r="BF4" i="11"/>
  <c r="CD4" i="11"/>
  <c r="DB4" i="11"/>
  <c r="F7" i="11"/>
  <c r="AD7" i="11"/>
  <c r="BB7" i="11"/>
  <c r="BZ7" i="11"/>
  <c r="CX7" i="11"/>
  <c r="BJ11" i="11"/>
  <c r="F4" i="8"/>
  <c r="AD4" i="8"/>
  <c r="BB4" i="8"/>
  <c r="F11" i="8"/>
  <c r="AD11" i="8"/>
  <c r="BB11" i="8"/>
  <c r="R5" i="11"/>
  <c r="AP5" i="11"/>
  <c r="BN5" i="11"/>
  <c r="CL5" i="11"/>
  <c r="DJ5" i="11"/>
  <c r="R6" i="11"/>
  <c r="AP6" i="11"/>
  <c r="BN6" i="11"/>
  <c r="CL6" i="11"/>
  <c r="DJ6" i="11"/>
  <c r="EH6" i="11"/>
  <c r="J8" i="11"/>
  <c r="AH8" i="11"/>
  <c r="BF8" i="11"/>
  <c r="FN8" i="11" s="1"/>
  <c r="FQ8" i="11" s="1"/>
  <c r="V11" i="11"/>
  <c r="AT11" i="11"/>
  <c r="BR11" i="11"/>
  <c r="CP11" i="11"/>
  <c r="DN11" i="11"/>
  <c r="EL11" i="11"/>
  <c r="N11" i="11"/>
  <c r="ED11" i="11"/>
  <c r="N3" i="11"/>
  <c r="AL3" i="11"/>
  <c r="BJ3" i="11"/>
  <c r="CH3" i="11"/>
  <c r="DF3" i="11"/>
  <c r="ED3" i="11"/>
  <c r="FB3" i="11"/>
  <c r="N4" i="11"/>
  <c r="AL4" i="11"/>
  <c r="BJ4" i="11"/>
  <c r="CH4" i="11"/>
  <c r="J7" i="11"/>
  <c r="AH7" i="11"/>
  <c r="BF7" i="11"/>
  <c r="CD7" i="11"/>
  <c r="DB7" i="11"/>
  <c r="BN9" i="11"/>
  <c r="CL9" i="11"/>
  <c r="DJ9" i="11"/>
  <c r="EH9" i="11"/>
  <c r="FF9" i="11"/>
  <c r="V5" i="11"/>
  <c r="AT5" i="11"/>
  <c r="BR5" i="11"/>
  <c r="CP5" i="11"/>
  <c r="DN5" i="11"/>
  <c r="V6" i="11"/>
  <c r="AT6" i="11"/>
  <c r="BR6" i="11"/>
  <c r="CP6" i="11"/>
  <c r="DN6" i="11"/>
  <c r="N8" i="11"/>
  <c r="AL8" i="11"/>
  <c r="Z11" i="11"/>
  <c r="AX11" i="11"/>
  <c r="BV11" i="11"/>
  <c r="CT11" i="11"/>
  <c r="DR11" i="11"/>
  <c r="J11" i="7"/>
  <c r="AH11" i="7"/>
  <c r="FN11" i="7" s="1"/>
  <c r="FQ11" i="7" s="1"/>
  <c r="BF11" i="7"/>
  <c r="N9" i="8"/>
  <c r="AL9" i="8"/>
  <c r="R3" i="11"/>
  <c r="AP3" i="11"/>
  <c r="BN3" i="11"/>
  <c r="CL3" i="11"/>
  <c r="DJ3" i="11"/>
  <c r="EH3" i="11"/>
  <c r="FF3" i="11"/>
  <c r="R4" i="11"/>
  <c r="AP4" i="11"/>
  <c r="BN4" i="11"/>
  <c r="CL4" i="11"/>
  <c r="N7" i="11"/>
  <c r="AL7" i="11"/>
  <c r="BJ7" i="11"/>
  <c r="CH7" i="11"/>
  <c r="DF7" i="11"/>
  <c r="V9" i="11"/>
  <c r="FN9" i="11" s="1"/>
  <c r="FQ9" i="11" s="1"/>
  <c r="AT9" i="11"/>
  <c r="BR9" i="11"/>
  <c r="CP9" i="11"/>
  <c r="DN9" i="11"/>
  <c r="EL9" i="11"/>
  <c r="CP10" i="11"/>
  <c r="FL11" i="11"/>
  <c r="Z6" i="11"/>
  <c r="AX6" i="11"/>
  <c r="BV6" i="11"/>
  <c r="CT6" i="11"/>
  <c r="DR6" i="11"/>
  <c r="R8" i="11"/>
  <c r="AP8" i="11"/>
  <c r="F11" i="11"/>
  <c r="AD11" i="11"/>
  <c r="BB11" i="11"/>
  <c r="BZ11" i="11"/>
  <c r="CX11" i="11"/>
  <c r="DV11" i="11"/>
  <c r="CH11" i="11"/>
  <c r="FL10" i="7"/>
  <c r="FO10" i="7" s="1"/>
  <c r="FL8" i="7"/>
  <c r="N11" i="7"/>
  <c r="AL11" i="7"/>
  <c r="V3" i="11"/>
  <c r="AT3" i="11"/>
  <c r="BR3" i="11"/>
  <c r="CP3" i="11"/>
  <c r="DN3" i="11"/>
  <c r="EL3" i="11"/>
  <c r="V4" i="11"/>
  <c r="AT4" i="11"/>
  <c r="BR4" i="11"/>
  <c r="CP4" i="11"/>
  <c r="FL5" i="11"/>
  <c r="FL6" i="11"/>
  <c r="R7" i="11"/>
  <c r="AP7" i="11"/>
  <c r="BN7" i="11"/>
  <c r="CL7" i="11"/>
  <c r="DJ7" i="11"/>
  <c r="CT10" i="11"/>
  <c r="F5" i="11"/>
  <c r="AD5" i="11"/>
  <c r="BB5" i="11"/>
  <c r="BZ5" i="11"/>
  <c r="CX5" i="11"/>
  <c r="F6" i="11"/>
  <c r="AD6" i="11"/>
  <c r="BB6" i="11"/>
  <c r="BZ6" i="11"/>
  <c r="CX6" i="11"/>
  <c r="DV6" i="11"/>
  <c r="V8" i="11"/>
  <c r="FL9" i="11"/>
  <c r="FL10" i="11"/>
  <c r="J11" i="11"/>
  <c r="AH11" i="11"/>
  <c r="BF11" i="11"/>
  <c r="CD11" i="11"/>
  <c r="DB11" i="11"/>
  <c r="DZ11" i="11"/>
  <c r="BR7" i="7"/>
  <c r="BB7" i="7"/>
  <c r="FL6" i="7"/>
  <c r="FO6" i="7" s="1"/>
  <c r="F7" i="7"/>
  <c r="J7" i="7"/>
  <c r="N7" i="7"/>
  <c r="R7" i="7"/>
  <c r="V7" i="7"/>
  <c r="Z7" i="7"/>
  <c r="AD7" i="7"/>
  <c r="AH7" i="7"/>
  <c r="AL7" i="7"/>
  <c r="AP7" i="7"/>
  <c r="FN7" i="7" s="1"/>
  <c r="FQ7" i="7" s="1"/>
  <c r="AT7" i="7"/>
  <c r="AX7" i="7"/>
  <c r="BF7" i="7"/>
  <c r="BJ7" i="7"/>
  <c r="BN7" i="7"/>
  <c r="FZ3" i="10"/>
  <c r="FF3" i="10"/>
  <c r="FB3" i="10"/>
  <c r="EX3" i="10"/>
  <c r="ET3" i="10"/>
  <c r="FZ4" i="10"/>
  <c r="FF4" i="10"/>
  <c r="FB4" i="10"/>
  <c r="EX4" i="10"/>
  <c r="ET4" i="10"/>
  <c r="FZ5" i="10"/>
  <c r="FF5" i="10"/>
  <c r="FB5" i="10"/>
  <c r="EX5" i="10"/>
  <c r="ET5" i="10"/>
  <c r="FZ6" i="10"/>
  <c r="FF6" i="10"/>
  <c r="FB6" i="10"/>
  <c r="EX6" i="10"/>
  <c r="ET6" i="10"/>
  <c r="FZ7" i="10"/>
  <c r="FF7" i="10"/>
  <c r="FB7" i="10"/>
  <c r="EX7" i="10"/>
  <c r="ET7" i="10"/>
  <c r="FZ8" i="10"/>
  <c r="FF8" i="10"/>
  <c r="FB8" i="10"/>
  <c r="EX8" i="10"/>
  <c r="ET8" i="10"/>
  <c r="FZ9" i="10"/>
  <c r="FF9" i="10"/>
  <c r="FB9" i="10"/>
  <c r="EX9" i="10"/>
  <c r="ET9" i="10"/>
  <c r="FZ10" i="10"/>
  <c r="FF10" i="10"/>
  <c r="FB10" i="10"/>
  <c r="EX10" i="10"/>
  <c r="ET10" i="10"/>
  <c r="FZ11" i="10"/>
  <c r="FF11" i="10"/>
  <c r="FB11" i="10"/>
  <c r="EX11" i="10"/>
  <c r="ET11" i="10"/>
  <c r="F11" i="10"/>
  <c r="J11" i="10"/>
  <c r="N11" i="10"/>
  <c r="R11" i="10"/>
  <c r="V11" i="10"/>
  <c r="Z11" i="10"/>
  <c r="AD11" i="10"/>
  <c r="AH11" i="10"/>
  <c r="AL11" i="10"/>
  <c r="AP11" i="10"/>
  <c r="GD11" i="10" s="1"/>
  <c r="GG11" i="10" s="1"/>
  <c r="AT11" i="10"/>
  <c r="AX11" i="10"/>
  <c r="BB11" i="10"/>
  <c r="BF11" i="10"/>
  <c r="BJ11" i="10"/>
  <c r="BN11" i="10"/>
  <c r="BR11" i="10"/>
  <c r="BV11" i="10"/>
  <c r="BZ11" i="10"/>
  <c r="CD11" i="10"/>
  <c r="CH11" i="10"/>
  <c r="CL11" i="10"/>
  <c r="CP11" i="10"/>
  <c r="CT11" i="10"/>
  <c r="CX11" i="10"/>
  <c r="DB11" i="10"/>
  <c r="DF11" i="10"/>
  <c r="DJ11" i="10"/>
  <c r="DN11" i="10"/>
  <c r="DR11" i="10"/>
  <c r="DV11" i="10"/>
  <c r="DZ11" i="10"/>
  <c r="ED11" i="10"/>
  <c r="EH11" i="10"/>
  <c r="EL11" i="10"/>
  <c r="EP11" i="10"/>
  <c r="F3" i="10"/>
  <c r="J3" i="10"/>
  <c r="N3" i="10"/>
  <c r="R3" i="10"/>
  <c r="V3" i="10"/>
  <c r="Z3" i="10"/>
  <c r="AD3" i="10"/>
  <c r="AH3" i="10"/>
  <c r="AL3" i="10"/>
  <c r="AP3" i="10"/>
  <c r="AT3" i="10"/>
  <c r="AX3" i="10"/>
  <c r="BB3" i="10"/>
  <c r="BF3" i="10"/>
  <c r="BJ3" i="10"/>
  <c r="BN3" i="10"/>
  <c r="BR3" i="10"/>
  <c r="BV3" i="10"/>
  <c r="BZ3" i="10"/>
  <c r="CD3" i="10"/>
  <c r="CH3" i="10"/>
  <c r="CL3" i="10"/>
  <c r="CP3" i="10"/>
  <c r="CT3" i="10"/>
  <c r="CX3" i="10"/>
  <c r="DB3" i="10"/>
  <c r="DF3" i="10"/>
  <c r="DJ3" i="10"/>
  <c r="DN3" i="10"/>
  <c r="DR3" i="10"/>
  <c r="DV3" i="10"/>
  <c r="DZ3" i="10"/>
  <c r="ED3" i="10"/>
  <c r="EH3" i="10"/>
  <c r="EL3" i="10"/>
  <c r="EP3" i="10"/>
  <c r="F4" i="10"/>
  <c r="J4" i="10"/>
  <c r="N4" i="10"/>
  <c r="R4" i="10"/>
  <c r="V4" i="10"/>
  <c r="Z4" i="10"/>
  <c r="AD4" i="10"/>
  <c r="AH4" i="10"/>
  <c r="AL4" i="10"/>
  <c r="AP4" i="10"/>
  <c r="AT4" i="10"/>
  <c r="AX4" i="10"/>
  <c r="BB4" i="10"/>
  <c r="BF4" i="10"/>
  <c r="BJ4" i="10"/>
  <c r="BN4" i="10"/>
  <c r="BR4" i="10"/>
  <c r="BV4" i="10"/>
  <c r="BZ4" i="10"/>
  <c r="CD4" i="10"/>
  <c r="CH4" i="10"/>
  <c r="CL4" i="10"/>
  <c r="CP4" i="10"/>
  <c r="CT4" i="10"/>
  <c r="CX4" i="10"/>
  <c r="DB4" i="10"/>
  <c r="DF4" i="10"/>
  <c r="DJ4" i="10"/>
  <c r="DN4" i="10"/>
  <c r="DR4" i="10"/>
  <c r="DV4" i="10"/>
  <c r="DZ4" i="10"/>
  <c r="ED4" i="10"/>
  <c r="EH4" i="10"/>
  <c r="EL4" i="10"/>
  <c r="EP4" i="10"/>
  <c r="F5" i="10"/>
  <c r="J5" i="10"/>
  <c r="N5" i="10"/>
  <c r="GD5" i="10" s="1"/>
  <c r="GG5" i="10" s="1"/>
  <c r="R5" i="10"/>
  <c r="V5" i="10"/>
  <c r="Z5" i="10"/>
  <c r="AD5" i="10"/>
  <c r="AH5" i="10"/>
  <c r="AL5" i="10"/>
  <c r="AP5" i="10"/>
  <c r="AT5" i="10"/>
  <c r="AX5" i="10"/>
  <c r="BB5" i="10"/>
  <c r="BF5" i="10"/>
  <c r="BJ5" i="10"/>
  <c r="BN5" i="10"/>
  <c r="BR5" i="10"/>
  <c r="BV5" i="10"/>
  <c r="BZ5" i="10"/>
  <c r="CD5" i="10"/>
  <c r="CH5" i="10"/>
  <c r="CL5" i="10"/>
  <c r="CP5" i="10"/>
  <c r="CT5" i="10"/>
  <c r="CX5" i="10"/>
  <c r="DB5" i="10"/>
  <c r="DF5" i="10"/>
  <c r="DJ5" i="10"/>
  <c r="DN5" i="10"/>
  <c r="DR5" i="10"/>
  <c r="DV5" i="10"/>
  <c r="DZ5" i="10"/>
  <c r="ED5" i="10"/>
  <c r="EH5" i="10"/>
  <c r="EL5" i="10"/>
  <c r="EP5" i="10"/>
  <c r="F6" i="10"/>
  <c r="J6" i="10"/>
  <c r="N6" i="10"/>
  <c r="R6" i="10"/>
  <c r="V6" i="10"/>
  <c r="Z6" i="10"/>
  <c r="AD6" i="10"/>
  <c r="AH6" i="10"/>
  <c r="AL6" i="10"/>
  <c r="AP6" i="10"/>
  <c r="AT6" i="10"/>
  <c r="AX6" i="10"/>
  <c r="BB6" i="10"/>
  <c r="BF6" i="10"/>
  <c r="BJ6" i="10"/>
  <c r="BN6" i="10"/>
  <c r="BR6" i="10"/>
  <c r="BV6" i="10"/>
  <c r="BZ6" i="10"/>
  <c r="CD6" i="10"/>
  <c r="CH6" i="10"/>
  <c r="CL6" i="10"/>
  <c r="CP6" i="10"/>
  <c r="CT6" i="10"/>
  <c r="CX6" i="10"/>
  <c r="DB6" i="10"/>
  <c r="DF6" i="10"/>
  <c r="DJ6" i="10"/>
  <c r="DN6" i="10"/>
  <c r="DR6" i="10"/>
  <c r="DV6" i="10"/>
  <c r="DZ6" i="10"/>
  <c r="ED6" i="10"/>
  <c r="EH6" i="10"/>
  <c r="EL6" i="10"/>
  <c r="EP6" i="10"/>
  <c r="F7" i="10"/>
  <c r="J7" i="10"/>
  <c r="N7" i="10"/>
  <c r="R7" i="10"/>
  <c r="V7" i="10"/>
  <c r="Z7" i="10"/>
  <c r="AD7" i="10"/>
  <c r="AH7" i="10"/>
  <c r="AL7" i="10"/>
  <c r="AP7" i="10"/>
  <c r="AT7" i="10"/>
  <c r="AX7" i="10"/>
  <c r="BB7" i="10"/>
  <c r="BF7" i="10"/>
  <c r="BJ7" i="10"/>
  <c r="BN7" i="10"/>
  <c r="BR7" i="10"/>
  <c r="BV7" i="10"/>
  <c r="BZ7" i="10"/>
  <c r="CD7" i="10"/>
  <c r="CH7" i="10"/>
  <c r="CL7" i="10"/>
  <c r="CP7" i="10"/>
  <c r="CT7" i="10"/>
  <c r="CX7" i="10"/>
  <c r="DB7" i="10"/>
  <c r="DF7" i="10"/>
  <c r="DJ7" i="10"/>
  <c r="DN7" i="10"/>
  <c r="DR7" i="10"/>
  <c r="DV7" i="10"/>
  <c r="DZ7" i="10"/>
  <c r="ED7" i="10"/>
  <c r="EH7" i="10"/>
  <c r="EL7" i="10"/>
  <c r="EP7" i="10"/>
  <c r="F8" i="10"/>
  <c r="J8" i="10"/>
  <c r="N8" i="10"/>
  <c r="R8" i="10"/>
  <c r="V8" i="10"/>
  <c r="Z8" i="10"/>
  <c r="AD8" i="10"/>
  <c r="AH8" i="10"/>
  <c r="AL8" i="10"/>
  <c r="AP8" i="10"/>
  <c r="AT8" i="10"/>
  <c r="AX8" i="10"/>
  <c r="BB8" i="10"/>
  <c r="BF8" i="10"/>
  <c r="BJ8" i="10"/>
  <c r="BN8" i="10"/>
  <c r="BR8" i="10"/>
  <c r="BV8" i="10"/>
  <c r="BZ8" i="10"/>
  <c r="CD8" i="10"/>
  <c r="CH8" i="10"/>
  <c r="CL8" i="10"/>
  <c r="CP8" i="10"/>
  <c r="CT8" i="10"/>
  <c r="CX8" i="10"/>
  <c r="DB8" i="10"/>
  <c r="DF8" i="10"/>
  <c r="DJ8" i="10"/>
  <c r="DN8" i="10"/>
  <c r="DR8" i="10"/>
  <c r="DV8" i="10"/>
  <c r="DZ8" i="10"/>
  <c r="ED8" i="10"/>
  <c r="EH8" i="10"/>
  <c r="EL8" i="10"/>
  <c r="EP8" i="10"/>
  <c r="F9" i="10"/>
  <c r="J9" i="10"/>
  <c r="N9" i="10"/>
  <c r="R9" i="10"/>
  <c r="V9" i="10"/>
  <c r="Z9" i="10"/>
  <c r="AD9" i="10"/>
  <c r="AH9" i="10"/>
  <c r="AL9" i="10"/>
  <c r="AP9" i="10"/>
  <c r="AT9" i="10"/>
  <c r="AX9" i="10"/>
  <c r="BB9" i="10"/>
  <c r="BF9" i="10"/>
  <c r="BJ9" i="10"/>
  <c r="BN9" i="10"/>
  <c r="BR9" i="10"/>
  <c r="BV9" i="10"/>
  <c r="BZ9" i="10"/>
  <c r="CD9" i="10"/>
  <c r="CH9" i="10"/>
  <c r="CL9" i="10"/>
  <c r="CP9" i="10"/>
  <c r="CT9" i="10"/>
  <c r="CX9" i="10"/>
  <c r="DB9" i="10"/>
  <c r="DF9" i="10"/>
  <c r="DJ9" i="10"/>
  <c r="DN9" i="10"/>
  <c r="DR9" i="10"/>
  <c r="DV9" i="10"/>
  <c r="DZ9" i="10"/>
  <c r="ED9" i="10"/>
  <c r="EH9" i="10"/>
  <c r="EL9" i="10"/>
  <c r="EP9" i="10"/>
  <c r="F10" i="10"/>
  <c r="J10" i="10"/>
  <c r="N10" i="10"/>
  <c r="R10" i="10"/>
  <c r="V10" i="10"/>
  <c r="Z10" i="10"/>
  <c r="AD10" i="10"/>
  <c r="AH10" i="10"/>
  <c r="AL10" i="10"/>
  <c r="AP10" i="10"/>
  <c r="AT10" i="10"/>
  <c r="AX10" i="10"/>
  <c r="BB10" i="10"/>
  <c r="BF10" i="10"/>
  <c r="BJ10" i="10"/>
  <c r="BN10" i="10"/>
  <c r="BR10" i="10"/>
  <c r="BV10" i="10"/>
  <c r="BZ10" i="10"/>
  <c r="CD10" i="10"/>
  <c r="CH10" i="10"/>
  <c r="CL10" i="10"/>
  <c r="CP10" i="10"/>
  <c r="CT10" i="10"/>
  <c r="CX10" i="10"/>
  <c r="DB10" i="10"/>
  <c r="DF10" i="10"/>
  <c r="DJ10" i="10"/>
  <c r="DN10" i="10"/>
  <c r="DR10" i="10"/>
  <c r="DV10" i="10"/>
  <c r="DZ10" i="10"/>
  <c r="ED10" i="10"/>
  <c r="EH10" i="10"/>
  <c r="EL10" i="10"/>
  <c r="EP10" i="10"/>
  <c r="FR9" i="7"/>
  <c r="F9" i="7"/>
  <c r="J9" i="7"/>
  <c r="N9" i="7"/>
  <c r="R9" i="7"/>
  <c r="V9" i="7"/>
  <c r="Z9" i="7"/>
  <c r="AD9" i="7"/>
  <c r="AH9" i="7"/>
  <c r="AL9" i="7"/>
  <c r="AP9" i="7"/>
  <c r="AT9" i="7"/>
  <c r="AX9" i="7"/>
  <c r="BB9" i="7"/>
  <c r="BF9" i="7"/>
  <c r="BJ9" i="7"/>
  <c r="BN9" i="7"/>
  <c r="BR9" i="7"/>
  <c r="GH7" i="10"/>
  <c r="GE10" i="10"/>
  <c r="GH8" i="10"/>
  <c r="GE6" i="10"/>
  <c r="GH4" i="10"/>
  <c r="GH3" i="10"/>
  <c r="E12" i="10"/>
  <c r="FE12" i="10"/>
  <c r="DN12" i="10" s="1"/>
  <c r="FC12" i="10"/>
  <c r="FR5" i="11"/>
  <c r="FO5" i="11"/>
  <c r="FR6" i="11"/>
  <c r="FO6" i="11"/>
  <c r="FR3" i="11"/>
  <c r="FO3" i="11"/>
  <c r="FO16" i="11" s="1"/>
  <c r="FR16" i="11" s="1"/>
  <c r="FR4" i="11"/>
  <c r="FO4" i="11"/>
  <c r="FR7" i="11"/>
  <c r="FO7" i="11"/>
  <c r="DR5" i="11"/>
  <c r="DV5" i="11"/>
  <c r="DZ5" i="11"/>
  <c r="ED5" i="11"/>
  <c r="EH5" i="11"/>
  <c r="EL5" i="11"/>
  <c r="EP5" i="11"/>
  <c r="ET5" i="11"/>
  <c r="EX5" i="11"/>
  <c r="FB5" i="11"/>
  <c r="FF5" i="11"/>
  <c r="DN7" i="11"/>
  <c r="DR7" i="11"/>
  <c r="DV7" i="11"/>
  <c r="DZ7" i="11"/>
  <c r="ED7" i="11"/>
  <c r="EH7" i="11"/>
  <c r="EL7" i="11"/>
  <c r="EP7" i="11"/>
  <c r="ET7" i="11"/>
  <c r="EX7" i="11"/>
  <c r="FB7" i="11"/>
  <c r="FF7" i="11"/>
  <c r="FJ8" i="11"/>
  <c r="FF8" i="11"/>
  <c r="FB8" i="11"/>
  <c r="EX8" i="11"/>
  <c r="ET8" i="11"/>
  <c r="EP8" i="11"/>
  <c r="EL8" i="11"/>
  <c r="EH8" i="11"/>
  <c r="ED8" i="11"/>
  <c r="DZ8" i="11"/>
  <c r="DV8" i="11"/>
  <c r="DR8" i="11"/>
  <c r="DN8" i="11"/>
  <c r="DJ8" i="11"/>
  <c r="DF8" i="11"/>
  <c r="DB8" i="11"/>
  <c r="CX8" i="11"/>
  <c r="CT8" i="11"/>
  <c r="CP8" i="11"/>
  <c r="CL8" i="11"/>
  <c r="CH8" i="11"/>
  <c r="CD8" i="11"/>
  <c r="BZ8" i="11"/>
  <c r="BV8" i="11"/>
  <c r="BR8" i="11"/>
  <c r="BN8" i="11"/>
  <c r="BJ8" i="11"/>
  <c r="FR8" i="11"/>
  <c r="FR11" i="11"/>
  <c r="FO11" i="11"/>
  <c r="DF4" i="11"/>
  <c r="DJ4" i="11"/>
  <c r="DN4" i="11"/>
  <c r="DR4" i="11"/>
  <c r="DV4" i="11"/>
  <c r="DZ4" i="11"/>
  <c r="ED4" i="11"/>
  <c r="EH4" i="11"/>
  <c r="EL4" i="11"/>
  <c r="EP4" i="11"/>
  <c r="ET4" i="11"/>
  <c r="EX4" i="11"/>
  <c r="FB4" i="11"/>
  <c r="FF4" i="11"/>
  <c r="EL6" i="11"/>
  <c r="EP6" i="11"/>
  <c r="ET6" i="11"/>
  <c r="EX6" i="11"/>
  <c r="FB6" i="11"/>
  <c r="FF6" i="11"/>
  <c r="FR9" i="11"/>
  <c r="FO9" i="11"/>
  <c r="FR10" i="11"/>
  <c r="FO10" i="11"/>
  <c r="EP11" i="11"/>
  <c r="FN11" i="11" s="1"/>
  <c r="FQ11" i="11" s="1"/>
  <c r="ET11" i="11"/>
  <c r="EX11" i="11"/>
  <c r="FB11" i="11"/>
  <c r="FF11" i="11"/>
  <c r="I12" i="11"/>
  <c r="FE12" i="11"/>
  <c r="F12" i="11" s="1"/>
  <c r="DF10" i="11"/>
  <c r="DJ10" i="11"/>
  <c r="DN10" i="11"/>
  <c r="DR10" i="11"/>
  <c r="DV10" i="11"/>
  <c r="DZ10" i="11"/>
  <c r="ED10" i="11"/>
  <c r="EH10" i="11"/>
  <c r="EL10" i="11"/>
  <c r="EP10" i="11"/>
  <c r="ET10" i="11"/>
  <c r="EX10" i="11"/>
  <c r="FB10" i="11"/>
  <c r="FF10" i="11"/>
  <c r="E13" i="11"/>
  <c r="FE13" i="11"/>
  <c r="AL14" i="11"/>
  <c r="AP14" i="11"/>
  <c r="AT14" i="11"/>
  <c r="FD14" i="11"/>
  <c r="F6" i="8"/>
  <c r="J6" i="8"/>
  <c r="N6" i="8"/>
  <c r="R6" i="8"/>
  <c r="V6" i="8"/>
  <c r="Z6" i="8"/>
  <c r="AD6" i="8"/>
  <c r="AH6" i="8"/>
  <c r="AL6" i="8"/>
  <c r="AP6" i="8"/>
  <c r="FN9" i="8"/>
  <c r="FQ9" i="8" s="1"/>
  <c r="FN11" i="8"/>
  <c r="FQ11" i="8" s="1"/>
  <c r="FN4" i="8"/>
  <c r="FQ4" i="8" s="1"/>
  <c r="FL10" i="8"/>
  <c r="FR10" i="8" s="1"/>
  <c r="FL8" i="8"/>
  <c r="FR8" i="8" s="1"/>
  <c r="FN7" i="8"/>
  <c r="FQ7" i="8" s="1"/>
  <c r="FL5" i="8"/>
  <c r="FR5" i="8" s="1"/>
  <c r="FL3" i="8"/>
  <c r="FO3" i="8" s="1"/>
  <c r="FE12" i="8"/>
  <c r="DN12" i="8" s="1"/>
  <c r="E12" i="8"/>
  <c r="FC12" i="8"/>
  <c r="GH9" i="10"/>
  <c r="GE9" i="10"/>
  <c r="GE5" i="10"/>
  <c r="GH11" i="10"/>
  <c r="GE11" i="10"/>
  <c r="I12" i="10"/>
  <c r="E13" i="10"/>
  <c r="FE13" i="10"/>
  <c r="F13" i="10" s="1"/>
  <c r="F14" i="10"/>
  <c r="J14" i="10"/>
  <c r="N14" i="10"/>
  <c r="R14" i="10"/>
  <c r="V14" i="10"/>
  <c r="Z14" i="10"/>
  <c r="AD14" i="10"/>
  <c r="AH14" i="10"/>
  <c r="AL14" i="10"/>
  <c r="AP14" i="10"/>
  <c r="AT14" i="10"/>
  <c r="FD14" i="10"/>
  <c r="GC14" i="10" s="1"/>
  <c r="F5" i="7"/>
  <c r="J5" i="7"/>
  <c r="N5" i="7"/>
  <c r="R5" i="7"/>
  <c r="V5" i="7"/>
  <c r="Z5" i="7"/>
  <c r="AD5" i="7"/>
  <c r="AH5" i="7"/>
  <c r="AL5" i="7"/>
  <c r="AP5" i="7"/>
  <c r="AT5" i="7"/>
  <c r="AX5" i="7"/>
  <c r="BB5" i="7"/>
  <c r="BF5" i="7"/>
  <c r="BJ5" i="7"/>
  <c r="BN5" i="7"/>
  <c r="BR5" i="7"/>
  <c r="FL5" i="7"/>
  <c r="FR5" i="7" s="1"/>
  <c r="F3" i="7"/>
  <c r="J3" i="7"/>
  <c r="N3" i="7"/>
  <c r="R3" i="7"/>
  <c r="V3" i="7"/>
  <c r="Z3" i="7"/>
  <c r="AD3" i="7"/>
  <c r="AH3" i="7"/>
  <c r="AL3" i="7"/>
  <c r="AP3" i="7"/>
  <c r="AT3" i="7"/>
  <c r="AX3" i="7"/>
  <c r="BB3" i="7"/>
  <c r="BF3" i="7"/>
  <c r="BJ3" i="7"/>
  <c r="BN3" i="7"/>
  <c r="FL11" i="7"/>
  <c r="FO11" i="7" s="1"/>
  <c r="FO8" i="7"/>
  <c r="FL7" i="7"/>
  <c r="FR7" i="7" s="1"/>
  <c r="FR6" i="7"/>
  <c r="FL4" i="7"/>
  <c r="FR4" i="7" s="1"/>
  <c r="FL3" i="7"/>
  <c r="FR3" i="7" s="1"/>
  <c r="E12" i="7"/>
  <c r="BR3" i="7"/>
  <c r="FE12" i="7"/>
  <c r="DN12" i="7" s="1"/>
  <c r="FC12" i="7"/>
  <c r="FO5" i="8"/>
  <c r="F3" i="8"/>
  <c r="J3" i="8"/>
  <c r="N3" i="8"/>
  <c r="R3" i="8"/>
  <c r="V3" i="8"/>
  <c r="Z3" i="8"/>
  <c r="AD3" i="8"/>
  <c r="AH3" i="8"/>
  <c r="AL3" i="8"/>
  <c r="AP3" i="8"/>
  <c r="AT3" i="8"/>
  <c r="AX3" i="8"/>
  <c r="BB3" i="8"/>
  <c r="BF3" i="8"/>
  <c r="BJ3" i="8"/>
  <c r="BN3" i="8"/>
  <c r="BR3" i="8"/>
  <c r="BV3" i="8"/>
  <c r="BZ3" i="8"/>
  <c r="FO4" i="8"/>
  <c r="F5" i="8"/>
  <c r="J5" i="8"/>
  <c r="N5" i="8"/>
  <c r="R5" i="8"/>
  <c r="V5" i="8"/>
  <c r="Z5" i="8"/>
  <c r="AD5" i="8"/>
  <c r="AH5" i="8"/>
  <c r="AL5" i="8"/>
  <c r="AP5" i="8"/>
  <c r="AT5" i="8"/>
  <c r="AX5" i="8"/>
  <c r="BB5" i="8"/>
  <c r="BF5" i="8"/>
  <c r="BJ5" i="8"/>
  <c r="BN5" i="8"/>
  <c r="BR5" i="8"/>
  <c r="BV5" i="8"/>
  <c r="BZ5" i="8"/>
  <c r="FL6" i="8"/>
  <c r="FO8" i="8"/>
  <c r="BZ6" i="8"/>
  <c r="BV6" i="8"/>
  <c r="BR6" i="8"/>
  <c r="BN6" i="8"/>
  <c r="BJ6" i="8"/>
  <c r="BF6" i="8"/>
  <c r="BB6" i="8"/>
  <c r="AX6" i="8"/>
  <c r="FR7" i="8"/>
  <c r="FO7" i="8"/>
  <c r="BZ8" i="8"/>
  <c r="BV8" i="8"/>
  <c r="BR8" i="8"/>
  <c r="BN8" i="8"/>
  <c r="BJ8" i="8"/>
  <c r="BF8" i="8"/>
  <c r="BB8" i="8"/>
  <c r="AX8" i="8"/>
  <c r="AT8" i="8"/>
  <c r="AP8" i="8"/>
  <c r="AL8" i="8"/>
  <c r="AH8" i="8"/>
  <c r="AD8" i="8"/>
  <c r="Z8" i="8"/>
  <c r="V8" i="8"/>
  <c r="R8" i="8"/>
  <c r="N8" i="8"/>
  <c r="J8" i="8"/>
  <c r="F8" i="8"/>
  <c r="FO9" i="8"/>
  <c r="F10" i="8"/>
  <c r="FO10" i="8"/>
  <c r="BZ10" i="8"/>
  <c r="BV10" i="8"/>
  <c r="BR10" i="8"/>
  <c r="BN10" i="8"/>
  <c r="BJ10" i="8"/>
  <c r="BF10" i="8"/>
  <c r="BB10" i="8"/>
  <c r="AX10" i="8"/>
  <c r="AT10" i="8"/>
  <c r="AP10" i="8"/>
  <c r="AL10" i="8"/>
  <c r="AH10" i="8"/>
  <c r="AD10" i="8"/>
  <c r="Z10" i="8"/>
  <c r="V10" i="8"/>
  <c r="R10" i="8"/>
  <c r="N10" i="8"/>
  <c r="I12" i="8"/>
  <c r="FO11" i="8"/>
  <c r="N12" i="8"/>
  <c r="R12" i="8"/>
  <c r="V12" i="8"/>
  <c r="Z12" i="8"/>
  <c r="AD12" i="8"/>
  <c r="AH12" i="8"/>
  <c r="AL12" i="8"/>
  <c r="AP12" i="8"/>
  <c r="AT12" i="8"/>
  <c r="E13" i="8"/>
  <c r="FE13" i="8"/>
  <c r="F14" i="8"/>
  <c r="J14" i="8"/>
  <c r="N14" i="8"/>
  <c r="R14" i="8"/>
  <c r="V14" i="8"/>
  <c r="Z14" i="8"/>
  <c r="AD14" i="8"/>
  <c r="AH14" i="8"/>
  <c r="AL14" i="8"/>
  <c r="AP14" i="8"/>
  <c r="AT14" i="8"/>
  <c r="FD14" i="8"/>
  <c r="BR10" i="7"/>
  <c r="BN10" i="7"/>
  <c r="BJ10" i="7"/>
  <c r="BF10" i="7"/>
  <c r="BB10" i="7"/>
  <c r="AX10" i="7"/>
  <c r="AT10" i="7"/>
  <c r="AP10" i="7"/>
  <c r="AL10" i="7"/>
  <c r="AH10" i="7"/>
  <c r="AD10" i="7"/>
  <c r="Z10" i="7"/>
  <c r="V10" i="7"/>
  <c r="R10" i="7"/>
  <c r="N10" i="7"/>
  <c r="F4" i="7"/>
  <c r="J4" i="7"/>
  <c r="N4" i="7"/>
  <c r="R4" i="7"/>
  <c r="V4" i="7"/>
  <c r="Z4" i="7"/>
  <c r="AD4" i="7"/>
  <c r="AH4" i="7"/>
  <c r="AL4" i="7"/>
  <c r="AP4" i="7"/>
  <c r="AT4" i="7"/>
  <c r="AX4" i="7"/>
  <c r="BB4" i="7"/>
  <c r="BF4" i="7"/>
  <c r="BJ4" i="7"/>
  <c r="BN4" i="7"/>
  <c r="BR4" i="7"/>
  <c r="F6" i="7"/>
  <c r="J6" i="7"/>
  <c r="N6" i="7"/>
  <c r="R6" i="7"/>
  <c r="V6" i="7"/>
  <c r="Z6" i="7"/>
  <c r="AD6" i="7"/>
  <c r="AH6" i="7"/>
  <c r="AL6" i="7"/>
  <c r="AP6" i="7"/>
  <c r="AT6" i="7"/>
  <c r="AX6" i="7"/>
  <c r="BB6" i="7"/>
  <c r="BF6" i="7"/>
  <c r="BJ6" i="7"/>
  <c r="BN6" i="7"/>
  <c r="BR6" i="7"/>
  <c r="F8" i="7"/>
  <c r="J8" i="7"/>
  <c r="N8" i="7"/>
  <c r="R8" i="7"/>
  <c r="V8" i="7"/>
  <c r="Z8" i="7"/>
  <c r="AD8" i="7"/>
  <c r="AH8" i="7"/>
  <c r="AL8" i="7"/>
  <c r="AP8" i="7"/>
  <c r="AT8" i="7"/>
  <c r="AX8" i="7"/>
  <c r="BB8" i="7"/>
  <c r="BF8" i="7"/>
  <c r="BJ8" i="7"/>
  <c r="BN8" i="7"/>
  <c r="BR8" i="7"/>
  <c r="FO9" i="7"/>
  <c r="F10" i="7"/>
  <c r="J10" i="7"/>
  <c r="I12" i="7"/>
  <c r="AH12" i="7"/>
  <c r="E13" i="7"/>
  <c r="FE13" i="7"/>
  <c r="F13" i="7" s="1"/>
  <c r="F14" i="7"/>
  <c r="J14" i="7"/>
  <c r="N14" i="7"/>
  <c r="R14" i="7"/>
  <c r="V14" i="7"/>
  <c r="Z14" i="7"/>
  <c r="AD14" i="7"/>
  <c r="AH14" i="7"/>
  <c r="AL14" i="7"/>
  <c r="AP14" i="7"/>
  <c r="AT14" i="7"/>
  <c r="FD14" i="7"/>
  <c r="GM14" i="4"/>
  <c r="GO14" i="4"/>
  <c r="DN14" i="4" s="1"/>
  <c r="AS14" i="4"/>
  <c r="AO14" i="4"/>
  <c r="AK14" i="4"/>
  <c r="AG14" i="4"/>
  <c r="AC14" i="4"/>
  <c r="Y14" i="4"/>
  <c r="U14" i="4"/>
  <c r="Q14" i="4"/>
  <c r="M14" i="4"/>
  <c r="I14" i="4"/>
  <c r="E14" i="4"/>
  <c r="AS13" i="4"/>
  <c r="AO13" i="4"/>
  <c r="AK13" i="4"/>
  <c r="AG13" i="4"/>
  <c r="AC13" i="4"/>
  <c r="Y13" i="4"/>
  <c r="U13" i="4"/>
  <c r="Q13" i="4"/>
  <c r="M13" i="4"/>
  <c r="I13" i="4"/>
  <c r="D13" i="4"/>
  <c r="GO13" i="4" s="1"/>
  <c r="DN13" i="4" s="1"/>
  <c r="C13" i="4"/>
  <c r="GM13" i="4" s="1"/>
  <c r="AS12" i="4"/>
  <c r="AO12" i="4"/>
  <c r="AK12" i="4"/>
  <c r="AG12" i="4"/>
  <c r="AC12" i="4"/>
  <c r="Y12" i="4"/>
  <c r="U12" i="4"/>
  <c r="Q12" i="4"/>
  <c r="M12" i="4"/>
  <c r="H12" i="4"/>
  <c r="G12" i="4"/>
  <c r="D12" i="4"/>
  <c r="C12" i="4"/>
  <c r="CK11" i="4"/>
  <c r="CG11" i="4"/>
  <c r="CC11" i="4"/>
  <c r="BY11" i="4"/>
  <c r="BU11" i="4"/>
  <c r="BQ11" i="4"/>
  <c r="BM11" i="4"/>
  <c r="BI11" i="4"/>
  <c r="BE11" i="4"/>
  <c r="BA11" i="4"/>
  <c r="AW11" i="4"/>
  <c r="AS11" i="4"/>
  <c r="AO11" i="4"/>
  <c r="AK11" i="4"/>
  <c r="AG11" i="4"/>
  <c r="AC11" i="4"/>
  <c r="Y11" i="4"/>
  <c r="U11" i="4"/>
  <c r="Q11" i="4"/>
  <c r="M11" i="4"/>
  <c r="I11" i="4"/>
  <c r="E11" i="4"/>
  <c r="CK10" i="4"/>
  <c r="CG10" i="4"/>
  <c r="CC10" i="4"/>
  <c r="BY10" i="4"/>
  <c r="BU10" i="4"/>
  <c r="BQ10" i="4"/>
  <c r="BM10" i="4"/>
  <c r="BI10" i="4"/>
  <c r="BE10" i="4"/>
  <c r="BA10" i="4"/>
  <c r="AW10" i="4"/>
  <c r="AS10" i="4"/>
  <c r="AO10" i="4"/>
  <c r="AK10" i="4"/>
  <c r="AG10" i="4"/>
  <c r="AC10" i="4"/>
  <c r="Y10" i="4"/>
  <c r="U10" i="4"/>
  <c r="Q10" i="4"/>
  <c r="M10" i="4"/>
  <c r="I10" i="4"/>
  <c r="E10" i="4"/>
  <c r="CK9" i="4"/>
  <c r="CG9" i="4"/>
  <c r="CC9" i="4"/>
  <c r="BY9" i="4"/>
  <c r="BU9" i="4"/>
  <c r="BQ9" i="4"/>
  <c r="BM9" i="4"/>
  <c r="BI9" i="4"/>
  <c r="BE9" i="4"/>
  <c r="BA9" i="4"/>
  <c r="AW9" i="4"/>
  <c r="AS9" i="4"/>
  <c r="AO9" i="4"/>
  <c r="AK9" i="4"/>
  <c r="AG9" i="4"/>
  <c r="AC9" i="4"/>
  <c r="Y9" i="4"/>
  <c r="U9" i="4"/>
  <c r="Q9" i="4"/>
  <c r="M9" i="4"/>
  <c r="I9" i="4"/>
  <c r="E9" i="4"/>
  <c r="CK8" i="4"/>
  <c r="CG8" i="4"/>
  <c r="CC8" i="4"/>
  <c r="BY8" i="4"/>
  <c r="BU8" i="4"/>
  <c r="BQ8" i="4"/>
  <c r="BM8" i="4"/>
  <c r="BI8" i="4"/>
  <c r="BE8" i="4"/>
  <c r="BA8" i="4"/>
  <c r="AW8" i="4"/>
  <c r="AS8" i="4"/>
  <c r="AO8" i="4"/>
  <c r="AK8" i="4"/>
  <c r="AG8" i="4"/>
  <c r="AC8" i="4"/>
  <c r="Y8" i="4"/>
  <c r="U8" i="4"/>
  <c r="Q8" i="4"/>
  <c r="M8" i="4"/>
  <c r="I8" i="4"/>
  <c r="E8" i="4"/>
  <c r="CK7" i="4"/>
  <c r="CG7" i="4"/>
  <c r="CC7" i="4"/>
  <c r="BY7" i="4"/>
  <c r="BU7" i="4"/>
  <c r="BQ7" i="4"/>
  <c r="BM7" i="4"/>
  <c r="BI7" i="4"/>
  <c r="BE7" i="4"/>
  <c r="BA7" i="4"/>
  <c r="AW7" i="4"/>
  <c r="AS7" i="4"/>
  <c r="AO7" i="4"/>
  <c r="AK7" i="4"/>
  <c r="AG7" i="4"/>
  <c r="AC7" i="4"/>
  <c r="Y7" i="4"/>
  <c r="U7" i="4"/>
  <c r="Q7" i="4"/>
  <c r="M7" i="4"/>
  <c r="I7" i="4"/>
  <c r="E7" i="4"/>
  <c r="CK6" i="4"/>
  <c r="CG6" i="4"/>
  <c r="CC6" i="4"/>
  <c r="BY6" i="4"/>
  <c r="BU6" i="4"/>
  <c r="BQ6" i="4"/>
  <c r="BM6" i="4"/>
  <c r="BI6" i="4"/>
  <c r="BE6" i="4"/>
  <c r="BA6" i="4"/>
  <c r="AW6" i="4"/>
  <c r="AS6" i="4"/>
  <c r="AO6" i="4"/>
  <c r="AK6" i="4"/>
  <c r="AG6" i="4"/>
  <c r="AC6" i="4"/>
  <c r="Y6" i="4"/>
  <c r="U6" i="4"/>
  <c r="Q6" i="4"/>
  <c r="M6" i="4"/>
  <c r="I6" i="4"/>
  <c r="E6" i="4"/>
  <c r="CK5" i="4"/>
  <c r="CG5" i="4"/>
  <c r="CC5" i="4"/>
  <c r="BY5" i="4"/>
  <c r="BU5" i="4"/>
  <c r="BQ5" i="4"/>
  <c r="BM5" i="4"/>
  <c r="BI5" i="4"/>
  <c r="BE5" i="4"/>
  <c r="BA5" i="4"/>
  <c r="AW5" i="4"/>
  <c r="AS5" i="4"/>
  <c r="AO5" i="4"/>
  <c r="AK5" i="4"/>
  <c r="AG5" i="4"/>
  <c r="AC5" i="4"/>
  <c r="Y5" i="4"/>
  <c r="U5" i="4"/>
  <c r="Q5" i="4"/>
  <c r="M5" i="4"/>
  <c r="I5" i="4"/>
  <c r="E5" i="4"/>
  <c r="CK4" i="4"/>
  <c r="CG4" i="4"/>
  <c r="CC4" i="4"/>
  <c r="BY4" i="4"/>
  <c r="BU4" i="4"/>
  <c r="BQ4" i="4"/>
  <c r="BM4" i="4"/>
  <c r="BI4" i="4"/>
  <c r="BE4" i="4"/>
  <c r="BA4" i="4"/>
  <c r="AW4" i="4"/>
  <c r="AS4" i="4"/>
  <c r="AO4" i="4"/>
  <c r="AK4" i="4"/>
  <c r="AG4" i="4"/>
  <c r="AC4" i="4"/>
  <c r="Y4" i="4"/>
  <c r="U4" i="4"/>
  <c r="Q4" i="4"/>
  <c r="M4" i="4"/>
  <c r="I4" i="4"/>
  <c r="E4" i="4"/>
  <c r="CK3" i="4"/>
  <c r="CG3" i="4"/>
  <c r="CC3" i="4"/>
  <c r="BY3" i="4"/>
  <c r="BU3" i="4"/>
  <c r="BQ3" i="4"/>
  <c r="BM3" i="4"/>
  <c r="BI3" i="4"/>
  <c r="BE3" i="4"/>
  <c r="BA3" i="4"/>
  <c r="AW3" i="4"/>
  <c r="AS3" i="4"/>
  <c r="AO3" i="4"/>
  <c r="AK3" i="4"/>
  <c r="AG3" i="4"/>
  <c r="AC3" i="4"/>
  <c r="Y3" i="4"/>
  <c r="U3" i="4"/>
  <c r="Q3" i="4"/>
  <c r="M3" i="4"/>
  <c r="I3" i="4"/>
  <c r="E3" i="4"/>
  <c r="FN6" i="11" l="1"/>
  <c r="FQ6" i="11" s="1"/>
  <c r="FN4" i="11"/>
  <c r="FQ4" i="11" s="1"/>
  <c r="FN10" i="11"/>
  <c r="FQ10" i="11" s="1"/>
  <c r="FR3" i="8"/>
  <c r="FN5" i="11"/>
  <c r="FQ5" i="11" s="1"/>
  <c r="FN7" i="11"/>
  <c r="FQ7" i="11" s="1"/>
  <c r="GN14" i="4"/>
  <c r="FN9" i="7"/>
  <c r="FQ9" i="7" s="1"/>
  <c r="AP12" i="7"/>
  <c r="Z12" i="7"/>
  <c r="R12" i="7"/>
  <c r="AT12" i="7"/>
  <c r="AL12" i="7"/>
  <c r="AD12" i="7"/>
  <c r="V12" i="7"/>
  <c r="N12" i="7"/>
  <c r="FD12" i="7"/>
  <c r="GW3" i="4"/>
  <c r="GV3" i="4"/>
  <c r="GW4" i="4"/>
  <c r="CX4" i="4" s="1"/>
  <c r="GV4" i="4"/>
  <c r="GV5" i="4"/>
  <c r="HB5" i="4" s="1"/>
  <c r="GW5" i="4"/>
  <c r="CL5" i="4" s="1"/>
  <c r="GW6" i="4"/>
  <c r="CT6" i="4" s="1"/>
  <c r="GV6" i="4"/>
  <c r="GV7" i="4"/>
  <c r="HB7" i="4" s="1"/>
  <c r="GW7" i="4"/>
  <c r="AD7" i="4" s="1"/>
  <c r="GW8" i="4"/>
  <c r="CX8" i="4" s="1"/>
  <c r="GV8" i="4"/>
  <c r="GV9" i="4"/>
  <c r="HB9" i="4" s="1"/>
  <c r="GW9" i="4"/>
  <c r="DF9" i="4" s="1"/>
  <c r="GW10" i="4"/>
  <c r="CT10" i="4" s="1"/>
  <c r="GV10" i="4"/>
  <c r="GV11" i="4"/>
  <c r="HB11" i="4" s="1"/>
  <c r="GW11" i="4"/>
  <c r="CP11" i="4" s="1"/>
  <c r="GD9" i="10"/>
  <c r="GG9" i="10" s="1"/>
  <c r="GE3" i="10"/>
  <c r="GH6" i="10"/>
  <c r="AT12" i="10"/>
  <c r="AL12" i="10"/>
  <c r="AD12" i="10"/>
  <c r="V12" i="10"/>
  <c r="N12" i="10"/>
  <c r="FD12" i="10"/>
  <c r="CX11" i="4"/>
  <c r="CT11" i="4"/>
  <c r="DB9" i="4"/>
  <c r="CT9" i="4"/>
  <c r="CP9" i="4"/>
  <c r="CL7" i="4"/>
  <c r="DF7" i="4"/>
  <c r="DB7" i="4"/>
  <c r="CX7" i="4"/>
  <c r="CT7" i="4"/>
  <c r="CP7" i="4"/>
  <c r="CT5" i="4"/>
  <c r="CP5" i="4"/>
  <c r="F7" i="4"/>
  <c r="J7" i="4"/>
  <c r="N7" i="4"/>
  <c r="R7" i="4"/>
  <c r="V7" i="4"/>
  <c r="Z7" i="4"/>
  <c r="AH7" i="4"/>
  <c r="AL7" i="4"/>
  <c r="AT7" i="4"/>
  <c r="AX7" i="4"/>
  <c r="BB7" i="4"/>
  <c r="BF7" i="4"/>
  <c r="BJ7" i="4"/>
  <c r="BN7" i="4"/>
  <c r="BR7" i="4"/>
  <c r="BV7" i="4"/>
  <c r="CD7" i="4"/>
  <c r="CH7" i="4"/>
  <c r="GO12" i="4"/>
  <c r="DN12" i="4" s="1"/>
  <c r="F5" i="4"/>
  <c r="J5" i="4"/>
  <c r="N5" i="4"/>
  <c r="R5" i="4"/>
  <c r="V5" i="4"/>
  <c r="AD5" i="4"/>
  <c r="AH5" i="4"/>
  <c r="AT5" i="4"/>
  <c r="BB5" i="4"/>
  <c r="BF5" i="4"/>
  <c r="BJ5" i="4"/>
  <c r="BN5" i="4"/>
  <c r="BR5" i="4"/>
  <c r="BZ5" i="4"/>
  <c r="CD5" i="4"/>
  <c r="GM12" i="4"/>
  <c r="FR11" i="7"/>
  <c r="FO7" i="7"/>
  <c r="FN5" i="7"/>
  <c r="FQ5" i="7" s="1"/>
  <c r="FO5" i="7"/>
  <c r="GD7" i="10"/>
  <c r="GG7" i="10" s="1"/>
  <c r="GE7" i="10"/>
  <c r="GE8" i="10"/>
  <c r="GH10" i="10"/>
  <c r="GD10" i="10"/>
  <c r="GG10" i="10" s="1"/>
  <c r="GE4" i="10"/>
  <c r="AP12" i="10"/>
  <c r="AH12" i="10"/>
  <c r="Z12" i="10"/>
  <c r="R12" i="10"/>
  <c r="F12" i="10"/>
  <c r="J12" i="10"/>
  <c r="GD3" i="10"/>
  <c r="GG3" i="10" s="1"/>
  <c r="FD13" i="11"/>
  <c r="FD12" i="11"/>
  <c r="FM14" i="11"/>
  <c r="BJ14" i="11" s="1"/>
  <c r="FF14" i="11" s="1"/>
  <c r="FI14" i="11" s="1"/>
  <c r="FL14" i="11" s="1"/>
  <c r="FJ14" i="11"/>
  <c r="FG14" i="11"/>
  <c r="DN13" i="11"/>
  <c r="AT13" i="11"/>
  <c r="AP13" i="11"/>
  <c r="AL13" i="11"/>
  <c r="AH13" i="11"/>
  <c r="AD13" i="11"/>
  <c r="Z13" i="11"/>
  <c r="V13" i="11"/>
  <c r="R13" i="11"/>
  <c r="N13" i="11"/>
  <c r="J13" i="11"/>
  <c r="F13" i="11"/>
  <c r="FF13" i="11" s="1"/>
  <c r="FI13" i="11" s="1"/>
  <c r="FL13" i="11" s="1"/>
  <c r="DN12" i="11"/>
  <c r="AT12" i="11"/>
  <c r="AP12" i="11"/>
  <c r="AL12" i="11"/>
  <c r="AH12" i="11"/>
  <c r="AD12" i="11"/>
  <c r="Z12" i="11"/>
  <c r="V12" i="11"/>
  <c r="R12" i="11"/>
  <c r="N12" i="11"/>
  <c r="J12" i="11"/>
  <c r="FN6" i="8"/>
  <c r="FQ6" i="8" s="1"/>
  <c r="J12" i="8"/>
  <c r="F12" i="8"/>
  <c r="FD13" i="10"/>
  <c r="GD6" i="10"/>
  <c r="GG6" i="10" s="1"/>
  <c r="BJ14" i="10"/>
  <c r="FF14" i="10" s="1"/>
  <c r="FY14" i="10" s="1"/>
  <c r="GB14" i="10" s="1"/>
  <c r="FZ14" i="10"/>
  <c r="DN13" i="10"/>
  <c r="AT13" i="10"/>
  <c r="AP13" i="10"/>
  <c r="AL13" i="10"/>
  <c r="AH13" i="10"/>
  <c r="AD13" i="10"/>
  <c r="Z13" i="10"/>
  <c r="V13" i="10"/>
  <c r="R13" i="10"/>
  <c r="N13" i="10"/>
  <c r="J13" i="10"/>
  <c r="GD8" i="10"/>
  <c r="GG8" i="10" s="1"/>
  <c r="GD4" i="10"/>
  <c r="GG4" i="10" s="1"/>
  <c r="FR10" i="7"/>
  <c r="FR8" i="7"/>
  <c r="FO4" i="7"/>
  <c r="FO3" i="7"/>
  <c r="FN3" i="7"/>
  <c r="FQ3" i="7" s="1"/>
  <c r="FN10" i="7"/>
  <c r="FQ10" i="7" s="1"/>
  <c r="J12" i="7"/>
  <c r="F12" i="7"/>
  <c r="FD13" i="8"/>
  <c r="FM13" i="8" s="1"/>
  <c r="BJ13" i="8" s="1"/>
  <c r="FD12" i="8"/>
  <c r="FR6" i="8"/>
  <c r="FO6" i="8"/>
  <c r="FO16" i="8" s="1"/>
  <c r="FR16" i="8" s="1"/>
  <c r="FN5" i="8"/>
  <c r="FQ5" i="8" s="1"/>
  <c r="FM14" i="8"/>
  <c r="BJ14" i="8" s="1"/>
  <c r="FF14" i="8" s="1"/>
  <c r="FI14" i="8" s="1"/>
  <c r="FL14" i="8" s="1"/>
  <c r="FJ14" i="8"/>
  <c r="FG14" i="8"/>
  <c r="DN13" i="8"/>
  <c r="AT13" i="8"/>
  <c r="AP13" i="8"/>
  <c r="AL13" i="8"/>
  <c r="AH13" i="8"/>
  <c r="AD13" i="8"/>
  <c r="Z13" i="8"/>
  <c r="V13" i="8"/>
  <c r="R13" i="8"/>
  <c r="N13" i="8"/>
  <c r="J13" i="8"/>
  <c r="F13" i="8"/>
  <c r="FN10" i="8"/>
  <c r="FQ10" i="8" s="1"/>
  <c r="FN8" i="8"/>
  <c r="FQ8" i="8" s="1"/>
  <c r="FN3" i="8"/>
  <c r="FQ3" i="8" s="1"/>
  <c r="FM12" i="7"/>
  <c r="BJ12" i="7" s="1"/>
  <c r="FJ12" i="7"/>
  <c r="FG12" i="7"/>
  <c r="FD13" i="7"/>
  <c r="FM13" i="7" s="1"/>
  <c r="BJ13" i="7" s="1"/>
  <c r="FN6" i="7"/>
  <c r="FQ6" i="7" s="1"/>
  <c r="FM14" i="7"/>
  <c r="BJ14" i="7" s="1"/>
  <c r="FF14" i="7" s="1"/>
  <c r="FI14" i="7" s="1"/>
  <c r="FL14" i="7" s="1"/>
  <c r="FJ14" i="7"/>
  <c r="FG14" i="7"/>
  <c r="DN13" i="7"/>
  <c r="AT13" i="7"/>
  <c r="AP13" i="7"/>
  <c r="AL13" i="7"/>
  <c r="AH13" i="7"/>
  <c r="AD13" i="7"/>
  <c r="Z13" i="7"/>
  <c r="V13" i="7"/>
  <c r="R13" i="7"/>
  <c r="N13" i="7"/>
  <c r="J13" i="7"/>
  <c r="FN8" i="7"/>
  <c r="FQ8" i="7" s="1"/>
  <c r="FN4" i="7"/>
  <c r="FQ4" i="7" s="1"/>
  <c r="N3" i="4"/>
  <c r="AD3" i="4"/>
  <c r="GQ14" i="4"/>
  <c r="GT14" i="4"/>
  <c r="AT3" i="4"/>
  <c r="HB3" i="4"/>
  <c r="BV3" i="4"/>
  <c r="E12" i="4"/>
  <c r="GY10" i="4"/>
  <c r="HB8" i="4"/>
  <c r="HB6" i="4"/>
  <c r="GY4" i="4"/>
  <c r="CH10" i="4"/>
  <c r="HB10" i="4"/>
  <c r="AT4" i="4"/>
  <c r="BZ4" i="4"/>
  <c r="AL6" i="4"/>
  <c r="BR6" i="4"/>
  <c r="N8" i="4"/>
  <c r="AD8" i="4"/>
  <c r="AT8" i="4"/>
  <c r="BJ8" i="4"/>
  <c r="BZ8" i="4"/>
  <c r="GY9" i="4"/>
  <c r="GY11" i="4"/>
  <c r="I12" i="4"/>
  <c r="E13" i="4"/>
  <c r="GN13" i="4" s="1"/>
  <c r="F14" i="4"/>
  <c r="J14" i="4"/>
  <c r="N14" i="4"/>
  <c r="R14" i="4"/>
  <c r="V14" i="4"/>
  <c r="Z14" i="4"/>
  <c r="AD14" i="4"/>
  <c r="AH14" i="4"/>
  <c r="AL14" i="4"/>
  <c r="AP14" i="4"/>
  <c r="AT14" i="4"/>
  <c r="BV5" i="4" l="1"/>
  <c r="Z5" i="4"/>
  <c r="DB11" i="4"/>
  <c r="DF11" i="4"/>
  <c r="F6" i="4"/>
  <c r="N4" i="4"/>
  <c r="AX5" i="4"/>
  <c r="AP7" i="4"/>
  <c r="CX5" i="4"/>
  <c r="CX9" i="4"/>
  <c r="DB5" i="4"/>
  <c r="FF12" i="7"/>
  <c r="FI12" i="7" s="1"/>
  <c r="FL12" i="7" s="1"/>
  <c r="AP5" i="4"/>
  <c r="DF5" i="4"/>
  <c r="V10" i="4"/>
  <c r="BB10" i="4"/>
  <c r="CH5" i="4"/>
  <c r="AL5" i="4"/>
  <c r="BZ7" i="4"/>
  <c r="FZ12" i="10"/>
  <c r="GC12" i="10"/>
  <c r="BJ12" i="10" s="1"/>
  <c r="GC13" i="10"/>
  <c r="BJ13" i="10" s="1"/>
  <c r="FF13" i="10" s="1"/>
  <c r="FY13" i="10" s="1"/>
  <c r="GB13" i="10" s="1"/>
  <c r="GE16" i="10"/>
  <c r="GH16" i="10" s="1"/>
  <c r="AL10" i="4"/>
  <c r="BR10" i="4"/>
  <c r="DF8" i="4"/>
  <c r="BF3" i="4"/>
  <c r="GW15" i="4"/>
  <c r="DB3" i="4"/>
  <c r="CP10" i="4"/>
  <c r="DB6" i="4"/>
  <c r="CH6" i="4"/>
  <c r="BB6" i="4"/>
  <c r="V6" i="4"/>
  <c r="CP6" i="4"/>
  <c r="CP4" i="4"/>
  <c r="BJ4" i="4"/>
  <c r="AD4" i="4"/>
  <c r="J10" i="4"/>
  <c r="CH8" i="4"/>
  <c r="BR8" i="4"/>
  <c r="BB8" i="4"/>
  <c r="AL8" i="4"/>
  <c r="V8" i="4"/>
  <c r="F8" i="4"/>
  <c r="BZ6" i="4"/>
  <c r="BJ6" i="4"/>
  <c r="AT6" i="4"/>
  <c r="AD6" i="4"/>
  <c r="N6" i="4"/>
  <c r="CH4" i="4"/>
  <c r="BR4" i="4"/>
  <c r="BB4" i="4"/>
  <c r="AL4" i="4"/>
  <c r="V4" i="4"/>
  <c r="F4" i="4"/>
  <c r="N10" i="4"/>
  <c r="AD10" i="4"/>
  <c r="AT10" i="4"/>
  <c r="BJ10" i="4"/>
  <c r="BZ10" i="4"/>
  <c r="CD3" i="4"/>
  <c r="BN3" i="4"/>
  <c r="BB3" i="4"/>
  <c r="AL3" i="4"/>
  <c r="V3" i="4"/>
  <c r="F3" i="4"/>
  <c r="CT3" i="4"/>
  <c r="DZ10" i="4"/>
  <c r="DR10" i="4"/>
  <c r="DJ10" i="4"/>
  <c r="GP10" i="4"/>
  <c r="GH10" i="4"/>
  <c r="FZ10" i="4"/>
  <c r="FV10" i="4"/>
  <c r="FR10" i="4"/>
  <c r="FN10" i="4"/>
  <c r="DV10" i="4"/>
  <c r="DN10" i="4"/>
  <c r="GT10" i="4"/>
  <c r="GL10" i="4"/>
  <c r="GD10" i="4"/>
  <c r="FJ10" i="4"/>
  <c r="FB10" i="4"/>
  <c r="ET10" i="4"/>
  <c r="EH10" i="4"/>
  <c r="FF10" i="4"/>
  <c r="EX10" i="4"/>
  <c r="EP10" i="4"/>
  <c r="EL10" i="4"/>
  <c r="ED10" i="4"/>
  <c r="DZ8" i="4"/>
  <c r="DR8" i="4"/>
  <c r="DJ8" i="4"/>
  <c r="GP8" i="4"/>
  <c r="GH8" i="4"/>
  <c r="FZ8" i="4"/>
  <c r="FV8" i="4"/>
  <c r="FR8" i="4"/>
  <c r="FN8" i="4"/>
  <c r="DV8" i="4"/>
  <c r="DN8" i="4"/>
  <c r="GT8" i="4"/>
  <c r="GL8" i="4"/>
  <c r="GD8" i="4"/>
  <c r="FJ8" i="4"/>
  <c r="FB8" i="4"/>
  <c r="FF8" i="4"/>
  <c r="EX8" i="4"/>
  <c r="ET8" i="4"/>
  <c r="EP8" i="4"/>
  <c r="EL8" i="4"/>
  <c r="EH8" i="4"/>
  <c r="ED8" i="4"/>
  <c r="DZ6" i="4"/>
  <c r="DR6" i="4"/>
  <c r="DJ6" i="4"/>
  <c r="GP6" i="4"/>
  <c r="GH6" i="4"/>
  <c r="FZ6" i="4"/>
  <c r="FV6" i="4"/>
  <c r="FR6" i="4"/>
  <c r="FN6" i="4"/>
  <c r="DV6" i="4"/>
  <c r="DN6" i="4"/>
  <c r="GT6" i="4"/>
  <c r="GL6" i="4"/>
  <c r="GD6" i="4"/>
  <c r="FJ6" i="4"/>
  <c r="FF6" i="4"/>
  <c r="FB6" i="4"/>
  <c r="EX6" i="4"/>
  <c r="ET6" i="4"/>
  <c r="EP6" i="4"/>
  <c r="EL6" i="4"/>
  <c r="EH6" i="4"/>
  <c r="ED6" i="4"/>
  <c r="DZ4" i="4"/>
  <c r="DR4" i="4"/>
  <c r="DJ4" i="4"/>
  <c r="GP4" i="4"/>
  <c r="GH4" i="4"/>
  <c r="FZ4" i="4"/>
  <c r="FV4" i="4"/>
  <c r="FR4" i="4"/>
  <c r="FN4" i="4"/>
  <c r="DV4" i="4"/>
  <c r="DN4" i="4"/>
  <c r="GT4" i="4"/>
  <c r="GL4" i="4"/>
  <c r="GD4" i="4"/>
  <c r="FJ4" i="4"/>
  <c r="FF4" i="4"/>
  <c r="FB4" i="4"/>
  <c r="EX4" i="4"/>
  <c r="ET4" i="4"/>
  <c r="EP4" i="4"/>
  <c r="EL4" i="4"/>
  <c r="EH4" i="4"/>
  <c r="ED4" i="4"/>
  <c r="DJ3" i="4"/>
  <c r="DZ3" i="4"/>
  <c r="FZ3" i="4"/>
  <c r="FR3" i="4"/>
  <c r="FV3" i="4"/>
  <c r="FN3" i="4"/>
  <c r="FJ3" i="4"/>
  <c r="FF3" i="4"/>
  <c r="FB3" i="4"/>
  <c r="EX3" i="4"/>
  <c r="ET3" i="4"/>
  <c r="EP3" i="4"/>
  <c r="EL3" i="4"/>
  <c r="EH3" i="4"/>
  <c r="ED3" i="4"/>
  <c r="GD3" i="4"/>
  <c r="GL3" i="4"/>
  <c r="GT3" i="4"/>
  <c r="DR3" i="4"/>
  <c r="GH3" i="4"/>
  <c r="GP3" i="4"/>
  <c r="DN3" i="4"/>
  <c r="DV3" i="4"/>
  <c r="F10" i="4"/>
  <c r="CL8" i="4"/>
  <c r="CD8" i="4"/>
  <c r="BV8" i="4"/>
  <c r="BN8" i="4"/>
  <c r="BF8" i="4"/>
  <c r="AX8" i="4"/>
  <c r="AP8" i="4"/>
  <c r="AH8" i="4"/>
  <c r="Z8" i="4"/>
  <c r="R8" i="4"/>
  <c r="J8" i="4"/>
  <c r="CL6" i="4"/>
  <c r="CD6" i="4"/>
  <c r="BV6" i="4"/>
  <c r="BN6" i="4"/>
  <c r="BF6" i="4"/>
  <c r="AX6" i="4"/>
  <c r="AP6" i="4"/>
  <c r="AH6" i="4"/>
  <c r="Z6" i="4"/>
  <c r="R6" i="4"/>
  <c r="J6" i="4"/>
  <c r="CL4" i="4"/>
  <c r="CD4" i="4"/>
  <c r="BV4" i="4"/>
  <c r="BN4" i="4"/>
  <c r="BF4" i="4"/>
  <c r="AX4" i="4"/>
  <c r="AP4" i="4"/>
  <c r="AH4" i="4"/>
  <c r="Z4" i="4"/>
  <c r="R4" i="4"/>
  <c r="J4" i="4"/>
  <c r="R10" i="4"/>
  <c r="Z10" i="4"/>
  <c r="AH10" i="4"/>
  <c r="AP10" i="4"/>
  <c r="AX10" i="4"/>
  <c r="BF10" i="4"/>
  <c r="BN10" i="4"/>
  <c r="BV10" i="4"/>
  <c r="CD10" i="4"/>
  <c r="CL10" i="4"/>
  <c r="CL3" i="4"/>
  <c r="BZ3" i="4"/>
  <c r="BR3" i="4"/>
  <c r="BJ3" i="4"/>
  <c r="CH3" i="4"/>
  <c r="AX3" i="4"/>
  <c r="AP3" i="4"/>
  <c r="AH3" i="4"/>
  <c r="Z3" i="4"/>
  <c r="R3" i="4"/>
  <c r="J3" i="4"/>
  <c r="CP3" i="4"/>
  <c r="CX3" i="4"/>
  <c r="DF3" i="4"/>
  <c r="CT4" i="4"/>
  <c r="DF4" i="4"/>
  <c r="DB4" i="4"/>
  <c r="DF6" i="4"/>
  <c r="CX6" i="4"/>
  <c r="CT8" i="4"/>
  <c r="CP8" i="4"/>
  <c r="DB8" i="4"/>
  <c r="CX10" i="4"/>
  <c r="DF10" i="4"/>
  <c r="DB10" i="4"/>
  <c r="DZ11" i="4"/>
  <c r="DR11" i="4"/>
  <c r="DJ11" i="4"/>
  <c r="GP11" i="4"/>
  <c r="GH11" i="4"/>
  <c r="FZ11" i="4"/>
  <c r="FV11" i="4"/>
  <c r="FR11" i="4"/>
  <c r="FN11" i="4"/>
  <c r="DV11" i="4"/>
  <c r="DN11" i="4"/>
  <c r="GT11" i="4"/>
  <c r="GL11" i="4"/>
  <c r="GD11" i="4"/>
  <c r="FJ11" i="4"/>
  <c r="FB11" i="4"/>
  <c r="EX11" i="4"/>
  <c r="EP11" i="4"/>
  <c r="EH11" i="4"/>
  <c r="FF11" i="4"/>
  <c r="ET11" i="4"/>
  <c r="EL11" i="4"/>
  <c r="ED11" i="4"/>
  <c r="CL11" i="4"/>
  <c r="CH11" i="4"/>
  <c r="CD11" i="4"/>
  <c r="BZ11" i="4"/>
  <c r="BV11" i="4"/>
  <c r="BR11" i="4"/>
  <c r="BN11" i="4"/>
  <c r="BJ11" i="4"/>
  <c r="BF11" i="4"/>
  <c r="BB11" i="4"/>
  <c r="AX11" i="4"/>
  <c r="AT11" i="4"/>
  <c r="AP11" i="4"/>
  <c r="AL11" i="4"/>
  <c r="AH11" i="4"/>
  <c r="AD11" i="4"/>
  <c r="Z11" i="4"/>
  <c r="V11" i="4"/>
  <c r="R11" i="4"/>
  <c r="N11" i="4"/>
  <c r="J11" i="4"/>
  <c r="F11" i="4"/>
  <c r="DZ9" i="4"/>
  <c r="DR9" i="4"/>
  <c r="DJ9" i="4"/>
  <c r="GP9" i="4"/>
  <c r="GH9" i="4"/>
  <c r="FZ9" i="4"/>
  <c r="FV9" i="4"/>
  <c r="FR9" i="4"/>
  <c r="FN9" i="4"/>
  <c r="DV9" i="4"/>
  <c r="DN9" i="4"/>
  <c r="GT9" i="4"/>
  <c r="GL9" i="4"/>
  <c r="GD9" i="4"/>
  <c r="FJ9" i="4"/>
  <c r="EX9" i="4"/>
  <c r="EP9" i="4"/>
  <c r="EH9" i="4"/>
  <c r="FF9" i="4"/>
  <c r="FB9" i="4"/>
  <c r="ET9" i="4"/>
  <c r="EL9" i="4"/>
  <c r="ED9" i="4"/>
  <c r="CL9" i="4"/>
  <c r="CH9" i="4"/>
  <c r="CD9" i="4"/>
  <c r="BZ9" i="4"/>
  <c r="BV9" i="4"/>
  <c r="BR9" i="4"/>
  <c r="BN9" i="4"/>
  <c r="BJ9" i="4"/>
  <c r="BF9" i="4"/>
  <c r="BB9" i="4"/>
  <c r="AX9" i="4"/>
  <c r="AT9" i="4"/>
  <c r="AP9" i="4"/>
  <c r="AL9" i="4"/>
  <c r="AH9" i="4"/>
  <c r="AD9" i="4"/>
  <c r="Z9" i="4"/>
  <c r="V9" i="4"/>
  <c r="R9" i="4"/>
  <c r="N9" i="4"/>
  <c r="J9" i="4"/>
  <c r="F9" i="4"/>
  <c r="DZ7" i="4"/>
  <c r="DR7" i="4"/>
  <c r="DJ7" i="4"/>
  <c r="GP7" i="4"/>
  <c r="GH7" i="4"/>
  <c r="FZ7" i="4"/>
  <c r="FV7" i="4"/>
  <c r="FR7" i="4"/>
  <c r="FN7" i="4"/>
  <c r="DV7" i="4"/>
  <c r="DN7" i="4"/>
  <c r="GT7" i="4"/>
  <c r="GL7" i="4"/>
  <c r="GD7" i="4"/>
  <c r="FJ7" i="4"/>
  <c r="FF7" i="4"/>
  <c r="FB7" i="4"/>
  <c r="EX7" i="4"/>
  <c r="ET7" i="4"/>
  <c r="EP7" i="4"/>
  <c r="EL7" i="4"/>
  <c r="EH7" i="4"/>
  <c r="ED7" i="4"/>
  <c r="DZ5" i="4"/>
  <c r="DR5" i="4"/>
  <c r="DJ5" i="4"/>
  <c r="GP5" i="4"/>
  <c r="GH5" i="4"/>
  <c r="FZ5" i="4"/>
  <c r="FV5" i="4"/>
  <c r="FR5" i="4"/>
  <c r="FN5" i="4"/>
  <c r="DV5" i="4"/>
  <c r="DN5" i="4"/>
  <c r="GT5" i="4"/>
  <c r="GL5" i="4"/>
  <c r="GD5" i="4"/>
  <c r="FJ5" i="4"/>
  <c r="FF5" i="4"/>
  <c r="FB5" i="4"/>
  <c r="EX5" i="4"/>
  <c r="ET5" i="4"/>
  <c r="EP5" i="4"/>
  <c r="EL5" i="4"/>
  <c r="EH5" i="4"/>
  <c r="ED5" i="4"/>
  <c r="FF12" i="10"/>
  <c r="FY12" i="10" s="1"/>
  <c r="GB12" i="10" s="1"/>
  <c r="GY7" i="4"/>
  <c r="HB4" i="4"/>
  <c r="GY3" i="4"/>
  <c r="GY5" i="4"/>
  <c r="GY8" i="4"/>
  <c r="GY6" i="4"/>
  <c r="FO16" i="7"/>
  <c r="FR16" i="7" s="1"/>
  <c r="GG16" i="10"/>
  <c r="FJ12" i="11"/>
  <c r="FG12" i="11"/>
  <c r="FM12" i="11"/>
  <c r="BJ12" i="11" s="1"/>
  <c r="FF12" i="11" s="1"/>
  <c r="FI12" i="11" s="1"/>
  <c r="FL12" i="11" s="1"/>
  <c r="FJ13" i="11"/>
  <c r="FG13" i="11"/>
  <c r="FQ16" i="8"/>
  <c r="FF13" i="8"/>
  <c r="FI13" i="8" s="1"/>
  <c r="FL13" i="8" s="1"/>
  <c r="FZ13" i="10"/>
  <c r="FF13" i="7"/>
  <c r="FI13" i="7" s="1"/>
  <c r="FL13" i="7" s="1"/>
  <c r="FQ16" i="7"/>
  <c r="FM12" i="8"/>
  <c r="BJ12" i="8" s="1"/>
  <c r="FF12" i="8" s="1"/>
  <c r="FI12" i="8" s="1"/>
  <c r="FL12" i="8" s="1"/>
  <c r="FJ12" i="8"/>
  <c r="FG12" i="8"/>
  <c r="FJ13" i="8"/>
  <c r="FG13" i="8"/>
  <c r="FJ13" i="7"/>
  <c r="FG13" i="7"/>
  <c r="GN12" i="4"/>
  <c r="GQ13" i="4"/>
  <c r="GT13" i="4"/>
  <c r="AL12" i="4"/>
  <c r="AT12" i="4"/>
  <c r="AD12" i="4"/>
  <c r="V12" i="4"/>
  <c r="AP12" i="4"/>
  <c r="AH12" i="4"/>
  <c r="Z12" i="4"/>
  <c r="R12" i="4"/>
  <c r="N12" i="4"/>
  <c r="J12" i="4"/>
  <c r="F12" i="4"/>
  <c r="AT13" i="4"/>
  <c r="AP13" i="4"/>
  <c r="AL13" i="4"/>
  <c r="AH13" i="4"/>
  <c r="AD13" i="4"/>
  <c r="Z13" i="4"/>
  <c r="V13" i="4"/>
  <c r="R13" i="4"/>
  <c r="N13" i="4"/>
  <c r="J13" i="4"/>
  <c r="GW14" i="4"/>
  <c r="F13" i="4"/>
  <c r="GX3" i="4" l="1"/>
  <c r="HA3" i="4" s="1"/>
  <c r="GX6" i="4"/>
  <c r="HA6" i="4" s="1"/>
  <c r="GX11" i="4"/>
  <c r="HA11" i="4" s="1"/>
  <c r="GX4" i="4"/>
  <c r="HA4" i="4" s="1"/>
  <c r="GX5" i="4"/>
  <c r="HA5" i="4" s="1"/>
  <c r="GX7" i="4"/>
  <c r="HA7" i="4" s="1"/>
  <c r="GX10" i="4"/>
  <c r="HA10" i="4" s="1"/>
  <c r="GX8" i="4"/>
  <c r="HA8" i="4" s="1"/>
  <c r="GX9" i="4"/>
  <c r="HA9" i="4" s="1"/>
  <c r="BJ14" i="4"/>
  <c r="CT14" i="4"/>
  <c r="DB14" i="4"/>
  <c r="GY16" i="4"/>
  <c r="HB16" i="4" s="1"/>
  <c r="GQ12" i="4"/>
  <c r="GT12" i="4"/>
  <c r="GW12" i="4"/>
  <c r="GW13" i="4"/>
  <c r="HA16" i="4" l="1"/>
  <c r="BJ13" i="4"/>
  <c r="CT13" i="4"/>
  <c r="DB13" i="4"/>
  <c r="BJ12" i="4"/>
  <c r="CT12" i="4"/>
  <c r="DB12" i="4"/>
  <c r="GP14" i="4"/>
  <c r="GS14" i="4" s="1"/>
  <c r="GV14" i="4" s="1"/>
  <c r="GP12" i="4" l="1"/>
  <c r="GS12" i="4" s="1"/>
  <c r="GV12" i="4" s="1"/>
  <c r="GP13" i="4"/>
  <c r="GS13" i="4" s="1"/>
  <c r="GV13" i="4" s="1"/>
</calcChain>
</file>

<file path=xl/sharedStrings.xml><?xml version="1.0" encoding="utf-8"?>
<sst xmlns="http://schemas.openxmlformats.org/spreadsheetml/2006/main" count="2322" uniqueCount="26">
  <si>
    <t>вес</t>
  </si>
  <si>
    <t>инд оц удовл j крит</t>
  </si>
  <si>
    <t>оц удов (ОУ)</t>
  </si>
  <si>
    <t>±</t>
  </si>
  <si>
    <t>№ п/п</t>
  </si>
  <si>
    <t>Наименование критерия</t>
  </si>
  <si>
    <t>(Oyij-cpOYij) для (3)</t>
  </si>
  <si>
    <t>Уровень материально-технического обеспечения деятельности</t>
  </si>
  <si>
    <t>Уровень социального обеспечения (медицинского, бытового обслуживания персонала, общественное питание, организация досуга и др.)</t>
  </si>
  <si>
    <t>Роль колледжа в обществе (гордость за принадлежность к организации)</t>
  </si>
  <si>
    <t>Дополнительные занятия по дисциплине</t>
  </si>
  <si>
    <t>Помощь со стороны кафедры/ФК в организации самостоятельной работы учащегося</t>
  </si>
  <si>
    <t>Вклад дисциплины в формирование общего уровня Вашей профессиональной подготовке</t>
  </si>
  <si>
    <r>
      <t xml:space="preserve">Содержание образовательной программы </t>
    </r>
    <r>
      <rPr>
        <sz val="11"/>
        <color theme="1"/>
        <rFont val="Times New Roman"/>
        <family val="1"/>
        <charset val="204"/>
      </rPr>
      <t>(объяснение целей и задач дисциплины, ее связь с другими дисциплинами. Уровень актуальности информации)</t>
    </r>
  </si>
  <si>
    <r>
      <t>Лекционные занятия</t>
    </r>
    <r>
      <rPr>
        <sz val="11"/>
        <color theme="1"/>
        <rFont val="Times New Roman"/>
        <family val="1"/>
        <charset val="204"/>
      </rPr>
      <t xml:space="preserve"> (содержание, формы (методы) проведения лекций)</t>
    </r>
  </si>
  <si>
    <r>
      <t xml:space="preserve">Практические и лабораторные занятия </t>
    </r>
    <r>
      <rPr>
        <sz val="11"/>
        <color theme="1"/>
        <rFont val="Times New Roman"/>
        <family val="1"/>
        <charset val="204"/>
      </rPr>
      <t>(содержание, формы (методы) проведения практических и лабораторных занятий)</t>
    </r>
  </si>
  <si>
    <r>
      <t xml:space="preserve">Информационное обеспечение учебного процесса </t>
    </r>
    <r>
      <rPr>
        <sz val="11"/>
        <color theme="1"/>
        <rFont val="Times New Roman"/>
        <family val="1"/>
        <charset val="204"/>
      </rPr>
      <t>(доступ к компьютерным технологиям, достаточность библиотечного и методического фонда, демонстрационных материалов)</t>
    </r>
  </si>
  <si>
    <r>
      <t xml:space="preserve">Материально-техническое обеспечение учебного процесса </t>
    </r>
    <r>
      <rPr>
        <sz val="11"/>
        <color theme="1"/>
        <rFont val="Times New Roman"/>
        <family val="1"/>
        <charset val="204"/>
      </rPr>
      <t>(удобство учебных аудиторий, наличие оборудования для проведения семинарских и лабораторных работ)</t>
    </r>
  </si>
  <si>
    <r>
      <t xml:space="preserve">Текущий контроль знаний обучающихся </t>
    </r>
    <r>
      <rPr>
        <sz val="11"/>
        <color theme="1"/>
        <rFont val="Times New Roman"/>
        <family val="1"/>
        <charset val="204"/>
      </rPr>
      <t>(справедливость и оперативность оценки знаний учащихся)</t>
    </r>
  </si>
  <si>
    <t>m</t>
  </si>
  <si>
    <t>ср зн уд j кр Упj (1), %</t>
  </si>
  <si>
    <t>ср зн инд оц уд потр j кр (2)</t>
  </si>
  <si>
    <t>ср кв откл инд оц (3), %</t>
  </si>
  <si>
    <t>Удовлетворенность  потребителей, %</t>
  </si>
  <si>
    <t>Оценка</t>
  </si>
  <si>
    <t>Анализ удовлетворенности учащихся преподаванием учебных дисциплин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</si>
</sst>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0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left" indent="2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0" xfId="0" applyFill="1"/>
    <xf numFmtId="2" fontId="0" fillId="0" borderId="1" xfId="0" applyNumberFormat="1" applyBorder="1" applyAlignment="1">
      <alignment horizontal="left" indent="2"/>
    </xf>
    <xf numFmtId="0" fontId="1" fillId="6" borderId="1" xfId="0" applyFont="1" applyFill="1" applyBorder="1"/>
    <xf numFmtId="164" fontId="1" fillId="6" borderId="1" xfId="0" applyNumberFormat="1" applyFont="1" applyFill="1" applyBorder="1"/>
    <xf numFmtId="2" fontId="0" fillId="5" borderId="1" xfId="0" applyNumberFormat="1" applyFill="1" applyBorder="1"/>
    <xf numFmtId="164" fontId="0" fillId="3" borderId="3" xfId="0" applyNumberFormat="1" applyFill="1" applyBorder="1"/>
    <xf numFmtId="0" fontId="2" fillId="3" borderId="4" xfId="0" applyFont="1" applyFill="1" applyBorder="1" applyAlignment="1">
      <alignment horizontal="center"/>
    </xf>
    <xf numFmtId="0" fontId="0" fillId="3" borderId="0" xfId="0" applyFill="1" applyBorder="1"/>
    <xf numFmtId="164" fontId="0" fillId="3" borderId="2" xfId="0" applyNumberFormat="1" applyFill="1" applyBorder="1"/>
    <xf numFmtId="0" fontId="2" fillId="3" borderId="6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3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2" fontId="0" fillId="3" borderId="5" xfId="0" applyNumberFormat="1" applyFill="1" applyBorder="1" applyAlignment="1">
      <alignment horizontal="left"/>
    </xf>
    <xf numFmtId="2" fontId="0" fillId="3" borderId="7" xfId="0" applyNumberFormat="1" applyFill="1" applyBorder="1" applyAlignment="1">
      <alignment horizontal="left"/>
    </xf>
    <xf numFmtId="0" fontId="1" fillId="4" borderId="1" xfId="0" applyFont="1" applyFill="1" applyBorder="1"/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2" fontId="0" fillId="0" borderId="11" xfId="0" applyNumberFormat="1" applyBorder="1" applyAlignment="1">
      <alignment horizontal="left" indent="2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0" fillId="0" borderId="0" xfId="0" applyFill="1" applyBorder="1"/>
    <xf numFmtId="2" fontId="0" fillId="0" borderId="0" xfId="0" applyNumberFormat="1" applyFill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left"/>
    </xf>
    <xf numFmtId="0" fontId="0" fillId="0" borderId="0" xfId="0" applyBorder="1"/>
    <xf numFmtId="164" fontId="0" fillId="3" borderId="2" xfId="0" applyNumberForma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0" borderId="0" xfId="0" applyNumberFormat="1" applyFill="1" applyBorder="1"/>
    <xf numFmtId="164" fontId="0" fillId="0" borderId="0" xfId="0" applyNumberForma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4" fontId="0" fillId="0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1" fillId="2" borderId="11" xfId="0" applyFont="1" applyFill="1" applyBorder="1"/>
    <xf numFmtId="0" fontId="0" fillId="0" borderId="0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4" borderId="12" xfId="0" applyFill="1" applyBorder="1"/>
    <xf numFmtId="0" fontId="0" fillId="3" borderId="0" xfId="0" applyFill="1" applyBorder="1" applyAlignment="1">
      <alignment vertical="center"/>
    </xf>
    <xf numFmtId="0" fontId="0" fillId="5" borderId="0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vertical="center" wrapText="1"/>
    </xf>
    <xf numFmtId="0" fontId="0" fillId="0" borderId="0" xfId="0" applyFill="1"/>
    <xf numFmtId="0" fontId="0" fillId="0" borderId="2" xfId="0" applyBorder="1" applyAlignment="1">
      <alignment wrapText="1"/>
    </xf>
    <xf numFmtId="0" fontId="1" fillId="0" borderId="0" xfId="0" applyFont="1" applyFill="1" applyBorder="1"/>
    <xf numFmtId="2" fontId="0" fillId="0" borderId="0" xfId="0" applyNumberFormat="1" applyFill="1" applyBorder="1" applyAlignment="1">
      <alignment horizontal="left" indent="2"/>
    </xf>
    <xf numFmtId="0" fontId="1" fillId="0" borderId="0" xfId="0" applyFont="1" applyFill="1"/>
    <xf numFmtId="0" fontId="9" fillId="2" borderId="1" xfId="0" applyFont="1" applyFill="1" applyBorder="1"/>
    <xf numFmtId="0" fontId="0" fillId="0" borderId="0" xfId="0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2" fontId="0" fillId="3" borderId="0" xfId="0" applyNumberFormat="1" applyFill="1"/>
    <xf numFmtId="2" fontId="0" fillId="0" borderId="12" xfId="0" applyNumberFormat="1" applyFill="1" applyBorder="1" applyAlignment="1">
      <alignment horizontal="left" indent="2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right" wrapText="1"/>
    </xf>
    <xf numFmtId="0" fontId="6" fillId="0" borderId="7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F-479F-B680-6EF867EDC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02144"/>
        <c:axId val="28903680"/>
      </c:radarChart>
      <c:catAx>
        <c:axId val="28902144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8903680"/>
        <c:crosses val="autoZero"/>
        <c:auto val="1"/>
        <c:lblAlgn val="ctr"/>
        <c:lblOffset val="100"/>
        <c:noMultiLvlLbl val="0"/>
      </c:catAx>
      <c:valAx>
        <c:axId val="28903680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28902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val>
            <c:numRef>
              <c:f>ЦМУ!$BS$3:$BS$11</c:f>
              <c:numCache>
                <c:formatCode>0.0</c:formatCode>
                <c:ptCount val="9"/>
                <c:pt idx="0">
                  <c:v>98.4375</c:v>
                </c:pt>
                <c:pt idx="1">
                  <c:v>99.305555555555557</c:v>
                </c:pt>
                <c:pt idx="2">
                  <c:v>99.375</c:v>
                </c:pt>
                <c:pt idx="3">
                  <c:v>97.023809523809518</c:v>
                </c:pt>
                <c:pt idx="4">
                  <c:v>97.829861111111114</c:v>
                </c:pt>
                <c:pt idx="5">
                  <c:v>98.958333333333343</c:v>
                </c:pt>
                <c:pt idx="6">
                  <c:v>98.958333333333343</c:v>
                </c:pt>
                <c:pt idx="7">
                  <c:v>99.21875</c:v>
                </c:pt>
                <c:pt idx="8">
                  <c:v>99.305555555555557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A-4221-8504-DA98534AC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13504"/>
        <c:axId val="29015040"/>
      </c:radarChart>
      <c:catAx>
        <c:axId val="29013504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9015040"/>
        <c:crosses val="autoZero"/>
        <c:auto val="1"/>
        <c:lblAlgn val="ctr"/>
        <c:lblOffset val="100"/>
        <c:noMultiLvlLbl val="0"/>
      </c:catAx>
      <c:valAx>
        <c:axId val="29015040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290135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ЦМУ!$AT$1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ЦМУ!$BS$3:$BS$11</c:f>
              <c:numCache>
                <c:formatCode>0.0</c:formatCode>
                <c:ptCount val="9"/>
                <c:pt idx="0">
                  <c:v>98.4375</c:v>
                </c:pt>
                <c:pt idx="1">
                  <c:v>99.305555555555557</c:v>
                </c:pt>
                <c:pt idx="2">
                  <c:v>99.375</c:v>
                </c:pt>
                <c:pt idx="3">
                  <c:v>97.023809523809518</c:v>
                </c:pt>
                <c:pt idx="4">
                  <c:v>97.829861111111114</c:v>
                </c:pt>
                <c:pt idx="5">
                  <c:v>98.958333333333343</c:v>
                </c:pt>
                <c:pt idx="6">
                  <c:v>98.958333333333343</c:v>
                </c:pt>
                <c:pt idx="7">
                  <c:v>99.21875</c:v>
                </c:pt>
                <c:pt idx="8">
                  <c:v>99.305555555555557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6-4643-89EB-21524AB86E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76459392"/>
        <c:axId val="76465280"/>
        <c:axId val="0"/>
      </c:bar3DChart>
      <c:catAx>
        <c:axId val="76459392"/>
        <c:scaling>
          <c:orientation val="minMax"/>
        </c:scaling>
        <c:delete val="0"/>
        <c:axPos val="b"/>
        <c:majorTickMark val="none"/>
        <c:minorTickMark val="none"/>
        <c:tickLblPos val="nextTo"/>
        <c:crossAx val="76465280"/>
        <c:crosses val="autoZero"/>
        <c:auto val="1"/>
        <c:lblAlgn val="ctr"/>
        <c:lblOffset val="100"/>
        <c:noMultiLvlLbl val="0"/>
      </c:catAx>
      <c:valAx>
        <c:axId val="764652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crossAx val="764593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4-4FDF-BB78-B5DB75AD3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32448"/>
        <c:axId val="29033984"/>
      </c:radarChart>
      <c:catAx>
        <c:axId val="29032448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9033984"/>
        <c:crosses val="autoZero"/>
        <c:auto val="1"/>
        <c:lblAlgn val="ctr"/>
        <c:lblOffset val="100"/>
        <c:noMultiLvlLbl val="0"/>
      </c:catAx>
      <c:valAx>
        <c:axId val="29033984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290324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35651793525809"/>
          <c:y val="3.8341353164187811E-2"/>
          <c:w val="0.6212961504811898"/>
          <c:h val="0.85066345873432492"/>
        </c:manualLayout>
      </c:layout>
      <c:radarChart>
        <c:radarStyle val="marker"/>
        <c:varyColors val="0"/>
        <c:ser>
          <c:idx val="0"/>
          <c:order val="0"/>
          <c:marker>
            <c:symbol val="none"/>
          </c:marker>
          <c:val>
            <c:numRef>
              <c:f>Программ!$GY$3:$GY$11</c:f>
              <c:numCache>
                <c:formatCode>0.0</c:formatCode>
                <c:ptCount val="9"/>
                <c:pt idx="0">
                  <c:v>98.092063492063474</c:v>
                </c:pt>
                <c:pt idx="1">
                  <c:v>98.842063492063474</c:v>
                </c:pt>
                <c:pt idx="2">
                  <c:v>98.819841269841248</c:v>
                </c:pt>
                <c:pt idx="3">
                  <c:v>98.394444444444446</c:v>
                </c:pt>
                <c:pt idx="4">
                  <c:v>98.25555555555556</c:v>
                </c:pt>
                <c:pt idx="5">
                  <c:v>98.227777777777774</c:v>
                </c:pt>
                <c:pt idx="6">
                  <c:v>96.388095238095232</c:v>
                </c:pt>
                <c:pt idx="7">
                  <c:v>97.019841269841265</c:v>
                </c:pt>
                <c:pt idx="8">
                  <c:v>98.88333333333334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1-4256-99B1-2B26B87F4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65984"/>
        <c:axId val="29067520"/>
      </c:radarChart>
      <c:catAx>
        <c:axId val="29065984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9067520"/>
        <c:crosses val="autoZero"/>
        <c:auto val="1"/>
        <c:lblAlgn val="ctr"/>
        <c:lblOffset val="100"/>
        <c:noMultiLvlLbl val="0"/>
      </c:catAx>
      <c:valAx>
        <c:axId val="29067520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290659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Программ!$GD$23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Программ!$GY$3:$GY$11</c:f>
              <c:numCache>
                <c:formatCode>0.0</c:formatCode>
                <c:ptCount val="9"/>
                <c:pt idx="0">
                  <c:v>98.092063492063474</c:v>
                </c:pt>
                <c:pt idx="1">
                  <c:v>98.842063492063474</c:v>
                </c:pt>
                <c:pt idx="2">
                  <c:v>98.819841269841248</c:v>
                </c:pt>
                <c:pt idx="3">
                  <c:v>98.394444444444446</c:v>
                </c:pt>
                <c:pt idx="4">
                  <c:v>98.25555555555556</c:v>
                </c:pt>
                <c:pt idx="5">
                  <c:v>98.227777777777774</c:v>
                </c:pt>
                <c:pt idx="6">
                  <c:v>96.388095238095232</c:v>
                </c:pt>
                <c:pt idx="7">
                  <c:v>97.019841269841265</c:v>
                </c:pt>
                <c:pt idx="8">
                  <c:v>98.88333333333334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2-470E-BB70-473BEFD433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29096576"/>
        <c:axId val="29299072"/>
        <c:axId val="0"/>
      </c:bar3DChart>
      <c:catAx>
        <c:axId val="29096576"/>
        <c:scaling>
          <c:orientation val="minMax"/>
        </c:scaling>
        <c:delete val="0"/>
        <c:axPos val="b"/>
        <c:majorTickMark val="none"/>
        <c:minorTickMark val="none"/>
        <c:tickLblPos val="nextTo"/>
        <c:crossAx val="29299072"/>
        <c:crosses val="autoZero"/>
        <c:auto val="1"/>
        <c:lblAlgn val="ctr"/>
        <c:lblOffset val="100"/>
        <c:noMultiLvlLbl val="0"/>
      </c:catAx>
      <c:valAx>
        <c:axId val="2929907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crossAx val="290965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1-446E-BC6E-9425231EF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15360"/>
        <c:axId val="28816896"/>
      </c:radarChart>
      <c:catAx>
        <c:axId val="28815360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8816896"/>
        <c:crosses val="autoZero"/>
        <c:auto val="1"/>
        <c:lblAlgn val="ctr"/>
        <c:lblOffset val="100"/>
        <c:noMultiLvlLbl val="0"/>
      </c:catAx>
      <c:valAx>
        <c:axId val="28816896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28815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0-41F2-91E3-ABBC59FD8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54400"/>
        <c:axId val="29255936"/>
      </c:radarChart>
      <c:catAx>
        <c:axId val="29254400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9255936"/>
        <c:crosses val="autoZero"/>
        <c:auto val="1"/>
        <c:lblAlgn val="ctr"/>
        <c:lblOffset val="100"/>
        <c:noMultiLvlLbl val="0"/>
      </c:catAx>
      <c:valAx>
        <c:axId val="29255936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29254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val>
            <c:numRef>
              <c:f>ИГ!$FO$3:$FO$11</c:f>
              <c:numCache>
                <c:formatCode>0.0</c:formatCode>
                <c:ptCount val="9"/>
                <c:pt idx="0">
                  <c:v>99.264705882352942</c:v>
                </c:pt>
                <c:pt idx="1">
                  <c:v>98.692810457516345</c:v>
                </c:pt>
                <c:pt idx="2">
                  <c:v>99.019607843137251</c:v>
                </c:pt>
                <c:pt idx="3">
                  <c:v>100</c:v>
                </c:pt>
                <c:pt idx="4">
                  <c:v>98.692810457516345</c:v>
                </c:pt>
                <c:pt idx="5">
                  <c:v>100</c:v>
                </c:pt>
                <c:pt idx="6">
                  <c:v>99.346405228758172</c:v>
                </c:pt>
                <c:pt idx="7">
                  <c:v>100</c:v>
                </c:pt>
                <c:pt idx="8">
                  <c:v>99.346405228758172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6-4E74-976F-D3EEF2E6F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83840"/>
        <c:axId val="29285376"/>
      </c:radarChart>
      <c:catAx>
        <c:axId val="29283840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9285376"/>
        <c:crosses val="autoZero"/>
        <c:auto val="1"/>
        <c:lblAlgn val="ctr"/>
        <c:lblOffset val="100"/>
        <c:noMultiLvlLbl val="0"/>
      </c:catAx>
      <c:valAx>
        <c:axId val="29285376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29283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ИГ!$FT$9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ИГ!$FO$3:$FP$11</c:f>
              <c:multiLvlStrCache>
                <c:ptCount val="9"/>
                <c:lvl>
                  <c:pt idx="0">
                    <c:v>±</c:v>
                  </c:pt>
                  <c:pt idx="1">
                    <c:v>±</c:v>
                  </c:pt>
                  <c:pt idx="2">
                    <c:v>±</c:v>
                  </c:pt>
                  <c:pt idx="3">
                    <c:v>±</c:v>
                  </c:pt>
                  <c:pt idx="4">
                    <c:v>±</c:v>
                  </c:pt>
                  <c:pt idx="5">
                    <c:v>±</c:v>
                  </c:pt>
                  <c:pt idx="6">
                    <c:v>±</c:v>
                  </c:pt>
                  <c:pt idx="7">
                    <c:v>±</c:v>
                  </c:pt>
                  <c:pt idx="8">
                    <c:v>±</c:v>
                  </c:pt>
                </c:lvl>
                <c:lvl>
                  <c:pt idx="0">
                    <c:v>99,3</c:v>
                  </c:pt>
                  <c:pt idx="1">
                    <c:v>98,7</c:v>
                  </c:pt>
                  <c:pt idx="2">
                    <c:v>99,0</c:v>
                  </c:pt>
                  <c:pt idx="3">
                    <c:v>100,0</c:v>
                  </c:pt>
                  <c:pt idx="4">
                    <c:v>98,7</c:v>
                  </c:pt>
                  <c:pt idx="5">
                    <c:v>100,0</c:v>
                  </c:pt>
                  <c:pt idx="6">
                    <c:v>99,3</c:v>
                  </c:pt>
                  <c:pt idx="7">
                    <c:v>100,0</c:v>
                  </c:pt>
                  <c:pt idx="8">
                    <c:v>99,3</c:v>
                  </c:pt>
                </c:lvl>
              </c:multiLvlStrCache>
            </c:multiLvlStrRef>
          </c:cat>
          <c:val>
            <c:numRef>
              <c:f>ИГ!$FO$3:$FO$11</c:f>
              <c:numCache>
                <c:formatCode>0.0</c:formatCode>
                <c:ptCount val="9"/>
                <c:pt idx="0">
                  <c:v>99.264705882352942</c:v>
                </c:pt>
                <c:pt idx="1">
                  <c:v>98.692810457516345</c:v>
                </c:pt>
                <c:pt idx="2">
                  <c:v>99.019607843137251</c:v>
                </c:pt>
                <c:pt idx="3">
                  <c:v>100</c:v>
                </c:pt>
                <c:pt idx="4">
                  <c:v>98.692810457516345</c:v>
                </c:pt>
                <c:pt idx="5">
                  <c:v>100</c:v>
                </c:pt>
                <c:pt idx="6">
                  <c:v>99.346405228758172</c:v>
                </c:pt>
                <c:pt idx="7">
                  <c:v>100</c:v>
                </c:pt>
                <c:pt idx="8">
                  <c:v>99.346405228758172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C-45EB-BEE1-795E29CB4E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29310336"/>
        <c:axId val="29328512"/>
        <c:axId val="0"/>
      </c:bar3DChart>
      <c:catAx>
        <c:axId val="29310336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29328512"/>
        <c:crosses val="autoZero"/>
        <c:auto val="1"/>
        <c:lblAlgn val="ctr"/>
        <c:lblOffset val="100"/>
        <c:noMultiLvlLbl val="0"/>
      </c:catAx>
      <c:valAx>
        <c:axId val="2932851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crossAx val="293103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val>
            <c:numRef>
              <c:f>'[1]Способы пр'!$FG$3:$FG$14</c:f>
              <c:numCache>
                <c:formatCode>General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10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A-496B-81AC-AF6E251D0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47840"/>
        <c:axId val="29446528"/>
      </c:radarChart>
      <c:catAx>
        <c:axId val="29747840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9446528"/>
        <c:crosses val="autoZero"/>
        <c:auto val="1"/>
        <c:lblAlgn val="ctr"/>
        <c:lblOffset val="100"/>
        <c:noMultiLvlLbl val="0"/>
      </c:catAx>
      <c:valAx>
        <c:axId val="29446528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29747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val>
            <c:numRef>
              <c:f>'ОКМЭЦ(2)'!$GE$3:$GE$11</c:f>
              <c:numCache>
                <c:formatCode>0.0</c:formatCode>
                <c:ptCount val="9"/>
                <c:pt idx="0">
                  <c:v>93.134920634920633</c:v>
                </c:pt>
                <c:pt idx="1">
                  <c:v>95.091710758377403</c:v>
                </c:pt>
                <c:pt idx="2">
                  <c:v>91.386243386243379</c:v>
                </c:pt>
                <c:pt idx="3">
                  <c:v>93.463844797178112</c:v>
                </c:pt>
                <c:pt idx="4">
                  <c:v>95.982363315696645</c:v>
                </c:pt>
                <c:pt idx="5">
                  <c:v>95.665784832451507</c:v>
                </c:pt>
                <c:pt idx="6">
                  <c:v>93.273368606701951</c:v>
                </c:pt>
                <c:pt idx="7">
                  <c:v>91.978835978835988</c:v>
                </c:pt>
                <c:pt idx="8">
                  <c:v>96.058201058201064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E-4A97-A90D-4C53C5744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03552"/>
        <c:axId val="29709440"/>
      </c:radarChart>
      <c:catAx>
        <c:axId val="29703552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9709440"/>
        <c:crosses val="autoZero"/>
        <c:auto val="1"/>
        <c:lblAlgn val="ctr"/>
        <c:lblOffset val="100"/>
        <c:noMultiLvlLbl val="0"/>
      </c:catAx>
      <c:valAx>
        <c:axId val="29709440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29703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'ОКМЭЦ(2)'!$GL$3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'ОКМЭЦ(2)'!$GE$3:$GE$11</c:f>
              <c:numCache>
                <c:formatCode>0.0</c:formatCode>
                <c:ptCount val="9"/>
                <c:pt idx="0">
                  <c:v>93.134920634920633</c:v>
                </c:pt>
                <c:pt idx="1">
                  <c:v>95.091710758377403</c:v>
                </c:pt>
                <c:pt idx="2">
                  <c:v>91.386243386243379</c:v>
                </c:pt>
                <c:pt idx="3">
                  <c:v>93.463844797178112</c:v>
                </c:pt>
                <c:pt idx="4">
                  <c:v>95.982363315696645</c:v>
                </c:pt>
                <c:pt idx="5">
                  <c:v>95.665784832451507</c:v>
                </c:pt>
                <c:pt idx="6">
                  <c:v>93.273368606701951</c:v>
                </c:pt>
                <c:pt idx="7">
                  <c:v>91.978835978835988</c:v>
                </c:pt>
                <c:pt idx="8">
                  <c:v>96.058201058201064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B-4CAD-A1F2-2C0D54B8D6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29627904"/>
        <c:axId val="29629440"/>
        <c:axId val="0"/>
      </c:bar3DChart>
      <c:catAx>
        <c:axId val="29627904"/>
        <c:scaling>
          <c:orientation val="minMax"/>
        </c:scaling>
        <c:delete val="0"/>
        <c:axPos val="b"/>
        <c:majorTickMark val="none"/>
        <c:minorTickMark val="none"/>
        <c:tickLblPos val="nextTo"/>
        <c:crossAx val="29629440"/>
        <c:crosses val="autoZero"/>
        <c:auto val="1"/>
        <c:lblAlgn val="ctr"/>
        <c:lblOffset val="100"/>
        <c:noMultiLvlLbl val="0"/>
      </c:catAx>
      <c:valAx>
        <c:axId val="2962944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crossAx val="29627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5-421E-B9A4-032A2C0C8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44224"/>
        <c:axId val="29845760"/>
      </c:radarChart>
      <c:catAx>
        <c:axId val="29844224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9845760"/>
        <c:crosses val="autoZero"/>
        <c:auto val="1"/>
        <c:lblAlgn val="ctr"/>
        <c:lblOffset val="100"/>
        <c:noMultiLvlLbl val="0"/>
      </c:catAx>
      <c:valAx>
        <c:axId val="29845760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298442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val>
            <c:numRef>
              <c:f>ИТ!$BS$3:$BS$11</c:f>
              <c:numCache>
                <c:formatCode>0.0</c:formatCode>
                <c:ptCount val="9"/>
                <c:pt idx="0">
                  <c:v>98.4375</c:v>
                </c:pt>
                <c:pt idx="1">
                  <c:v>99.305555555555557</c:v>
                </c:pt>
                <c:pt idx="2">
                  <c:v>99.375</c:v>
                </c:pt>
                <c:pt idx="3">
                  <c:v>97.023809523809518</c:v>
                </c:pt>
                <c:pt idx="4">
                  <c:v>97.829861111111114</c:v>
                </c:pt>
                <c:pt idx="5">
                  <c:v>98.958333333333343</c:v>
                </c:pt>
                <c:pt idx="6">
                  <c:v>98.958333333333343</c:v>
                </c:pt>
                <c:pt idx="7">
                  <c:v>99.21875</c:v>
                </c:pt>
                <c:pt idx="8">
                  <c:v>99.305555555555557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0-466B-BC47-CCCA9B7AE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69568"/>
        <c:axId val="29871104"/>
      </c:radarChart>
      <c:catAx>
        <c:axId val="29869568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9871104"/>
        <c:crosses val="autoZero"/>
        <c:auto val="1"/>
        <c:lblAlgn val="ctr"/>
        <c:lblOffset val="100"/>
        <c:noMultiLvlLbl val="0"/>
      </c:catAx>
      <c:valAx>
        <c:axId val="29871104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298695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ИТ!$BX$8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ИТ!$BS$3:$BS$11</c:f>
              <c:numCache>
                <c:formatCode>0.0</c:formatCode>
                <c:ptCount val="9"/>
                <c:pt idx="0">
                  <c:v>98.4375</c:v>
                </c:pt>
                <c:pt idx="1">
                  <c:v>99.305555555555557</c:v>
                </c:pt>
                <c:pt idx="2">
                  <c:v>99.375</c:v>
                </c:pt>
                <c:pt idx="3">
                  <c:v>97.023809523809518</c:v>
                </c:pt>
                <c:pt idx="4">
                  <c:v>97.829861111111114</c:v>
                </c:pt>
                <c:pt idx="5">
                  <c:v>98.958333333333343</c:v>
                </c:pt>
                <c:pt idx="6">
                  <c:v>98.958333333333343</c:v>
                </c:pt>
                <c:pt idx="7">
                  <c:v>99.21875</c:v>
                </c:pt>
                <c:pt idx="8">
                  <c:v>99.305555555555557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9-452B-8A21-97386BC856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29879680"/>
        <c:axId val="29561984"/>
        <c:axId val="0"/>
      </c:bar3DChart>
      <c:catAx>
        <c:axId val="29879680"/>
        <c:scaling>
          <c:orientation val="minMax"/>
        </c:scaling>
        <c:delete val="0"/>
        <c:axPos val="b"/>
        <c:majorTickMark val="none"/>
        <c:minorTickMark val="none"/>
        <c:tickLblPos val="nextTo"/>
        <c:crossAx val="29561984"/>
        <c:crosses val="autoZero"/>
        <c:auto val="1"/>
        <c:lblAlgn val="ctr"/>
        <c:lblOffset val="100"/>
        <c:noMultiLvlLbl val="0"/>
      </c:catAx>
      <c:valAx>
        <c:axId val="2956198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crossAx val="2987968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val>
            <c:numRef>
              <c:f>[2]ЦиМУ!$FG$3:$FG$14</c:f>
              <c:numCache>
                <c:formatCode>General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10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7-449B-A3C4-9E317CC77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47232"/>
        <c:axId val="29648768"/>
      </c:radarChart>
      <c:catAx>
        <c:axId val="29647232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9648768"/>
        <c:crosses val="autoZero"/>
        <c:auto val="1"/>
        <c:lblAlgn val="ctr"/>
        <c:lblOffset val="100"/>
        <c:noMultiLvlLbl val="0"/>
      </c:catAx>
      <c:valAx>
        <c:axId val="29648768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296472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val>
            <c:numRef>
              <c:f>ИСиБД!$GE$3:$GE$11</c:f>
              <c:numCache>
                <c:formatCode>0.0</c:formatCode>
                <c:ptCount val="9"/>
                <c:pt idx="0">
                  <c:v>93.876543209876516</c:v>
                </c:pt>
                <c:pt idx="1">
                  <c:v>93.762786596119923</c:v>
                </c:pt>
                <c:pt idx="2">
                  <c:v>93.25308641975306</c:v>
                </c:pt>
                <c:pt idx="3">
                  <c:v>93.263668430335102</c:v>
                </c:pt>
                <c:pt idx="4">
                  <c:v>92.99206349206348</c:v>
                </c:pt>
                <c:pt idx="5">
                  <c:v>89.91181657848324</c:v>
                </c:pt>
                <c:pt idx="6">
                  <c:v>93.919753086419746</c:v>
                </c:pt>
                <c:pt idx="7">
                  <c:v>95.605820105820101</c:v>
                </c:pt>
                <c:pt idx="8">
                  <c:v>93.51234567901237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D-4213-98BD-B80033EBB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99264"/>
        <c:axId val="30300800"/>
      </c:radarChart>
      <c:catAx>
        <c:axId val="30299264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30300800"/>
        <c:crosses val="autoZero"/>
        <c:auto val="1"/>
        <c:lblAlgn val="ctr"/>
        <c:lblOffset val="100"/>
        <c:noMultiLvlLbl val="0"/>
      </c:catAx>
      <c:valAx>
        <c:axId val="30300800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302992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355796150481189"/>
          <c:y val="3.2882035578885971E-2"/>
          <c:w val="0.87644203849518809"/>
          <c:h val="0.832619568387284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ИСиБД!$GO$3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ИСиБД!$GE$3:$GE$15</c:f>
              <c:numCache>
                <c:formatCode>0.0</c:formatCode>
                <c:ptCount val="10"/>
                <c:pt idx="0">
                  <c:v>93.876543209876516</c:v>
                </c:pt>
                <c:pt idx="1">
                  <c:v>93.762786596119923</c:v>
                </c:pt>
                <c:pt idx="2">
                  <c:v>93.25308641975306</c:v>
                </c:pt>
                <c:pt idx="3">
                  <c:v>93.263668430335102</c:v>
                </c:pt>
                <c:pt idx="4">
                  <c:v>92.99206349206348</c:v>
                </c:pt>
                <c:pt idx="5">
                  <c:v>89.91181657848324</c:v>
                </c:pt>
                <c:pt idx="6">
                  <c:v>93.919753086419746</c:v>
                </c:pt>
                <c:pt idx="7">
                  <c:v>95.605820105820101</c:v>
                </c:pt>
                <c:pt idx="8">
                  <c:v>93.51234567901237</c:v>
                </c:pt>
                <c:pt idx="9">
                  <c:v>93.344209288653715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F-46DE-95AB-72B0B7CAD4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30313472"/>
        <c:axId val="30339840"/>
        <c:axId val="0"/>
      </c:bar3DChart>
      <c:catAx>
        <c:axId val="30313472"/>
        <c:scaling>
          <c:orientation val="minMax"/>
        </c:scaling>
        <c:delete val="0"/>
        <c:axPos val="b"/>
        <c:majorTickMark val="none"/>
        <c:minorTickMark val="none"/>
        <c:tickLblPos val="nextTo"/>
        <c:crossAx val="30339840"/>
        <c:crosses val="autoZero"/>
        <c:auto val="1"/>
        <c:lblAlgn val="ctr"/>
        <c:lblOffset val="100"/>
        <c:noMultiLvlLbl val="0"/>
      </c:catAx>
      <c:valAx>
        <c:axId val="3033984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crossAx val="30313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A-44E6-A98F-983784C95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02848"/>
        <c:axId val="29104384"/>
      </c:radarChart>
      <c:catAx>
        <c:axId val="29102848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9104384"/>
        <c:crosses val="autoZero"/>
        <c:auto val="1"/>
        <c:lblAlgn val="ctr"/>
        <c:lblOffset val="100"/>
        <c:noMultiLvlLbl val="0"/>
      </c:catAx>
      <c:valAx>
        <c:axId val="29104384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29102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val>
            <c:numRef>
              <c:f>КПиЯП!$GE$3:$GE$11</c:f>
              <c:numCache>
                <c:formatCode>0.0</c:formatCode>
                <c:ptCount val="9"/>
                <c:pt idx="0">
                  <c:v>96.139329805996468</c:v>
                </c:pt>
                <c:pt idx="1">
                  <c:v>94.96913580246914</c:v>
                </c:pt>
                <c:pt idx="2">
                  <c:v>96.481481481481495</c:v>
                </c:pt>
                <c:pt idx="3">
                  <c:v>96.145502645502646</c:v>
                </c:pt>
                <c:pt idx="4">
                  <c:v>96.460317460317469</c:v>
                </c:pt>
                <c:pt idx="5">
                  <c:v>95.926807760141088</c:v>
                </c:pt>
                <c:pt idx="6">
                  <c:v>95.812169312169303</c:v>
                </c:pt>
                <c:pt idx="7">
                  <c:v>96.327160493827165</c:v>
                </c:pt>
                <c:pt idx="8">
                  <c:v>96.567901234567898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9-4B50-8BC6-6561080DB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80160"/>
        <c:axId val="29981696"/>
      </c:radarChart>
      <c:catAx>
        <c:axId val="29980160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9981696"/>
        <c:crosses val="autoZero"/>
        <c:auto val="1"/>
        <c:lblAlgn val="ctr"/>
        <c:lblOffset val="100"/>
        <c:noMultiLvlLbl val="0"/>
      </c:catAx>
      <c:valAx>
        <c:axId val="29981696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299801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КПиЯП!$FI$21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КПиЯП!$GE$3:$GE$11</c:f>
              <c:numCache>
                <c:formatCode>0.0</c:formatCode>
                <c:ptCount val="9"/>
                <c:pt idx="0">
                  <c:v>96.139329805996468</c:v>
                </c:pt>
                <c:pt idx="1">
                  <c:v>94.96913580246914</c:v>
                </c:pt>
                <c:pt idx="2">
                  <c:v>96.481481481481495</c:v>
                </c:pt>
                <c:pt idx="3">
                  <c:v>96.145502645502646</c:v>
                </c:pt>
                <c:pt idx="4">
                  <c:v>96.460317460317469</c:v>
                </c:pt>
                <c:pt idx="5">
                  <c:v>95.926807760141088</c:v>
                </c:pt>
                <c:pt idx="6">
                  <c:v>95.812169312169303</c:v>
                </c:pt>
                <c:pt idx="7">
                  <c:v>96.327160493827165</c:v>
                </c:pt>
                <c:pt idx="8">
                  <c:v>96.567901234567898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C-4B45-8BEB-4FDC339EE5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29990272"/>
        <c:axId val="30012544"/>
        <c:axId val="0"/>
      </c:bar3DChart>
      <c:catAx>
        <c:axId val="29990272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12544"/>
        <c:crosses val="autoZero"/>
        <c:auto val="1"/>
        <c:lblAlgn val="ctr"/>
        <c:lblOffset val="100"/>
        <c:noMultiLvlLbl val="0"/>
      </c:catAx>
      <c:valAx>
        <c:axId val="3001254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crossAx val="29990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F-4675-AD21-C11419777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4816"/>
        <c:axId val="30436352"/>
      </c:radarChart>
      <c:catAx>
        <c:axId val="3043481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30436352"/>
        <c:crosses val="autoZero"/>
        <c:auto val="1"/>
        <c:lblAlgn val="ctr"/>
        <c:lblOffset val="100"/>
        <c:noMultiLvlLbl val="0"/>
      </c:catAx>
      <c:valAx>
        <c:axId val="3043635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30434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35651793525809"/>
          <c:y val="3.8341353164187811E-2"/>
          <c:w val="0.6212961504811898"/>
          <c:h val="0.85066345873432492"/>
        </c:manualLayout>
      </c:layout>
      <c:radarChart>
        <c:radarStyle val="marker"/>
        <c:varyColors val="0"/>
        <c:ser>
          <c:idx val="0"/>
          <c:order val="0"/>
          <c:marker>
            <c:symbol val="none"/>
          </c:marker>
          <c:val>
            <c:numRef>
              <c:f>'ЭПОСТ(2)'!$DK$3:$DK$11</c:f>
              <c:numCache>
                <c:formatCode>0.0</c:formatCode>
                <c:ptCount val="9"/>
                <c:pt idx="0">
                  <c:v>95.557025279247512</c:v>
                </c:pt>
                <c:pt idx="1">
                  <c:v>93.399470899470899</c:v>
                </c:pt>
                <c:pt idx="2">
                  <c:v>91.5931804820694</c:v>
                </c:pt>
                <c:pt idx="3">
                  <c:v>97.633744855967066</c:v>
                </c:pt>
                <c:pt idx="4">
                  <c:v>87.139917695473258</c:v>
                </c:pt>
                <c:pt idx="5">
                  <c:v>95.939153439153429</c:v>
                </c:pt>
                <c:pt idx="6">
                  <c:v>93.442092886537338</c:v>
                </c:pt>
                <c:pt idx="7">
                  <c:v>87.60875955320401</c:v>
                </c:pt>
                <c:pt idx="8">
                  <c:v>97.057613168724288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3-432C-8FBB-FD9933681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49568"/>
        <c:axId val="30351360"/>
      </c:radarChart>
      <c:catAx>
        <c:axId val="30349568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30351360"/>
        <c:crosses val="autoZero"/>
        <c:auto val="1"/>
        <c:lblAlgn val="ctr"/>
        <c:lblOffset val="100"/>
        <c:noMultiLvlLbl val="0"/>
      </c:catAx>
      <c:valAx>
        <c:axId val="30351360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303495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'ЭПОСТ(2)'!$CX$16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'ЭПОСТ(2)'!$DK$3:$DK$11</c:f>
              <c:numCache>
                <c:formatCode>0.0</c:formatCode>
                <c:ptCount val="9"/>
                <c:pt idx="0">
                  <c:v>95.557025279247512</c:v>
                </c:pt>
                <c:pt idx="1">
                  <c:v>93.399470899470899</c:v>
                </c:pt>
                <c:pt idx="2">
                  <c:v>91.5931804820694</c:v>
                </c:pt>
                <c:pt idx="3">
                  <c:v>97.633744855967066</c:v>
                </c:pt>
                <c:pt idx="4">
                  <c:v>87.139917695473258</c:v>
                </c:pt>
                <c:pt idx="5">
                  <c:v>95.939153439153429</c:v>
                </c:pt>
                <c:pt idx="6">
                  <c:v>93.442092886537338</c:v>
                </c:pt>
                <c:pt idx="7">
                  <c:v>87.60875955320401</c:v>
                </c:pt>
                <c:pt idx="8">
                  <c:v>97.057613168724288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5-46DF-8A91-ED676B4489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30384512"/>
        <c:axId val="30386048"/>
        <c:axId val="0"/>
      </c:bar3DChart>
      <c:catAx>
        <c:axId val="30384512"/>
        <c:scaling>
          <c:orientation val="minMax"/>
        </c:scaling>
        <c:delete val="0"/>
        <c:axPos val="b"/>
        <c:majorTickMark val="none"/>
        <c:minorTickMark val="none"/>
        <c:tickLblPos val="nextTo"/>
        <c:crossAx val="30386048"/>
        <c:crosses val="autoZero"/>
        <c:auto val="1"/>
        <c:lblAlgn val="ctr"/>
        <c:lblOffset val="100"/>
        <c:noMultiLvlLbl val="0"/>
      </c:catAx>
      <c:valAx>
        <c:axId val="3038604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crossAx val="30384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7-4F3B-AAB5-036B32FE4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74240"/>
        <c:axId val="30475776"/>
      </c:radarChart>
      <c:catAx>
        <c:axId val="30474240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30475776"/>
        <c:crosses val="autoZero"/>
        <c:auto val="1"/>
        <c:lblAlgn val="ctr"/>
        <c:lblOffset val="100"/>
        <c:noMultiLvlLbl val="0"/>
      </c:catAx>
      <c:valAx>
        <c:axId val="30475776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30474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024496937882746E-2"/>
          <c:y val="9.781633400476103E-2"/>
          <c:w val="0.75539282589676293"/>
          <c:h val="0.87008392846243054"/>
        </c:manualLayout>
      </c:layout>
      <c:radarChart>
        <c:radarStyle val="marker"/>
        <c:varyColors val="0"/>
        <c:ser>
          <c:idx val="0"/>
          <c:order val="0"/>
          <c:marker>
            <c:symbol val="none"/>
          </c:marker>
          <c:val>
            <c:numRef>
              <c:f>ТА!$FO$3:$FO$11</c:f>
              <c:numCache>
                <c:formatCode>0.0</c:formatCode>
                <c:ptCount val="9"/>
                <c:pt idx="0">
                  <c:v>97.61904761904762</c:v>
                </c:pt>
                <c:pt idx="1">
                  <c:v>94.686716791979947</c:v>
                </c:pt>
                <c:pt idx="2">
                  <c:v>100</c:v>
                </c:pt>
                <c:pt idx="3">
                  <c:v>96.002506265664167</c:v>
                </c:pt>
                <c:pt idx="4">
                  <c:v>96.390977443609032</c:v>
                </c:pt>
                <c:pt idx="5">
                  <c:v>97.932330827067673</c:v>
                </c:pt>
                <c:pt idx="6">
                  <c:v>96.564327485380119</c:v>
                </c:pt>
                <c:pt idx="7">
                  <c:v>94.86215538847118</c:v>
                </c:pt>
                <c:pt idx="8">
                  <c:v>98.8888888888889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D-47F1-BF26-A529F04B8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07776"/>
        <c:axId val="30509312"/>
      </c:radarChart>
      <c:catAx>
        <c:axId val="3050777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30509312"/>
        <c:crosses val="autoZero"/>
        <c:auto val="1"/>
        <c:lblAlgn val="ctr"/>
        <c:lblOffset val="100"/>
        <c:noMultiLvlLbl val="0"/>
      </c:catAx>
      <c:valAx>
        <c:axId val="30509312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305077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ТА!$EP$15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ТА!$FO$3:$FO$11</c:f>
              <c:numCache>
                <c:formatCode>0.0</c:formatCode>
                <c:ptCount val="9"/>
                <c:pt idx="0">
                  <c:v>97.61904761904762</c:v>
                </c:pt>
                <c:pt idx="1">
                  <c:v>94.686716791979947</c:v>
                </c:pt>
                <c:pt idx="2">
                  <c:v>100</c:v>
                </c:pt>
                <c:pt idx="3">
                  <c:v>96.002506265664167</c:v>
                </c:pt>
                <c:pt idx="4">
                  <c:v>96.390977443609032</c:v>
                </c:pt>
                <c:pt idx="5">
                  <c:v>97.932330827067673</c:v>
                </c:pt>
                <c:pt idx="6">
                  <c:v>96.564327485380119</c:v>
                </c:pt>
                <c:pt idx="7">
                  <c:v>94.86215538847118</c:v>
                </c:pt>
                <c:pt idx="8">
                  <c:v>98.8888888888889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6-43C7-BE2F-49EFBB9B52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30521984"/>
        <c:axId val="30536064"/>
        <c:axId val="0"/>
      </c:bar3DChart>
      <c:catAx>
        <c:axId val="30521984"/>
        <c:scaling>
          <c:orientation val="minMax"/>
        </c:scaling>
        <c:delete val="0"/>
        <c:axPos val="b"/>
        <c:majorTickMark val="none"/>
        <c:minorTickMark val="none"/>
        <c:tickLblPos val="nextTo"/>
        <c:crossAx val="30536064"/>
        <c:crosses val="autoZero"/>
        <c:auto val="1"/>
        <c:lblAlgn val="ctr"/>
        <c:lblOffset val="100"/>
        <c:noMultiLvlLbl val="0"/>
      </c:catAx>
      <c:valAx>
        <c:axId val="3053606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crossAx val="305219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val>
            <c:numRef>
              <c:f>[2]ЦиМУ!$FG$3:$FG$14</c:f>
              <c:numCache>
                <c:formatCode>General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10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6-42A1-9FAE-D4DD03FFA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48896"/>
        <c:axId val="30850432"/>
      </c:radarChart>
      <c:catAx>
        <c:axId val="3084889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30850432"/>
        <c:crosses val="autoZero"/>
        <c:auto val="1"/>
        <c:lblAlgn val="ctr"/>
        <c:lblOffset val="100"/>
        <c:noMultiLvlLbl val="0"/>
      </c:catAx>
      <c:valAx>
        <c:axId val="3085043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308488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val>
            <c:numRef>
              <c:f>ООП!$HG$3:$HG$11</c:f>
              <c:numCache>
                <c:formatCode>0.0</c:formatCode>
                <c:ptCount val="9"/>
                <c:pt idx="0">
                  <c:v>93.312169312169303</c:v>
                </c:pt>
                <c:pt idx="1">
                  <c:v>93.065255731922406</c:v>
                </c:pt>
                <c:pt idx="2">
                  <c:v>91.985008818342124</c:v>
                </c:pt>
                <c:pt idx="3">
                  <c:v>93.692239858906518</c:v>
                </c:pt>
                <c:pt idx="4">
                  <c:v>91.394179894179857</c:v>
                </c:pt>
                <c:pt idx="5">
                  <c:v>90.633156966490276</c:v>
                </c:pt>
                <c:pt idx="6">
                  <c:v>94.679012345679041</c:v>
                </c:pt>
                <c:pt idx="7">
                  <c:v>93.882716049382708</c:v>
                </c:pt>
                <c:pt idx="8">
                  <c:v>94.145502645502646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2-4C76-82EF-418C37845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47264"/>
        <c:axId val="30749056"/>
      </c:radarChart>
      <c:catAx>
        <c:axId val="30747264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30749056"/>
        <c:crosses val="autoZero"/>
        <c:auto val="1"/>
        <c:lblAlgn val="ctr"/>
        <c:lblOffset val="100"/>
        <c:noMultiLvlLbl val="0"/>
      </c:catAx>
      <c:valAx>
        <c:axId val="30749056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307472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ООП!$H$22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ООП!$HG$3:$HG$11</c:f>
              <c:numCache>
                <c:formatCode>0.0</c:formatCode>
                <c:ptCount val="9"/>
                <c:pt idx="0">
                  <c:v>93.312169312169303</c:v>
                </c:pt>
                <c:pt idx="1">
                  <c:v>93.065255731922406</c:v>
                </c:pt>
                <c:pt idx="2">
                  <c:v>91.985008818342124</c:v>
                </c:pt>
                <c:pt idx="3">
                  <c:v>93.692239858906518</c:v>
                </c:pt>
                <c:pt idx="4">
                  <c:v>91.394179894179857</c:v>
                </c:pt>
                <c:pt idx="5">
                  <c:v>90.633156966490276</c:v>
                </c:pt>
                <c:pt idx="6">
                  <c:v>94.679012345679041</c:v>
                </c:pt>
                <c:pt idx="7">
                  <c:v>93.882716049382708</c:v>
                </c:pt>
                <c:pt idx="8">
                  <c:v>94.145502645502646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4-4ACE-8C66-47D53B02CC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30769920"/>
        <c:axId val="30771456"/>
        <c:axId val="0"/>
      </c:bar3DChart>
      <c:catAx>
        <c:axId val="30769920"/>
        <c:scaling>
          <c:orientation val="minMax"/>
        </c:scaling>
        <c:delete val="0"/>
        <c:axPos val="b"/>
        <c:majorTickMark val="none"/>
        <c:minorTickMark val="none"/>
        <c:tickLblPos val="nextTo"/>
        <c:crossAx val="30771456"/>
        <c:crosses val="autoZero"/>
        <c:auto val="1"/>
        <c:lblAlgn val="ctr"/>
        <c:lblOffset val="100"/>
        <c:noMultiLvlLbl val="0"/>
      </c:catAx>
      <c:valAx>
        <c:axId val="3077145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crossAx val="30769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0-4E0B-A362-F79572FDB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93024"/>
        <c:axId val="30867840"/>
      </c:radarChart>
      <c:catAx>
        <c:axId val="30993024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30867840"/>
        <c:crosses val="autoZero"/>
        <c:auto val="1"/>
        <c:lblAlgn val="ctr"/>
        <c:lblOffset val="100"/>
        <c:noMultiLvlLbl val="0"/>
      </c:catAx>
      <c:valAx>
        <c:axId val="30867840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30993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35651793525809"/>
          <c:y val="3.8341353164187811E-2"/>
          <c:w val="0.6212961504811898"/>
          <c:h val="0.85066345873432492"/>
        </c:manualLayout>
      </c:layout>
      <c:radarChart>
        <c:radarStyle val="marker"/>
        <c:varyColors val="0"/>
        <c:ser>
          <c:idx val="0"/>
          <c:order val="0"/>
          <c:marker>
            <c:symbol val="none"/>
          </c:marker>
          <c:val>
            <c:numRef>
              <c:f>УПпоИТ!$JK$3:$JK$11</c:f>
              <c:numCache>
                <c:formatCode>0.0</c:formatCode>
                <c:ptCount val="9"/>
                <c:pt idx="0">
                  <c:v>97.079124579124525</c:v>
                </c:pt>
                <c:pt idx="1">
                  <c:v>93.109066859066857</c:v>
                </c:pt>
                <c:pt idx="2">
                  <c:v>96.533189033189018</c:v>
                </c:pt>
                <c:pt idx="3">
                  <c:v>97.136243386243379</c:v>
                </c:pt>
                <c:pt idx="4">
                  <c:v>97.080928330928316</c:v>
                </c:pt>
                <c:pt idx="5">
                  <c:v>96.705747955747938</c:v>
                </c:pt>
                <c:pt idx="6">
                  <c:v>94.781144781144789</c:v>
                </c:pt>
                <c:pt idx="7">
                  <c:v>96.324555074555036</c:v>
                </c:pt>
                <c:pt idx="8">
                  <c:v>97.622655122655104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7-4CA5-A5BA-381D358D1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87296"/>
        <c:axId val="30897280"/>
      </c:radarChart>
      <c:catAx>
        <c:axId val="3088729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30897280"/>
        <c:crosses val="autoZero"/>
        <c:auto val="1"/>
        <c:lblAlgn val="ctr"/>
        <c:lblOffset val="100"/>
        <c:noMultiLvlLbl val="0"/>
      </c:catAx>
      <c:valAx>
        <c:axId val="30897280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30887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113517060367455E-2"/>
          <c:y val="7.4548702245552642E-2"/>
          <c:w val="0.87644203849518809"/>
          <c:h val="0.832619568387284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УПпоИТ!$IR$15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УПпоИТ!$JK$3:$JK$11</c:f>
              <c:numCache>
                <c:formatCode>0.0</c:formatCode>
                <c:ptCount val="9"/>
                <c:pt idx="0">
                  <c:v>97.079124579124525</c:v>
                </c:pt>
                <c:pt idx="1">
                  <c:v>93.109066859066857</c:v>
                </c:pt>
                <c:pt idx="2">
                  <c:v>96.533189033189018</c:v>
                </c:pt>
                <c:pt idx="3">
                  <c:v>97.136243386243379</c:v>
                </c:pt>
                <c:pt idx="4">
                  <c:v>97.080928330928316</c:v>
                </c:pt>
                <c:pt idx="5">
                  <c:v>96.705747955747938</c:v>
                </c:pt>
                <c:pt idx="6">
                  <c:v>94.781144781144789</c:v>
                </c:pt>
                <c:pt idx="7">
                  <c:v>96.324555074555036</c:v>
                </c:pt>
                <c:pt idx="8">
                  <c:v>97.622655122655104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A-491B-A045-A047DA474C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30942720"/>
        <c:axId val="30944256"/>
        <c:axId val="0"/>
      </c:bar3DChart>
      <c:catAx>
        <c:axId val="30942720"/>
        <c:scaling>
          <c:orientation val="minMax"/>
        </c:scaling>
        <c:delete val="0"/>
        <c:axPos val="b"/>
        <c:majorTickMark val="none"/>
        <c:minorTickMark val="none"/>
        <c:tickLblPos val="nextTo"/>
        <c:crossAx val="30944256"/>
        <c:crosses val="autoZero"/>
        <c:auto val="1"/>
        <c:lblAlgn val="ctr"/>
        <c:lblOffset val="100"/>
        <c:noMultiLvlLbl val="0"/>
      </c:catAx>
      <c:valAx>
        <c:axId val="3094425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crossAx val="309427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5-4F82-A78D-DCD926A67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82080"/>
        <c:axId val="77183616"/>
      </c:radarChart>
      <c:catAx>
        <c:axId val="77182080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77183616"/>
        <c:crosses val="autoZero"/>
        <c:auto val="1"/>
        <c:lblAlgn val="ctr"/>
        <c:lblOffset val="100"/>
        <c:noMultiLvlLbl val="0"/>
      </c:catAx>
      <c:valAx>
        <c:axId val="77183616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771820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8-49B7-A4DF-4CA3FC684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99232"/>
        <c:axId val="77200768"/>
      </c:radarChart>
      <c:catAx>
        <c:axId val="77199232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77200768"/>
        <c:crosses val="autoZero"/>
        <c:auto val="1"/>
        <c:lblAlgn val="ctr"/>
        <c:lblOffset val="100"/>
        <c:noMultiLvlLbl val="0"/>
      </c:catAx>
      <c:valAx>
        <c:axId val="77200768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771992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16</xdr:row>
      <xdr:rowOff>186018</xdr:rowOff>
    </xdr:from>
    <xdr:to>
      <xdr:col>48</xdr:col>
      <xdr:colOff>0</xdr:colOff>
      <xdr:row>31</xdr:row>
      <xdr:rowOff>4482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66</xdr:col>
      <xdr:colOff>0</xdr:colOff>
      <xdr:row>18</xdr:row>
      <xdr:rowOff>97970</xdr:rowOff>
    </xdr:from>
    <xdr:to>
      <xdr:col>73</xdr:col>
      <xdr:colOff>496661</xdr:colOff>
      <xdr:row>35</xdr:row>
      <xdr:rowOff>163285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95251</xdr:colOff>
      <xdr:row>16</xdr:row>
      <xdr:rowOff>0</xdr:rowOff>
    </xdr:from>
    <xdr:to>
      <xdr:col>61</xdr:col>
      <xdr:colOff>435430</xdr:colOff>
      <xdr:row>30</xdr:row>
      <xdr:rowOff>17689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16</xdr:row>
      <xdr:rowOff>186018</xdr:rowOff>
    </xdr:from>
    <xdr:to>
      <xdr:col>48</xdr:col>
      <xdr:colOff>0</xdr:colOff>
      <xdr:row>31</xdr:row>
      <xdr:rowOff>4482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200</xdr:col>
      <xdr:colOff>84044</xdr:colOff>
      <xdr:row>16</xdr:row>
      <xdr:rowOff>174812</xdr:rowOff>
    </xdr:from>
    <xdr:to>
      <xdr:col>209</xdr:col>
      <xdr:colOff>28015</xdr:colOff>
      <xdr:row>30</xdr:row>
      <xdr:rowOff>183776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185</xdr:col>
      <xdr:colOff>408214</xdr:colOff>
      <xdr:row>23</xdr:row>
      <xdr:rowOff>186417</xdr:rowOff>
    </xdr:from>
    <xdr:to>
      <xdr:col>196</xdr:col>
      <xdr:colOff>394607</xdr:colOff>
      <xdr:row>38</xdr:row>
      <xdr:rowOff>17689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16</xdr:row>
      <xdr:rowOff>186018</xdr:rowOff>
    </xdr:from>
    <xdr:to>
      <xdr:col>48</xdr:col>
      <xdr:colOff>0</xdr:colOff>
      <xdr:row>31</xdr:row>
      <xdr:rowOff>4482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164</xdr:col>
      <xdr:colOff>414617</xdr:colOff>
      <xdr:row>19</xdr:row>
      <xdr:rowOff>34738</xdr:rowOff>
    </xdr:from>
    <xdr:to>
      <xdr:col>173</xdr:col>
      <xdr:colOff>571500</xdr:colOff>
      <xdr:row>33</xdr:row>
      <xdr:rowOff>54908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157</xdr:col>
      <xdr:colOff>129268</xdr:colOff>
      <xdr:row>14</xdr:row>
      <xdr:rowOff>152400</xdr:rowOff>
    </xdr:from>
    <xdr:to>
      <xdr:col>167</xdr:col>
      <xdr:colOff>238125</xdr:colOff>
      <xdr:row>27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144</xdr:col>
      <xdr:colOff>68036</xdr:colOff>
      <xdr:row>14</xdr:row>
      <xdr:rowOff>131988</xdr:rowOff>
    </xdr:from>
    <xdr:to>
      <xdr:col>154</xdr:col>
      <xdr:colOff>299358</xdr:colOff>
      <xdr:row>27</xdr:row>
      <xdr:rowOff>17688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16</xdr:row>
      <xdr:rowOff>186018</xdr:rowOff>
    </xdr:from>
    <xdr:to>
      <xdr:col>48</xdr:col>
      <xdr:colOff>0</xdr:colOff>
      <xdr:row>31</xdr:row>
      <xdr:rowOff>4482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172</xdr:col>
      <xdr:colOff>74838</xdr:colOff>
      <xdr:row>15</xdr:row>
      <xdr:rowOff>152400</xdr:rowOff>
    </xdr:from>
    <xdr:to>
      <xdr:col>183</xdr:col>
      <xdr:colOff>455838</xdr:colOff>
      <xdr:row>29</xdr:row>
      <xdr:rowOff>160565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171</xdr:col>
      <xdr:colOff>190500</xdr:colOff>
      <xdr:row>6</xdr:row>
      <xdr:rowOff>186417</xdr:rowOff>
    </xdr:from>
    <xdr:to>
      <xdr:col>183</xdr:col>
      <xdr:colOff>190500</xdr:colOff>
      <xdr:row>9</xdr:row>
      <xdr:rowOff>643617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16</xdr:row>
      <xdr:rowOff>186018</xdr:rowOff>
    </xdr:from>
    <xdr:to>
      <xdr:col>48</xdr:col>
      <xdr:colOff>0</xdr:colOff>
      <xdr:row>31</xdr:row>
      <xdr:rowOff>4482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66</xdr:col>
      <xdr:colOff>0</xdr:colOff>
      <xdr:row>18</xdr:row>
      <xdr:rowOff>97970</xdr:rowOff>
    </xdr:from>
    <xdr:to>
      <xdr:col>73</xdr:col>
      <xdr:colOff>496661</xdr:colOff>
      <xdr:row>35</xdr:row>
      <xdr:rowOff>163285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56</xdr:col>
      <xdr:colOff>489858</xdr:colOff>
      <xdr:row>8</xdr:row>
      <xdr:rowOff>213631</xdr:rowOff>
    </xdr:from>
    <xdr:to>
      <xdr:col>67</xdr:col>
      <xdr:colOff>312965</xdr:colOff>
      <xdr:row>14</xdr:row>
      <xdr:rowOff>276224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16</xdr:row>
      <xdr:rowOff>186018</xdr:rowOff>
    </xdr:from>
    <xdr:to>
      <xdr:col>48</xdr:col>
      <xdr:colOff>0</xdr:colOff>
      <xdr:row>31</xdr:row>
      <xdr:rowOff>4482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181</xdr:col>
      <xdr:colOff>106455</xdr:colOff>
      <xdr:row>15</xdr:row>
      <xdr:rowOff>62753</xdr:rowOff>
    </xdr:from>
    <xdr:to>
      <xdr:col>189</xdr:col>
      <xdr:colOff>151279</xdr:colOff>
      <xdr:row>29</xdr:row>
      <xdr:rowOff>71717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195</xdr:col>
      <xdr:colOff>108857</xdr:colOff>
      <xdr:row>4</xdr:row>
      <xdr:rowOff>23131</xdr:rowOff>
    </xdr:from>
    <xdr:to>
      <xdr:col>207</xdr:col>
      <xdr:colOff>108857</xdr:colOff>
      <xdr:row>8</xdr:row>
      <xdr:rowOff>398688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16</xdr:row>
      <xdr:rowOff>186018</xdr:rowOff>
    </xdr:from>
    <xdr:to>
      <xdr:col>48</xdr:col>
      <xdr:colOff>0</xdr:colOff>
      <xdr:row>31</xdr:row>
      <xdr:rowOff>4482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179</xdr:col>
      <xdr:colOff>340178</xdr:colOff>
      <xdr:row>18</xdr:row>
      <xdr:rowOff>97970</xdr:rowOff>
    </xdr:from>
    <xdr:to>
      <xdr:col>189</xdr:col>
      <xdr:colOff>496661</xdr:colOff>
      <xdr:row>35</xdr:row>
      <xdr:rowOff>163285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167</xdr:col>
      <xdr:colOff>87178</xdr:colOff>
      <xdr:row>7</xdr:row>
      <xdr:rowOff>525327</xdr:rowOff>
    </xdr:from>
    <xdr:to>
      <xdr:col>175</xdr:col>
      <xdr:colOff>138839</xdr:colOff>
      <xdr:row>10</xdr:row>
      <xdr:rowOff>588612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16</xdr:row>
      <xdr:rowOff>186018</xdr:rowOff>
    </xdr:from>
    <xdr:to>
      <xdr:col>48</xdr:col>
      <xdr:colOff>0</xdr:colOff>
      <xdr:row>31</xdr:row>
      <xdr:rowOff>4482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110</xdr:col>
      <xdr:colOff>0</xdr:colOff>
      <xdr:row>16</xdr:row>
      <xdr:rowOff>174812</xdr:rowOff>
    </xdr:from>
    <xdr:to>
      <xdr:col>117</xdr:col>
      <xdr:colOff>28015</xdr:colOff>
      <xdr:row>30</xdr:row>
      <xdr:rowOff>183776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100</xdr:col>
      <xdr:colOff>449035</xdr:colOff>
      <xdr:row>6</xdr:row>
      <xdr:rowOff>186417</xdr:rowOff>
    </xdr:from>
    <xdr:to>
      <xdr:col>110</xdr:col>
      <xdr:colOff>231321</xdr:colOff>
      <xdr:row>9</xdr:row>
      <xdr:rowOff>643617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16</xdr:row>
      <xdr:rowOff>186018</xdr:rowOff>
    </xdr:from>
    <xdr:to>
      <xdr:col>48</xdr:col>
      <xdr:colOff>0</xdr:colOff>
      <xdr:row>31</xdr:row>
      <xdr:rowOff>4482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159</xdr:col>
      <xdr:colOff>163286</xdr:colOff>
      <xdr:row>14</xdr:row>
      <xdr:rowOff>261257</xdr:rowOff>
    </xdr:from>
    <xdr:to>
      <xdr:col>168</xdr:col>
      <xdr:colOff>81643</xdr:colOff>
      <xdr:row>30</xdr:row>
      <xdr:rowOff>54429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150</xdr:col>
      <xdr:colOff>136071</xdr:colOff>
      <xdr:row>6</xdr:row>
      <xdr:rowOff>186417</xdr:rowOff>
    </xdr:from>
    <xdr:to>
      <xdr:col>161</xdr:col>
      <xdr:colOff>285750</xdr:colOff>
      <xdr:row>9</xdr:row>
      <xdr:rowOff>643617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16</xdr:row>
      <xdr:rowOff>186018</xdr:rowOff>
    </xdr:from>
    <xdr:to>
      <xdr:col>48</xdr:col>
      <xdr:colOff>0</xdr:colOff>
      <xdr:row>31</xdr:row>
      <xdr:rowOff>4482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206</xdr:col>
      <xdr:colOff>374196</xdr:colOff>
      <xdr:row>15</xdr:row>
      <xdr:rowOff>138793</xdr:rowOff>
    </xdr:from>
    <xdr:to>
      <xdr:col>215</xdr:col>
      <xdr:colOff>265339</xdr:colOff>
      <xdr:row>29</xdr:row>
      <xdr:rowOff>146958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272143</xdr:colOff>
      <xdr:row>6</xdr:row>
      <xdr:rowOff>186417</xdr:rowOff>
    </xdr:from>
    <xdr:to>
      <xdr:col>20</xdr:col>
      <xdr:colOff>54429</xdr:colOff>
      <xdr:row>9</xdr:row>
      <xdr:rowOff>643617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16</xdr:row>
      <xdr:rowOff>186018</xdr:rowOff>
    </xdr:from>
    <xdr:to>
      <xdr:col>48</xdr:col>
      <xdr:colOff>0</xdr:colOff>
      <xdr:row>31</xdr:row>
      <xdr:rowOff>4482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264</xdr:col>
      <xdr:colOff>84044</xdr:colOff>
      <xdr:row>16</xdr:row>
      <xdr:rowOff>174812</xdr:rowOff>
    </xdr:from>
    <xdr:to>
      <xdr:col>273</xdr:col>
      <xdr:colOff>28015</xdr:colOff>
      <xdr:row>30</xdr:row>
      <xdr:rowOff>183776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250</xdr:col>
      <xdr:colOff>217713</xdr:colOff>
      <xdr:row>15</xdr:row>
      <xdr:rowOff>36738</xdr:rowOff>
    </xdr:from>
    <xdr:to>
      <xdr:col>261</xdr:col>
      <xdr:colOff>68035</xdr:colOff>
      <xdr:row>29</xdr:row>
      <xdr:rowOff>44903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16</xdr:row>
      <xdr:rowOff>186018</xdr:rowOff>
    </xdr:from>
    <xdr:to>
      <xdr:col>48</xdr:col>
      <xdr:colOff>0</xdr:colOff>
      <xdr:row>31</xdr:row>
      <xdr:rowOff>4482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164</xdr:col>
      <xdr:colOff>414617</xdr:colOff>
      <xdr:row>19</xdr:row>
      <xdr:rowOff>34738</xdr:rowOff>
    </xdr:from>
    <xdr:to>
      <xdr:col>173</xdr:col>
      <xdr:colOff>571500</xdr:colOff>
      <xdr:row>33</xdr:row>
      <xdr:rowOff>54908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2;&#1086;&#1080;%20&#1044;&#1086;&#1082;&#1091;&#1084;&#1077;&#1085;&#1090;&#1099;/&#1050;&#1072;&#1092;&#1077;&#1076;&#1088;&#1072;%20&#1055;&#1054;&#1057;&#1058;/&#1057;&#1080;&#1089;&#1090;&#1077;&#1084;&#1072;%20&#1084;&#1077;&#1085;&#1077;&#1076;&#1078;&#1084;&#1077;&#1085;&#1090;&#1072;%20&#1082;&#1072;&#1095;&#1077;&#1089;&#1090;&#1074;&#1072;/&#1044;&#1086;&#1082;&#1091;&#1084;&#1077;&#1085;&#1090;&#1072;&#1094;&#1080;&#1103;%20&#1087;&#1086;%20&#1057;&#1052;&#1050;%20&#1092;&#1082;%20&#1055;&#1054;&#1057;&#1058;/4%20&#1091;&#1088;&#1086;&#1074;&#1077;&#1085;&#1100;/&#1052;&#1054;&#1053;&#1048;&#1058;&#1054;&#1056;&#1048;&#1053;&#1043;/2014-2015/&#1084;&#1086;&#1085;&#1080;&#1090;&#1086;&#1088;&#1080;&#1085;&#1075;%20&#1087;&#1086;%20&#1076;&#1080;&#1089;&#1094;&#1080;&#1087;&#1083;&#1080;&#1085;&#1072;&#1084;%202%20&#1089;&#1077;&#1084;&#1077;&#1089;&#1090;&#1088;%202014_2015%20%20!!!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2;&#1086;&#1080;%20&#1044;&#1086;&#1082;&#1091;&#1084;&#1077;&#1085;&#1090;&#1099;/&#1050;&#1072;&#1092;&#1077;&#1076;&#1088;&#1072;%20&#1055;&#1054;&#1057;&#1058;/&#1057;&#1080;&#1089;&#1090;&#1077;&#1084;&#1072;%20&#1084;&#1077;&#1085;&#1077;&#1076;&#1078;&#1084;&#1077;&#1085;&#1090;&#1072;%20&#1082;&#1072;&#1095;&#1077;&#1089;&#1090;&#1074;&#1072;/&#1044;&#1086;&#1082;&#1091;&#1084;&#1077;&#1085;&#1090;&#1072;&#1094;&#1080;&#1103;%20&#1087;&#1086;%20&#1057;&#1052;&#1050;%20&#1092;&#1082;%20&#1055;&#1054;&#1057;&#1058;/4%20&#1091;&#1088;&#1086;&#1074;&#1077;&#1085;&#1100;/&#1052;&#1054;&#1053;&#1048;&#1058;&#1054;&#1056;&#1048;&#1053;&#1043;/2014-2015/&#1084;&#1086;&#1085;&#1080;&#1090;&#1086;&#1088;&#1080;&#1085;&#1075;%20&#1087;&#1086;%20&#1076;&#1080;&#1089;&#1094;&#1080;&#1087;&#1083;&#1080;&#1085;&#1072;&#1084;%201%20&#1089;&#1077;&#1084;&#1077;&#1089;&#1090;&#1088;%202014_2015%20+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особы пр"/>
      <sheetName val="ОА и П"/>
      <sheetName val="ОКМЭЦ"/>
      <sheetName val="ИСБД"/>
      <sheetName val="ПОСС и ЯМ"/>
      <sheetName val="СД к Т и КС"/>
      <sheetName val="Программирование"/>
      <sheetName val="Системное ПО"/>
      <sheetName val="Лист1"/>
      <sheetName val="Лист2"/>
    </sheetNames>
    <sheetDataSet>
      <sheetData sheetId="0">
        <row r="3">
          <cell r="FG3">
            <v>9</v>
          </cell>
        </row>
        <row r="4">
          <cell r="FG4">
            <v>8</v>
          </cell>
        </row>
        <row r="5">
          <cell r="FG5">
            <v>10</v>
          </cell>
        </row>
        <row r="6">
          <cell r="FG6">
            <v>8</v>
          </cell>
        </row>
        <row r="7">
          <cell r="FG7">
            <v>8</v>
          </cell>
        </row>
        <row r="8">
          <cell r="FG8">
            <v>10</v>
          </cell>
        </row>
        <row r="9">
          <cell r="FG9">
            <v>9</v>
          </cell>
        </row>
        <row r="10">
          <cell r="FG10">
            <v>10</v>
          </cell>
        </row>
        <row r="11">
          <cell r="FG11">
            <v>10</v>
          </cell>
        </row>
        <row r="12">
          <cell r="FG12" t="e">
            <v>#DIV/0!</v>
          </cell>
        </row>
        <row r="13">
          <cell r="FG13" t="e">
            <v>#DIV/0!</v>
          </cell>
        </row>
        <row r="14">
          <cell r="FG14" t="e">
            <v>#DIV/0!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ЦиМУ"/>
      <sheetName val="ООП"/>
      <sheetName val="ИГ"/>
      <sheetName val="ИСБД"/>
      <sheetName val="ПрМС"/>
      <sheetName val="СП"/>
      <sheetName val="Программирование"/>
      <sheetName val="ИТ"/>
      <sheetName val="ЭТ"/>
      <sheetName val="Лист1"/>
      <sheetName val="Лист2"/>
    </sheetNames>
    <sheetDataSet>
      <sheetData sheetId="0">
        <row r="3">
          <cell r="FG3">
            <v>9</v>
          </cell>
        </row>
        <row r="4">
          <cell r="FG4">
            <v>8</v>
          </cell>
        </row>
        <row r="5">
          <cell r="FG5">
            <v>10</v>
          </cell>
        </row>
        <row r="6">
          <cell r="FG6">
            <v>8</v>
          </cell>
        </row>
        <row r="7">
          <cell r="FG7">
            <v>8</v>
          </cell>
        </row>
        <row r="8">
          <cell r="FG8">
            <v>10</v>
          </cell>
        </row>
        <row r="9">
          <cell r="FG9">
            <v>9</v>
          </cell>
        </row>
        <row r="10">
          <cell r="FG10">
            <v>10</v>
          </cell>
        </row>
        <row r="11">
          <cell r="FG11">
            <v>10</v>
          </cell>
        </row>
        <row r="12">
          <cell r="FG12" t="e">
            <v>#DIV/0!</v>
          </cell>
        </row>
        <row r="13">
          <cell r="FG13" t="e">
            <v>#DIV/0!</v>
          </cell>
        </row>
        <row r="14">
          <cell r="FG14" t="e">
            <v>#DIV/0!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V874"/>
  <sheetViews>
    <sheetView tabSelected="1" zoomScale="70" zoomScaleNormal="70" workbookViewId="0">
      <selection activeCell="E3" sqref="E3"/>
    </sheetView>
  </sheetViews>
  <sheetFormatPr defaultRowHeight="15" x14ac:dyDescent="0.25"/>
  <cols>
    <col min="1" max="1" width="6.5703125" customWidth="1"/>
    <col min="2" max="2" width="39.28515625" customWidth="1"/>
    <col min="3" max="3" width="4" style="1" customWidth="1"/>
    <col min="4" max="4" width="5.28515625" style="6" customWidth="1"/>
    <col min="5" max="5" width="7.28515625" customWidth="1"/>
    <col min="6" max="6" width="8.140625" customWidth="1"/>
    <col min="7" max="7" width="4" style="1" customWidth="1"/>
    <col min="8" max="8" width="5.28515625" style="6" customWidth="1"/>
    <col min="9" max="9" width="7.28515625" style="2" customWidth="1"/>
    <col min="10" max="10" width="8.42578125" style="2" customWidth="1"/>
    <col min="11" max="11" width="4" style="1" customWidth="1"/>
    <col min="12" max="12" width="5.28515625" style="6" customWidth="1"/>
    <col min="13" max="13" width="7.85546875" style="2" customWidth="1"/>
    <col min="14" max="14" width="9" style="2" customWidth="1"/>
    <col min="15" max="15" width="4.28515625" style="2" customWidth="1"/>
    <col min="16" max="16" width="4.5703125" style="2" customWidth="1"/>
    <col min="17" max="17" width="7.7109375" style="2" customWidth="1"/>
    <col min="18" max="18" width="8.28515625" style="2" customWidth="1"/>
    <col min="19" max="19" width="4" style="1" customWidth="1"/>
    <col min="20" max="20" width="5.28515625" style="6" customWidth="1"/>
    <col min="21" max="21" width="8" style="2" customWidth="1"/>
    <col min="22" max="22" width="8.140625" style="2" customWidth="1"/>
    <col min="23" max="23" width="3.85546875" customWidth="1"/>
    <col min="24" max="24" width="4.28515625" style="11" customWidth="1"/>
    <col min="25" max="25" width="8" style="11" customWidth="1"/>
    <col min="26" max="26" width="8.28515625" customWidth="1"/>
    <col min="27" max="27" width="4.28515625" style="2" customWidth="1"/>
    <col min="28" max="28" width="5" style="2" customWidth="1"/>
    <col min="29" max="30" width="8.42578125" style="2" customWidth="1"/>
    <col min="31" max="31" width="4" customWidth="1"/>
    <col min="32" max="32" width="5.42578125" customWidth="1"/>
    <col min="33" max="33" width="8" customWidth="1"/>
    <col min="34" max="34" width="7.140625" customWidth="1"/>
    <col min="35" max="35" width="5" customWidth="1"/>
    <col min="36" max="36" width="4.42578125" customWidth="1"/>
    <col min="37" max="37" width="10.85546875" customWidth="1"/>
    <col min="38" max="38" width="10.42578125" customWidth="1"/>
    <col min="39" max="40" width="4.7109375" customWidth="1"/>
    <col min="41" max="41" width="7.85546875" customWidth="1"/>
    <col min="42" max="42" width="7.5703125" customWidth="1"/>
    <col min="43" max="43" width="4" customWidth="1"/>
    <col min="44" max="44" width="5.5703125" customWidth="1"/>
    <col min="45" max="45" width="8.42578125" customWidth="1"/>
    <col min="46" max="46" width="8.5703125" customWidth="1"/>
    <col min="47" max="47" width="4.140625" customWidth="1"/>
    <col min="48" max="48" width="4.7109375" customWidth="1"/>
    <col min="49" max="49" width="7.5703125" customWidth="1"/>
    <col min="50" max="50" width="8.42578125" customWidth="1"/>
    <col min="51" max="51" width="4.7109375" customWidth="1"/>
    <col min="52" max="52" width="4.85546875" customWidth="1"/>
    <col min="53" max="53" width="7.28515625" customWidth="1"/>
    <col min="54" max="54" width="9.42578125" customWidth="1"/>
    <col min="55" max="55" width="4.42578125" customWidth="1"/>
    <col min="56" max="56" width="4.85546875" customWidth="1"/>
    <col min="57" max="57" width="7.5703125" customWidth="1"/>
    <col min="58" max="58" width="8" customWidth="1"/>
    <col min="59" max="59" width="4.5703125" customWidth="1"/>
    <col min="60" max="60" width="4.85546875" customWidth="1"/>
    <col min="61" max="61" width="7.5703125" customWidth="1"/>
    <col min="62" max="62" width="8.140625" customWidth="1"/>
    <col min="63" max="63" width="4.7109375" customWidth="1"/>
    <col min="64" max="64" width="4.85546875" customWidth="1"/>
    <col min="65" max="65" width="7.7109375" customWidth="1"/>
    <col min="66" max="66" width="8.28515625" customWidth="1"/>
    <col min="67" max="67" width="4.85546875" customWidth="1"/>
    <col min="68" max="68" width="15.140625" customWidth="1"/>
    <col min="69" max="70" width="7.140625" customWidth="1"/>
    <col min="71" max="71" width="14.140625" customWidth="1"/>
    <col min="72" max="72" width="8.140625" customWidth="1"/>
    <col min="73" max="73" width="11" customWidth="1"/>
  </cols>
  <sheetData>
    <row r="1" spans="1:74" ht="33.75" customHeight="1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spans="1:74" ht="70.5" customHeight="1" thickBot="1" x14ac:dyDescent="0.3">
      <c r="A2" s="23" t="s">
        <v>4</v>
      </c>
      <c r="B2" s="77" t="s">
        <v>5</v>
      </c>
      <c r="C2" s="3" t="s">
        <v>0</v>
      </c>
      <c r="D2" s="9" t="s">
        <v>2</v>
      </c>
      <c r="E2" s="7" t="s">
        <v>1</v>
      </c>
      <c r="F2" s="7" t="s">
        <v>6</v>
      </c>
      <c r="G2" s="3" t="s">
        <v>0</v>
      </c>
      <c r="H2" s="9" t="s">
        <v>2</v>
      </c>
      <c r="I2" s="7" t="s">
        <v>1</v>
      </c>
      <c r="J2" s="7" t="s">
        <v>6</v>
      </c>
      <c r="K2" s="3" t="s">
        <v>0</v>
      </c>
      <c r="L2" s="9" t="s">
        <v>2</v>
      </c>
      <c r="M2" s="7" t="s">
        <v>1</v>
      </c>
      <c r="N2" s="7" t="s">
        <v>6</v>
      </c>
      <c r="O2" s="3" t="s">
        <v>0</v>
      </c>
      <c r="P2" s="9" t="s">
        <v>2</v>
      </c>
      <c r="Q2" s="7" t="s">
        <v>1</v>
      </c>
      <c r="R2" s="7" t="s">
        <v>6</v>
      </c>
      <c r="S2" s="3" t="s">
        <v>0</v>
      </c>
      <c r="T2" s="9" t="s">
        <v>2</v>
      </c>
      <c r="U2" s="7" t="s">
        <v>1</v>
      </c>
      <c r="V2" s="7" t="s">
        <v>6</v>
      </c>
      <c r="W2" s="3" t="s">
        <v>0</v>
      </c>
      <c r="X2" s="9" t="s">
        <v>2</v>
      </c>
      <c r="Y2" s="7" t="s">
        <v>1</v>
      </c>
      <c r="Z2" s="7" t="s">
        <v>6</v>
      </c>
      <c r="AA2" s="3" t="s">
        <v>0</v>
      </c>
      <c r="AB2" s="9" t="s">
        <v>2</v>
      </c>
      <c r="AC2" s="7" t="s">
        <v>1</v>
      </c>
      <c r="AD2" s="7" t="s">
        <v>6</v>
      </c>
      <c r="AE2" s="3" t="s">
        <v>0</v>
      </c>
      <c r="AF2" s="9" t="s">
        <v>2</v>
      </c>
      <c r="AG2" s="7" t="s">
        <v>1</v>
      </c>
      <c r="AH2" s="7" t="s">
        <v>6</v>
      </c>
      <c r="AI2" s="3" t="s">
        <v>0</v>
      </c>
      <c r="AJ2" s="9" t="s">
        <v>2</v>
      </c>
      <c r="AK2" s="7" t="s">
        <v>1</v>
      </c>
      <c r="AL2" s="7" t="s">
        <v>6</v>
      </c>
      <c r="AM2" s="3" t="s">
        <v>0</v>
      </c>
      <c r="AN2" s="9" t="s">
        <v>2</v>
      </c>
      <c r="AO2" s="7" t="s">
        <v>1</v>
      </c>
      <c r="AP2" s="7" t="s">
        <v>6</v>
      </c>
      <c r="AQ2" s="3" t="s">
        <v>0</v>
      </c>
      <c r="AR2" s="9" t="s">
        <v>2</v>
      </c>
      <c r="AS2" s="7" t="s">
        <v>1</v>
      </c>
      <c r="AT2" s="7" t="s">
        <v>6</v>
      </c>
      <c r="AU2" s="3" t="s">
        <v>0</v>
      </c>
      <c r="AV2" s="9" t="s">
        <v>2</v>
      </c>
      <c r="AW2" s="7" t="s">
        <v>1</v>
      </c>
      <c r="AX2" s="7" t="s">
        <v>6</v>
      </c>
      <c r="AY2" s="3" t="s">
        <v>0</v>
      </c>
      <c r="AZ2" s="9" t="s">
        <v>2</v>
      </c>
      <c r="BA2" s="7" t="s">
        <v>1</v>
      </c>
      <c r="BB2" s="7" t="s">
        <v>6</v>
      </c>
      <c r="BC2" s="3" t="s">
        <v>0</v>
      </c>
      <c r="BD2" s="9" t="s">
        <v>2</v>
      </c>
      <c r="BE2" s="7" t="s">
        <v>1</v>
      </c>
      <c r="BF2" s="7" t="s">
        <v>6</v>
      </c>
      <c r="BG2" s="3" t="s">
        <v>0</v>
      </c>
      <c r="BH2" s="9" t="s">
        <v>2</v>
      </c>
      <c r="BI2" s="7" t="s">
        <v>1</v>
      </c>
      <c r="BJ2" s="7" t="s">
        <v>6</v>
      </c>
      <c r="BK2" s="3" t="s">
        <v>0</v>
      </c>
      <c r="BL2" s="9" t="s">
        <v>2</v>
      </c>
      <c r="BM2" s="7" t="s">
        <v>1</v>
      </c>
      <c r="BN2" s="7" t="s">
        <v>6</v>
      </c>
      <c r="BO2" s="49" t="s">
        <v>19</v>
      </c>
      <c r="BP2" s="10" t="s">
        <v>20</v>
      </c>
      <c r="BQ2" s="10" t="s">
        <v>21</v>
      </c>
      <c r="BR2" s="10" t="s">
        <v>22</v>
      </c>
      <c r="BS2" s="81" t="s">
        <v>23</v>
      </c>
      <c r="BT2" s="81"/>
      <c r="BU2" s="81"/>
      <c r="BV2" s="22" t="s">
        <v>24</v>
      </c>
    </row>
    <row r="3" spans="1:74" ht="72" customHeight="1" thickBot="1" x14ac:dyDescent="0.3">
      <c r="A3" s="21">
        <v>1</v>
      </c>
      <c r="B3" s="30" t="s">
        <v>13</v>
      </c>
      <c r="C3" s="3">
        <v>10</v>
      </c>
      <c r="D3" s="3">
        <v>10</v>
      </c>
      <c r="E3" s="12">
        <f>D3/C3</f>
        <v>1</v>
      </c>
      <c r="F3" s="12">
        <f t="shared" ref="F3:F11" si="0">POWER(D3-$BQ3,2)</f>
        <v>6.6989619377162617</v>
      </c>
      <c r="G3" s="3">
        <v>9</v>
      </c>
      <c r="H3" s="5">
        <v>9</v>
      </c>
      <c r="I3" s="12">
        <f>H3/G3</f>
        <v>1</v>
      </c>
      <c r="J3" s="12">
        <f t="shared" ref="J3:J11" si="1">POWER(H3-$BQ3,2)</f>
        <v>2.5224913494809678</v>
      </c>
      <c r="K3" s="3">
        <v>8</v>
      </c>
      <c r="L3" s="5">
        <v>8</v>
      </c>
      <c r="M3" s="12">
        <f>L3/K3</f>
        <v>1</v>
      </c>
      <c r="N3" s="12">
        <f t="shared" ref="N3:N11" si="2">POWER(L3-$BQ3,2)</f>
        <v>0.34602076124567438</v>
      </c>
      <c r="O3" s="3">
        <v>10</v>
      </c>
      <c r="P3" s="5">
        <v>10</v>
      </c>
      <c r="Q3" s="12">
        <f>P3/O3</f>
        <v>1</v>
      </c>
      <c r="R3" s="12">
        <f t="shared" ref="R3:R11" si="3">POWER(P3-$BQ3,2)</f>
        <v>6.6989619377162617</v>
      </c>
      <c r="S3" s="3">
        <v>9</v>
      </c>
      <c r="T3" s="3">
        <v>9</v>
      </c>
      <c r="U3" s="12">
        <f>T3/S3</f>
        <v>1</v>
      </c>
      <c r="V3" s="12">
        <f t="shared" ref="V3:V11" si="4">POWER(T3-$BQ3,2)</f>
        <v>2.5224913494809678</v>
      </c>
      <c r="W3" s="3">
        <v>8</v>
      </c>
      <c r="X3" s="5">
        <v>8</v>
      </c>
      <c r="Y3" s="12">
        <f>X3/W3</f>
        <v>1</v>
      </c>
      <c r="Z3" s="12">
        <f t="shared" ref="Z3:Z11" si="5">POWER(X3-$BQ3,2)</f>
        <v>0.34602076124567438</v>
      </c>
      <c r="AA3" s="3">
        <v>9</v>
      </c>
      <c r="AB3" s="3">
        <v>9</v>
      </c>
      <c r="AC3" s="12">
        <f>AB3/AA3</f>
        <v>1</v>
      </c>
      <c r="AD3" s="12">
        <f t="shared" ref="AD3:AD11" si="6">POWER(AB3-$BQ3,2)</f>
        <v>2.5224913494809678</v>
      </c>
      <c r="AE3" s="3">
        <v>9</v>
      </c>
      <c r="AF3" s="5">
        <v>9</v>
      </c>
      <c r="AG3" s="12">
        <f>AF3/AE3</f>
        <v>1</v>
      </c>
      <c r="AH3" s="12">
        <f t="shared" ref="AH3:AH11" si="7">POWER(AF3-$BQ3,2)</f>
        <v>2.5224913494809678</v>
      </c>
      <c r="AI3" s="3">
        <v>10</v>
      </c>
      <c r="AJ3" s="3">
        <v>10</v>
      </c>
      <c r="AK3" s="12">
        <f>AJ3/AI3</f>
        <v>1</v>
      </c>
      <c r="AL3" s="12">
        <f t="shared" ref="AL3:AL11" si="8">POWER(AJ3-$BQ3,2)</f>
        <v>6.6989619377162617</v>
      </c>
      <c r="AM3" s="3">
        <v>8</v>
      </c>
      <c r="AN3" s="3">
        <v>7</v>
      </c>
      <c r="AO3" s="12">
        <f>AN3/AM3</f>
        <v>0.875</v>
      </c>
      <c r="AP3" s="12">
        <f t="shared" ref="AP3:AP11" si="9">POWER(AN3-$BQ3,2)</f>
        <v>0.16955017301038089</v>
      </c>
      <c r="AQ3" s="3">
        <v>8</v>
      </c>
      <c r="AR3" s="5">
        <v>7</v>
      </c>
      <c r="AS3" s="12">
        <f>AR3/AQ3</f>
        <v>0.875</v>
      </c>
      <c r="AT3" s="12">
        <f t="shared" ref="AT3:AT11" si="10">POWER(AR3-$BQ3,2)</f>
        <v>0.16955017301038089</v>
      </c>
      <c r="AU3" s="3">
        <v>3</v>
      </c>
      <c r="AV3" s="3">
        <v>3</v>
      </c>
      <c r="AW3" s="12">
        <f>AV3/AU3</f>
        <v>1</v>
      </c>
      <c r="AX3" s="12">
        <f t="shared" ref="AX3:AX11" si="11">POWER(AV3-$BQ3,2)</f>
        <v>19.463667820069208</v>
      </c>
      <c r="AY3" s="3">
        <v>8</v>
      </c>
      <c r="AZ3" s="3">
        <v>8</v>
      </c>
      <c r="BA3" s="12">
        <f>AZ3/AY3</f>
        <v>1</v>
      </c>
      <c r="BB3" s="12">
        <f t="shared" ref="BB3:BB11" si="12">POWER(AZ3-$BQ3,2)</f>
        <v>0.34602076124567438</v>
      </c>
      <c r="BC3" s="3">
        <v>3</v>
      </c>
      <c r="BD3" s="3">
        <v>3</v>
      </c>
      <c r="BE3" s="12">
        <f>BD3/BC3</f>
        <v>1</v>
      </c>
      <c r="BF3" s="12">
        <f t="shared" ref="BF3:BF11" si="13">POWER(BD3-$BQ3,2)</f>
        <v>19.463667820069208</v>
      </c>
      <c r="BG3" s="3">
        <v>10</v>
      </c>
      <c r="BH3" s="3">
        <v>10</v>
      </c>
      <c r="BI3" s="12">
        <f>BH3/BG3</f>
        <v>1</v>
      </c>
      <c r="BJ3" s="12">
        <f t="shared" ref="BJ3:BJ14" si="14">POWER(BH3-$BQ3,2)</f>
        <v>6.6989619377162617</v>
      </c>
      <c r="BK3" s="3">
        <v>6</v>
      </c>
      <c r="BL3" s="3">
        <v>6</v>
      </c>
      <c r="BM3" s="12">
        <f>BL3/BK3</f>
        <v>1</v>
      </c>
      <c r="BN3" s="12">
        <f t="shared" ref="BN3:BN11" si="15">POWER(BL3-$BQ3,2)</f>
        <v>1.9930795847750873</v>
      </c>
      <c r="BO3" s="4">
        <f>COUNT(C3,G3,K3,O3,S3,W3,AA3,AE3,AI3,AM3,AQ3,AU3,AY3,BC3,BG3,BK3,#REF!,#REF!,#REF!,#REF!,#REF!,#REF!,#REF!,#REF!,#REF!,#REF!,#REF!,#REF!,#REF!,#REF!,#REF!,#REF!,#REF!,#REF!,#REF!,#REF!,#REF!,#REF!,#REF!,#REF!,#REF!,#REF!,#REF!,#REF!,#REF!)</f>
        <v>16</v>
      </c>
      <c r="BP3" s="15">
        <f>(E3+I3+M3+Q3+U3+Y3+AC3+AG3+AK3+AO3+AS3+AW3+BA3+BE3+BI3+BM3)*100/BO3</f>
        <v>98.4375</v>
      </c>
      <c r="BQ3" s="15">
        <f>AVERAGE(D3,H3,L3,P3,T3,X3,AB3,AF3,AJ3,AN3,AR3,AV3,AZ3,BD3,BH3,BL3,)</f>
        <v>7.4117647058823533</v>
      </c>
      <c r="BR3" s="15">
        <f>SQRT((F3+J3+N3+R3+V3+Z3+AD3+AH3+AL3+AP3+AT3+AX3+BB3+BF3+BJ3+BN3)/BO3)</f>
        <v>2.2246262467471394</v>
      </c>
      <c r="BS3" s="16">
        <f>BP3</f>
        <v>98.4375</v>
      </c>
      <c r="BT3" s="17" t="s">
        <v>3</v>
      </c>
      <c r="BU3" s="24">
        <f>BR3</f>
        <v>2.2246262467471394</v>
      </c>
      <c r="BV3" s="4" t="str">
        <f>IF(BP3&lt;40,"неудовлетворительно",IF((BP3&gt;=40)*AND(BP3&lt;60),"удовлетворительно",IF((BP3&gt;=60)*AND(BP3&lt;80),"хорошо","отлично")))</f>
        <v>отлично</v>
      </c>
    </row>
    <row r="4" spans="1:74" ht="39.75" customHeight="1" thickBot="1" x14ac:dyDescent="0.3">
      <c r="A4" s="21">
        <v>2</v>
      </c>
      <c r="B4" s="31" t="s">
        <v>14</v>
      </c>
      <c r="C4" s="3">
        <v>10</v>
      </c>
      <c r="D4" s="3">
        <v>10</v>
      </c>
      <c r="E4" s="12">
        <f t="shared" ref="E4:E14" si="16">D4/C4</f>
        <v>1</v>
      </c>
      <c r="F4" s="12">
        <f t="shared" si="0"/>
        <v>5.5363321799307945</v>
      </c>
      <c r="G4" s="3">
        <v>9</v>
      </c>
      <c r="H4" s="5">
        <v>9</v>
      </c>
      <c r="I4" s="12">
        <f t="shared" ref="I4:I14" si="17">H4/G4</f>
        <v>1</v>
      </c>
      <c r="J4" s="12">
        <f t="shared" si="1"/>
        <v>1.8304498269896183</v>
      </c>
      <c r="K4" s="3">
        <v>8</v>
      </c>
      <c r="L4" s="5">
        <v>8</v>
      </c>
      <c r="M4" s="12">
        <f t="shared" ref="M4:M14" si="18">L4/K4</f>
        <v>1</v>
      </c>
      <c r="N4" s="12">
        <f t="shared" si="2"/>
        <v>0.12456747404844265</v>
      </c>
      <c r="O4" s="3">
        <v>10</v>
      </c>
      <c r="P4" s="5">
        <v>10</v>
      </c>
      <c r="Q4" s="12">
        <f t="shared" ref="Q4:Q14" si="19">P4/O4</f>
        <v>1</v>
      </c>
      <c r="R4" s="12">
        <f t="shared" si="3"/>
        <v>5.5363321799307945</v>
      </c>
      <c r="S4" s="3">
        <v>9</v>
      </c>
      <c r="T4" s="3">
        <v>9</v>
      </c>
      <c r="U4" s="12">
        <f t="shared" ref="U4:U14" si="20">T4/S4</f>
        <v>1</v>
      </c>
      <c r="V4" s="12">
        <f t="shared" si="4"/>
        <v>1.8304498269896183</v>
      </c>
      <c r="W4" s="3">
        <v>8</v>
      </c>
      <c r="X4" s="5">
        <v>8</v>
      </c>
      <c r="Y4" s="12">
        <f t="shared" ref="Y4:Y14" si="21">X4/W4</f>
        <v>1</v>
      </c>
      <c r="Z4" s="12">
        <f t="shared" si="5"/>
        <v>0.12456747404844265</v>
      </c>
      <c r="AA4" s="3">
        <v>9</v>
      </c>
      <c r="AB4" s="3">
        <v>9</v>
      </c>
      <c r="AC4" s="12">
        <f t="shared" ref="AC4:AC14" si="22">AB4/AA4</f>
        <v>1</v>
      </c>
      <c r="AD4" s="12">
        <f t="shared" si="6"/>
        <v>1.8304498269896183</v>
      </c>
      <c r="AE4" s="3">
        <v>9</v>
      </c>
      <c r="AF4" s="5">
        <v>9</v>
      </c>
      <c r="AG4" s="12">
        <f t="shared" ref="AG4:AG14" si="23">AF4/AE4</f>
        <v>1</v>
      </c>
      <c r="AH4" s="12">
        <f t="shared" si="7"/>
        <v>1.8304498269896183</v>
      </c>
      <c r="AI4" s="3">
        <v>10</v>
      </c>
      <c r="AJ4" s="3">
        <v>10</v>
      </c>
      <c r="AK4" s="12">
        <f t="shared" ref="AK4:AK14" si="24">AJ4/AI4</f>
        <v>1</v>
      </c>
      <c r="AL4" s="12">
        <f t="shared" si="8"/>
        <v>5.5363321799307945</v>
      </c>
      <c r="AM4" s="3">
        <v>10</v>
      </c>
      <c r="AN4" s="3">
        <v>10</v>
      </c>
      <c r="AO4" s="12">
        <f t="shared" ref="AO4:AO14" si="25">AN4/AM4</f>
        <v>1</v>
      </c>
      <c r="AP4" s="12">
        <f t="shared" si="9"/>
        <v>5.5363321799307945</v>
      </c>
      <c r="AQ4" s="3">
        <v>9</v>
      </c>
      <c r="AR4" s="5">
        <v>8</v>
      </c>
      <c r="AS4" s="12">
        <f t="shared" ref="AS4:AS14" si="26">AR4/AQ4</f>
        <v>0.88888888888888884</v>
      </c>
      <c r="AT4" s="12">
        <f t="shared" si="10"/>
        <v>0.12456747404844265</v>
      </c>
      <c r="AU4" s="3">
        <v>3</v>
      </c>
      <c r="AV4" s="3">
        <v>3</v>
      </c>
      <c r="AW4" s="12">
        <f t="shared" ref="AW4:AW11" si="27">AV4/AU4</f>
        <v>1</v>
      </c>
      <c r="AX4" s="12">
        <f t="shared" si="11"/>
        <v>21.595155709342563</v>
      </c>
      <c r="AY4" s="3">
        <v>8</v>
      </c>
      <c r="AZ4" s="3">
        <v>8</v>
      </c>
      <c r="BA4" s="12">
        <f t="shared" ref="BA4:BA11" si="28">AZ4/AY4</f>
        <v>1</v>
      </c>
      <c r="BB4" s="12">
        <f t="shared" si="12"/>
        <v>0.12456747404844265</v>
      </c>
      <c r="BC4" s="3">
        <v>3</v>
      </c>
      <c r="BD4" s="3">
        <v>3</v>
      </c>
      <c r="BE4" s="12">
        <f t="shared" ref="BE4:BE11" si="29">BD4/BC4</f>
        <v>1</v>
      </c>
      <c r="BF4" s="12">
        <f t="shared" si="13"/>
        <v>21.595155709342563</v>
      </c>
      <c r="BG4" s="3">
        <v>10</v>
      </c>
      <c r="BH4" s="3">
        <v>10</v>
      </c>
      <c r="BI4" s="12">
        <f t="shared" ref="BI4:BI11" si="30">BH4/BG4</f>
        <v>1</v>
      </c>
      <c r="BJ4" s="12">
        <f t="shared" si="14"/>
        <v>5.5363321799307945</v>
      </c>
      <c r="BK4" s="3">
        <v>6</v>
      </c>
      <c r="BL4" s="3">
        <v>6</v>
      </c>
      <c r="BM4" s="12">
        <f t="shared" ref="BM4:BM11" si="31">BL4/BK4</f>
        <v>1</v>
      </c>
      <c r="BN4" s="12">
        <f t="shared" si="15"/>
        <v>2.7128027681660911</v>
      </c>
      <c r="BO4" s="4">
        <f>COUNT(C4,G4,K4,O4,S4,W4,AA4,AE4,AI4,AM4,AQ4,AU4,AY4,BC4,BG4,BK4,#REF!,#REF!,#REF!,#REF!,#REF!,#REF!,#REF!,#REF!,#REF!,#REF!,#REF!,#REF!,#REF!,#REF!,#REF!,#REF!,#REF!,#REF!,#REF!,#REF!,#REF!,#REF!,#REF!,#REF!,#REF!,#REF!,#REF!,#REF!,#REF!)</f>
        <v>16</v>
      </c>
      <c r="BP4" s="15">
        <f t="shared" ref="BP4:BP11" si="32">(E4+I4+M4+Q4+U4+Y4+AC4+AG4+AK4+AO4+AS4+AW4+BA4+BE4+BI4+BM4)*100/BO4</f>
        <v>99.305555555555557</v>
      </c>
      <c r="BQ4" s="15">
        <f t="shared" ref="BQ4:BQ11" si="33">AVERAGE(D4,H4,L4,P4,T4,X4,AB4,AF4,AJ4,AN4,AR4,AV4,AZ4,BD4,BH4,BL4,)</f>
        <v>7.6470588235294121</v>
      </c>
      <c r="BR4" s="15">
        <f t="shared" ref="BR4:BR11" si="34">SQRT((F4+J4+N4+R4+V4+Z4+AD4+AH4+AL4+AP4+AT4+AX4+BB4+BF4+BJ4+BN4)/BO4)</f>
        <v>2.2556158290289794</v>
      </c>
      <c r="BS4" s="16">
        <f t="shared" ref="BS4:BS11" si="35">BP4</f>
        <v>99.305555555555557</v>
      </c>
      <c r="BT4" s="17" t="s">
        <v>3</v>
      </c>
      <c r="BU4" s="24">
        <f t="shared" ref="BU4:BU11" si="36">BR4</f>
        <v>2.2556158290289794</v>
      </c>
      <c r="BV4" s="4" t="str">
        <f t="shared" ref="BV4:BV11" si="37">IF(BP4&lt;40,"неудовлетворительно",IF((BP4&gt;=40)*AND(BP4&lt;60),"удовлетворительно",IF((BP4&gt;=60)*AND(BP4&lt;80),"хорошо","отлично")))</f>
        <v>отлично</v>
      </c>
    </row>
    <row r="5" spans="1:74" ht="52.5" customHeight="1" thickBot="1" x14ac:dyDescent="0.3">
      <c r="A5" s="21">
        <v>3</v>
      </c>
      <c r="B5" s="31" t="s">
        <v>15</v>
      </c>
      <c r="C5" s="3">
        <v>10</v>
      </c>
      <c r="D5" s="3">
        <v>10</v>
      </c>
      <c r="E5" s="12">
        <f t="shared" si="16"/>
        <v>1</v>
      </c>
      <c r="F5" s="12">
        <f t="shared" si="0"/>
        <v>5.5363321799307945</v>
      </c>
      <c r="G5" s="3">
        <v>9</v>
      </c>
      <c r="H5" s="5">
        <v>9</v>
      </c>
      <c r="I5" s="12">
        <f t="shared" si="17"/>
        <v>1</v>
      </c>
      <c r="J5" s="12">
        <f t="shared" si="1"/>
        <v>1.8304498269896183</v>
      </c>
      <c r="K5" s="3">
        <v>8</v>
      </c>
      <c r="L5" s="5">
        <v>8</v>
      </c>
      <c r="M5" s="12">
        <f t="shared" si="18"/>
        <v>1</v>
      </c>
      <c r="N5" s="12">
        <f t="shared" si="2"/>
        <v>0.12456747404844265</v>
      </c>
      <c r="O5" s="3">
        <v>10</v>
      </c>
      <c r="P5" s="5">
        <v>10</v>
      </c>
      <c r="Q5" s="12">
        <f t="shared" si="19"/>
        <v>1</v>
      </c>
      <c r="R5" s="12">
        <f t="shared" si="3"/>
        <v>5.5363321799307945</v>
      </c>
      <c r="S5" s="3">
        <v>9</v>
      </c>
      <c r="T5" s="3">
        <v>9</v>
      </c>
      <c r="U5" s="12">
        <f t="shared" si="20"/>
        <v>1</v>
      </c>
      <c r="V5" s="12">
        <f t="shared" si="4"/>
        <v>1.8304498269896183</v>
      </c>
      <c r="W5" s="3">
        <v>8</v>
      </c>
      <c r="X5" s="5">
        <v>8</v>
      </c>
      <c r="Y5" s="12">
        <f t="shared" si="21"/>
        <v>1</v>
      </c>
      <c r="Z5" s="12">
        <f t="shared" si="5"/>
        <v>0.12456747404844265</v>
      </c>
      <c r="AA5" s="3">
        <v>9</v>
      </c>
      <c r="AB5" s="3">
        <v>9</v>
      </c>
      <c r="AC5" s="12">
        <f t="shared" si="22"/>
        <v>1</v>
      </c>
      <c r="AD5" s="12">
        <f t="shared" si="6"/>
        <v>1.8304498269896183</v>
      </c>
      <c r="AE5" s="3">
        <v>9</v>
      </c>
      <c r="AF5" s="5">
        <v>9</v>
      </c>
      <c r="AG5" s="12">
        <f t="shared" si="23"/>
        <v>1</v>
      </c>
      <c r="AH5" s="12">
        <f t="shared" si="7"/>
        <v>1.8304498269896183</v>
      </c>
      <c r="AI5" s="3">
        <v>10</v>
      </c>
      <c r="AJ5" s="3">
        <v>10</v>
      </c>
      <c r="AK5" s="12">
        <f t="shared" si="24"/>
        <v>1</v>
      </c>
      <c r="AL5" s="12">
        <f t="shared" si="8"/>
        <v>5.5363321799307945</v>
      </c>
      <c r="AM5" s="3">
        <v>10</v>
      </c>
      <c r="AN5" s="3">
        <v>10</v>
      </c>
      <c r="AO5" s="12">
        <f t="shared" si="25"/>
        <v>1</v>
      </c>
      <c r="AP5" s="12">
        <f t="shared" si="9"/>
        <v>5.5363321799307945</v>
      </c>
      <c r="AQ5" s="3">
        <v>6</v>
      </c>
      <c r="AR5" s="5">
        <v>6</v>
      </c>
      <c r="AS5" s="12">
        <f t="shared" si="26"/>
        <v>1</v>
      </c>
      <c r="AT5" s="12">
        <f t="shared" si="10"/>
        <v>2.7128027681660911</v>
      </c>
      <c r="AU5" s="3">
        <v>3</v>
      </c>
      <c r="AV5" s="3">
        <v>3</v>
      </c>
      <c r="AW5" s="12">
        <f t="shared" si="27"/>
        <v>1</v>
      </c>
      <c r="AX5" s="12">
        <f t="shared" si="11"/>
        <v>21.595155709342563</v>
      </c>
      <c r="AY5" s="3">
        <v>7</v>
      </c>
      <c r="AZ5" s="3">
        <v>7</v>
      </c>
      <c r="BA5" s="12">
        <f t="shared" si="28"/>
        <v>1</v>
      </c>
      <c r="BB5" s="12">
        <f t="shared" si="12"/>
        <v>0.41868512110726691</v>
      </c>
      <c r="BC5" s="3">
        <v>3</v>
      </c>
      <c r="BD5" s="3">
        <v>3</v>
      </c>
      <c r="BE5" s="12">
        <f t="shared" si="29"/>
        <v>1</v>
      </c>
      <c r="BF5" s="12">
        <f t="shared" si="13"/>
        <v>21.595155709342563</v>
      </c>
      <c r="BG5" s="3">
        <v>10</v>
      </c>
      <c r="BH5" s="3">
        <v>10</v>
      </c>
      <c r="BI5" s="12">
        <f t="shared" si="30"/>
        <v>1</v>
      </c>
      <c r="BJ5" s="12">
        <f t="shared" si="14"/>
        <v>5.5363321799307945</v>
      </c>
      <c r="BK5" s="3">
        <v>10</v>
      </c>
      <c r="BL5" s="3">
        <v>9</v>
      </c>
      <c r="BM5" s="12">
        <f t="shared" si="31"/>
        <v>0.9</v>
      </c>
      <c r="BN5" s="12">
        <f t="shared" si="15"/>
        <v>1.8304498269896183</v>
      </c>
      <c r="BO5" s="4">
        <f>COUNT(C5,G5,K5,O5,S5,W5,AA5,AE5,AI5,AM5,AQ5,AU5,AY5,BC5,BG5,BK5,#REF!,#REF!,#REF!,#REF!,#REF!,#REF!,#REF!,#REF!,#REF!,#REF!,#REF!,#REF!,#REF!,#REF!,#REF!,#REF!,#REF!,#REF!,#REF!,#REF!,#REF!,#REF!,#REF!,#REF!,#REF!,#REF!,#REF!,#REF!,#REF!)</f>
        <v>16</v>
      </c>
      <c r="BP5" s="15">
        <f t="shared" si="32"/>
        <v>99.375</v>
      </c>
      <c r="BQ5" s="15">
        <f t="shared" si="33"/>
        <v>7.6470588235294121</v>
      </c>
      <c r="BR5" s="15">
        <f t="shared" si="34"/>
        <v>2.2831563170676881</v>
      </c>
      <c r="BS5" s="16">
        <f t="shared" si="35"/>
        <v>99.375</v>
      </c>
      <c r="BT5" s="17" t="s">
        <v>3</v>
      </c>
      <c r="BU5" s="24">
        <f t="shared" si="36"/>
        <v>2.2831563170676881</v>
      </c>
      <c r="BV5" s="4" t="str">
        <f t="shared" si="37"/>
        <v>отлично</v>
      </c>
    </row>
    <row r="6" spans="1:74" ht="30.75" customHeight="1" thickBot="1" x14ac:dyDescent="0.3">
      <c r="A6" s="21">
        <v>4</v>
      </c>
      <c r="B6" s="31" t="s">
        <v>10</v>
      </c>
      <c r="C6" s="3">
        <v>10</v>
      </c>
      <c r="D6" s="3">
        <v>10</v>
      </c>
      <c r="E6" s="8">
        <f t="shared" si="16"/>
        <v>1</v>
      </c>
      <c r="F6" s="12">
        <f t="shared" si="0"/>
        <v>13.301038062283739</v>
      </c>
      <c r="G6" s="3">
        <v>9</v>
      </c>
      <c r="H6" s="5">
        <v>9</v>
      </c>
      <c r="I6" s="12">
        <f t="shared" si="17"/>
        <v>1</v>
      </c>
      <c r="J6" s="12">
        <f t="shared" si="1"/>
        <v>7.0069204152249158</v>
      </c>
      <c r="K6" s="3">
        <v>8</v>
      </c>
      <c r="L6" s="5">
        <v>8</v>
      </c>
      <c r="M6" s="12">
        <f t="shared" si="18"/>
        <v>1</v>
      </c>
      <c r="N6" s="12">
        <f t="shared" si="2"/>
        <v>2.7128027681660911</v>
      </c>
      <c r="O6" s="3">
        <v>10</v>
      </c>
      <c r="P6" s="5">
        <v>10</v>
      </c>
      <c r="Q6" s="12">
        <f t="shared" si="19"/>
        <v>1</v>
      </c>
      <c r="R6" s="12">
        <f t="shared" si="3"/>
        <v>13.301038062283739</v>
      </c>
      <c r="S6" s="3">
        <v>9</v>
      </c>
      <c r="T6" s="3">
        <v>9</v>
      </c>
      <c r="U6" s="12">
        <f t="shared" si="20"/>
        <v>1</v>
      </c>
      <c r="V6" s="12">
        <f t="shared" si="4"/>
        <v>7.0069204152249158</v>
      </c>
      <c r="W6" s="3">
        <v>8</v>
      </c>
      <c r="X6" s="5">
        <v>8</v>
      </c>
      <c r="Y6" s="12">
        <f t="shared" si="21"/>
        <v>1</v>
      </c>
      <c r="Z6" s="12">
        <f t="shared" si="5"/>
        <v>2.7128027681660911</v>
      </c>
      <c r="AA6" s="3">
        <v>9</v>
      </c>
      <c r="AB6" s="3">
        <v>9</v>
      </c>
      <c r="AC6" s="12">
        <f t="shared" si="22"/>
        <v>1</v>
      </c>
      <c r="AD6" s="12">
        <f t="shared" si="6"/>
        <v>7.0069204152249158</v>
      </c>
      <c r="AE6" s="3">
        <v>9</v>
      </c>
      <c r="AF6" s="5">
        <v>9</v>
      </c>
      <c r="AG6" s="12">
        <f t="shared" si="23"/>
        <v>1</v>
      </c>
      <c r="AH6" s="12">
        <f t="shared" si="7"/>
        <v>7.0069204152249158</v>
      </c>
      <c r="AI6" s="3">
        <v>1</v>
      </c>
      <c r="AJ6" s="3">
        <v>1</v>
      </c>
      <c r="AK6" s="12">
        <f t="shared" si="24"/>
        <v>1</v>
      </c>
      <c r="AL6" s="12">
        <f t="shared" si="8"/>
        <v>28.653979238754321</v>
      </c>
      <c r="AM6" s="3">
        <v>3</v>
      </c>
      <c r="AN6" s="3">
        <v>2</v>
      </c>
      <c r="AO6" s="12">
        <f t="shared" si="25"/>
        <v>0.66666666666666663</v>
      </c>
      <c r="AP6" s="12">
        <f t="shared" si="9"/>
        <v>18.948096885813147</v>
      </c>
      <c r="AQ6" s="3">
        <v>7</v>
      </c>
      <c r="AR6" s="5">
        <v>6</v>
      </c>
      <c r="AS6" s="12">
        <f t="shared" si="26"/>
        <v>0.8571428571428571</v>
      </c>
      <c r="AT6" s="12">
        <f t="shared" si="10"/>
        <v>0.12456747404844265</v>
      </c>
      <c r="AU6" s="3">
        <v>3</v>
      </c>
      <c r="AV6" s="3">
        <v>3</v>
      </c>
      <c r="AW6" s="12">
        <f t="shared" si="27"/>
        <v>1</v>
      </c>
      <c r="AX6" s="12">
        <f t="shared" si="11"/>
        <v>11.242214532871969</v>
      </c>
      <c r="AY6" s="3">
        <v>9</v>
      </c>
      <c r="AZ6" s="3">
        <v>9</v>
      </c>
      <c r="BA6" s="12">
        <f t="shared" si="28"/>
        <v>1</v>
      </c>
      <c r="BB6" s="12">
        <f t="shared" si="12"/>
        <v>7.0069204152249158</v>
      </c>
      <c r="BC6" s="3">
        <v>3</v>
      </c>
      <c r="BD6" s="3">
        <v>3</v>
      </c>
      <c r="BE6" s="12">
        <f t="shared" si="29"/>
        <v>1</v>
      </c>
      <c r="BF6" s="12">
        <f t="shared" si="13"/>
        <v>11.242214532871969</v>
      </c>
      <c r="BG6" s="3">
        <v>10</v>
      </c>
      <c r="BH6" s="3">
        <v>10</v>
      </c>
      <c r="BI6" s="12">
        <f t="shared" si="30"/>
        <v>1</v>
      </c>
      <c r="BJ6" s="12">
        <f t="shared" si="14"/>
        <v>13.301038062283739</v>
      </c>
      <c r="BK6" s="3">
        <v>2</v>
      </c>
      <c r="BL6" s="3">
        <v>2</v>
      </c>
      <c r="BM6" s="12">
        <f t="shared" si="31"/>
        <v>1</v>
      </c>
      <c r="BN6" s="12">
        <f t="shared" si="15"/>
        <v>18.948096885813147</v>
      </c>
      <c r="BO6" s="4">
        <f>COUNT(C6,G6,K6,O6,S6,W6,AA6,AE6,AI6,AM6,AQ6,AU6,AY6,BC6,BG6,BK6,#REF!,#REF!,#REF!,#REF!,#REF!,#REF!,#REF!,#REF!,#REF!,#REF!,#REF!,#REF!,#REF!,#REF!,#REF!,#REF!,#REF!,#REF!,#REF!,#REF!,#REF!,#REF!,#REF!,#REF!,#REF!,#REF!,#REF!,#REF!,#REF!)</f>
        <v>16</v>
      </c>
      <c r="BP6" s="15">
        <f>(E6+I6+M6+Q6+U6+Y6+AC6+AG6+AK6+AO6+AS6+AW6+BA6+BE6+BI6+BM6)*100/BO6</f>
        <v>97.023809523809518</v>
      </c>
      <c r="BQ6" s="15">
        <f t="shared" si="33"/>
        <v>6.3529411764705879</v>
      </c>
      <c r="BR6" s="15">
        <f t="shared" si="34"/>
        <v>3.2550200781780996</v>
      </c>
      <c r="BS6" s="16">
        <f t="shared" si="35"/>
        <v>97.023809523809518</v>
      </c>
      <c r="BT6" s="17" t="s">
        <v>3</v>
      </c>
      <c r="BU6" s="24">
        <f t="shared" si="36"/>
        <v>3.2550200781780996</v>
      </c>
      <c r="BV6" s="4" t="str">
        <f t="shared" si="37"/>
        <v>отлично</v>
      </c>
    </row>
    <row r="7" spans="1:74" ht="54" customHeight="1" thickBot="1" x14ac:dyDescent="0.3">
      <c r="A7" s="21">
        <v>5</v>
      </c>
      <c r="B7" s="31" t="s">
        <v>11</v>
      </c>
      <c r="C7" s="3">
        <v>10</v>
      </c>
      <c r="D7" s="3">
        <v>10</v>
      </c>
      <c r="E7" s="8">
        <f t="shared" si="16"/>
        <v>1</v>
      </c>
      <c r="F7" s="12">
        <f t="shared" si="0"/>
        <v>9.7197231833910003</v>
      </c>
      <c r="G7" s="3">
        <v>9</v>
      </c>
      <c r="H7" s="5">
        <v>9</v>
      </c>
      <c r="I7" s="12">
        <f t="shared" si="17"/>
        <v>1</v>
      </c>
      <c r="J7" s="12">
        <f t="shared" si="1"/>
        <v>4.4844290657439432</v>
      </c>
      <c r="K7" s="3">
        <v>8</v>
      </c>
      <c r="L7" s="5">
        <v>8</v>
      </c>
      <c r="M7" s="12">
        <f t="shared" si="18"/>
        <v>1</v>
      </c>
      <c r="N7" s="12">
        <f t="shared" si="2"/>
        <v>1.249134948096885</v>
      </c>
      <c r="O7" s="3">
        <v>10</v>
      </c>
      <c r="P7" s="5">
        <v>10</v>
      </c>
      <c r="Q7" s="12">
        <f t="shared" si="19"/>
        <v>1</v>
      </c>
      <c r="R7" s="12">
        <f t="shared" si="3"/>
        <v>9.7197231833910003</v>
      </c>
      <c r="S7" s="3">
        <v>9</v>
      </c>
      <c r="T7" s="3">
        <v>9</v>
      </c>
      <c r="U7" s="12">
        <f t="shared" si="20"/>
        <v>1</v>
      </c>
      <c r="V7" s="12">
        <f t="shared" si="4"/>
        <v>4.4844290657439432</v>
      </c>
      <c r="W7" s="3">
        <v>8</v>
      </c>
      <c r="X7" s="5">
        <v>8</v>
      </c>
      <c r="Y7" s="12">
        <f t="shared" si="21"/>
        <v>1</v>
      </c>
      <c r="Z7" s="12">
        <f t="shared" si="5"/>
        <v>1.249134948096885</v>
      </c>
      <c r="AA7" s="3">
        <v>9</v>
      </c>
      <c r="AB7" s="3">
        <v>9</v>
      </c>
      <c r="AC7" s="12">
        <f t="shared" si="22"/>
        <v>1</v>
      </c>
      <c r="AD7" s="12">
        <f t="shared" si="6"/>
        <v>4.4844290657439432</v>
      </c>
      <c r="AE7" s="3">
        <v>9</v>
      </c>
      <c r="AF7" s="5">
        <v>9</v>
      </c>
      <c r="AG7" s="12">
        <f t="shared" si="23"/>
        <v>1</v>
      </c>
      <c r="AH7" s="12">
        <f t="shared" si="7"/>
        <v>4.4844290657439432</v>
      </c>
      <c r="AI7" s="3">
        <v>6</v>
      </c>
      <c r="AJ7" s="3">
        <v>6</v>
      </c>
      <c r="AK7" s="12">
        <f t="shared" si="24"/>
        <v>1</v>
      </c>
      <c r="AL7" s="12">
        <f t="shared" si="8"/>
        <v>0.77854671280276888</v>
      </c>
      <c r="AM7" s="3">
        <v>9</v>
      </c>
      <c r="AN7" s="3">
        <v>7</v>
      </c>
      <c r="AO7" s="12">
        <f t="shared" si="25"/>
        <v>0.77777777777777779</v>
      </c>
      <c r="AP7" s="12">
        <f t="shared" si="9"/>
        <v>1.3840830449826891E-2</v>
      </c>
      <c r="AQ7" s="3">
        <v>8</v>
      </c>
      <c r="AR7" s="5">
        <v>7</v>
      </c>
      <c r="AS7" s="12">
        <f t="shared" si="26"/>
        <v>0.875</v>
      </c>
      <c r="AT7" s="12">
        <f t="shared" si="10"/>
        <v>1.3840830449826891E-2</v>
      </c>
      <c r="AU7" s="3">
        <v>3</v>
      </c>
      <c r="AV7" s="3">
        <v>3</v>
      </c>
      <c r="AW7" s="12">
        <f t="shared" si="27"/>
        <v>1</v>
      </c>
      <c r="AX7" s="12">
        <f t="shared" si="11"/>
        <v>15.072664359861594</v>
      </c>
      <c r="AY7" s="3">
        <v>8</v>
      </c>
      <c r="AZ7" s="3">
        <v>8</v>
      </c>
      <c r="BA7" s="12">
        <f t="shared" si="28"/>
        <v>1</v>
      </c>
      <c r="BB7" s="12">
        <f t="shared" si="12"/>
        <v>1.249134948096885</v>
      </c>
      <c r="BC7" s="3">
        <v>3</v>
      </c>
      <c r="BD7" s="3">
        <v>3</v>
      </c>
      <c r="BE7" s="12">
        <f t="shared" si="29"/>
        <v>1</v>
      </c>
      <c r="BF7" s="12">
        <f t="shared" si="13"/>
        <v>15.072664359861594</v>
      </c>
      <c r="BG7" s="3">
        <v>10</v>
      </c>
      <c r="BH7" s="3">
        <v>10</v>
      </c>
      <c r="BI7" s="12">
        <f t="shared" si="30"/>
        <v>1</v>
      </c>
      <c r="BJ7" s="12">
        <f t="shared" si="14"/>
        <v>9.7197231833910003</v>
      </c>
      <c r="BK7" s="3">
        <v>1</v>
      </c>
      <c r="BL7" s="3">
        <v>1</v>
      </c>
      <c r="BM7" s="12">
        <f t="shared" si="31"/>
        <v>1</v>
      </c>
      <c r="BN7" s="12">
        <f t="shared" si="15"/>
        <v>34.602076124567482</v>
      </c>
      <c r="BO7" s="4">
        <f>COUNT(C7,G7,K7,O7,S7,W7,AA7,AE7,AI7,AM7,AQ7,AU7,AY7,BC7,BG7,BK7,#REF!,#REF!,#REF!,#REF!,#REF!,#REF!,#REF!,#REF!,#REF!,#REF!,#REF!,#REF!,#REF!,#REF!,#REF!,#REF!,#REF!,#REF!,#REF!,#REF!,#REF!,#REF!,#REF!,#REF!,#REF!,#REF!,#REF!,#REF!,#REF!)</f>
        <v>16</v>
      </c>
      <c r="BP7" s="15">
        <f t="shared" si="32"/>
        <v>97.829861111111114</v>
      </c>
      <c r="BQ7" s="15">
        <f t="shared" si="33"/>
        <v>6.882352941176471</v>
      </c>
      <c r="BR7" s="15">
        <f t="shared" si="34"/>
        <v>2.697196737765811</v>
      </c>
      <c r="BS7" s="16">
        <f t="shared" si="35"/>
        <v>97.829861111111114</v>
      </c>
      <c r="BT7" s="17" t="s">
        <v>3</v>
      </c>
      <c r="BU7" s="24">
        <f t="shared" si="36"/>
        <v>2.697196737765811</v>
      </c>
      <c r="BV7" s="4" t="str">
        <f t="shared" si="37"/>
        <v>отлично</v>
      </c>
    </row>
    <row r="8" spans="1:74" ht="48.75" customHeight="1" thickBot="1" x14ac:dyDescent="0.3">
      <c r="A8" s="21">
        <v>6</v>
      </c>
      <c r="B8" s="31" t="s">
        <v>12</v>
      </c>
      <c r="C8" s="3">
        <v>10</v>
      </c>
      <c r="D8" s="3">
        <v>10</v>
      </c>
      <c r="E8" s="8">
        <f t="shared" si="16"/>
        <v>1</v>
      </c>
      <c r="F8" s="12">
        <f t="shared" si="0"/>
        <v>6.1038062283737027</v>
      </c>
      <c r="G8" s="3">
        <v>9</v>
      </c>
      <c r="H8" s="5">
        <v>9</v>
      </c>
      <c r="I8" s="12">
        <f t="shared" si="17"/>
        <v>1</v>
      </c>
      <c r="J8" s="12">
        <f t="shared" si="1"/>
        <v>2.1626297577854676</v>
      </c>
      <c r="K8" s="3">
        <v>8</v>
      </c>
      <c r="L8" s="5">
        <v>8</v>
      </c>
      <c r="M8" s="12">
        <f t="shared" si="18"/>
        <v>1</v>
      </c>
      <c r="N8" s="12">
        <f t="shared" si="2"/>
        <v>0.22145328719723192</v>
      </c>
      <c r="O8" s="3">
        <v>10</v>
      </c>
      <c r="P8" s="5">
        <v>10</v>
      </c>
      <c r="Q8" s="12">
        <f t="shared" si="19"/>
        <v>1</v>
      </c>
      <c r="R8" s="12">
        <f t="shared" si="3"/>
        <v>6.1038062283737027</v>
      </c>
      <c r="S8" s="3">
        <v>9</v>
      </c>
      <c r="T8" s="3">
        <v>9</v>
      </c>
      <c r="U8" s="12">
        <f t="shared" si="20"/>
        <v>1</v>
      </c>
      <c r="V8" s="12">
        <f t="shared" si="4"/>
        <v>2.1626297577854676</v>
      </c>
      <c r="W8" s="3">
        <v>8</v>
      </c>
      <c r="X8" s="5">
        <v>8</v>
      </c>
      <c r="Y8" s="12">
        <f t="shared" si="21"/>
        <v>1</v>
      </c>
      <c r="Z8" s="12">
        <f t="shared" si="5"/>
        <v>0.22145328719723192</v>
      </c>
      <c r="AA8" s="3">
        <v>9</v>
      </c>
      <c r="AB8" s="3">
        <v>9</v>
      </c>
      <c r="AC8" s="12">
        <f t="shared" si="22"/>
        <v>1</v>
      </c>
      <c r="AD8" s="12">
        <f t="shared" si="6"/>
        <v>2.1626297577854676</v>
      </c>
      <c r="AE8" s="3">
        <v>9</v>
      </c>
      <c r="AF8" s="5">
        <v>9</v>
      </c>
      <c r="AG8" s="12">
        <f t="shared" si="23"/>
        <v>1</v>
      </c>
      <c r="AH8" s="12">
        <f t="shared" si="7"/>
        <v>2.1626297577854676</v>
      </c>
      <c r="AI8" s="3">
        <v>10</v>
      </c>
      <c r="AJ8" s="3">
        <v>10</v>
      </c>
      <c r="AK8" s="12">
        <f t="shared" si="24"/>
        <v>1</v>
      </c>
      <c r="AL8" s="12">
        <f t="shared" si="8"/>
        <v>6.1038062283737027</v>
      </c>
      <c r="AM8" s="3">
        <v>10</v>
      </c>
      <c r="AN8" s="3">
        <v>10</v>
      </c>
      <c r="AO8" s="12">
        <f t="shared" si="25"/>
        <v>1</v>
      </c>
      <c r="AP8" s="12">
        <f t="shared" si="9"/>
        <v>6.1038062283737027</v>
      </c>
      <c r="AQ8" s="3">
        <v>6</v>
      </c>
      <c r="AR8" s="5">
        <v>5</v>
      </c>
      <c r="AS8" s="12">
        <f t="shared" si="26"/>
        <v>0.83333333333333337</v>
      </c>
      <c r="AT8" s="12">
        <f t="shared" si="10"/>
        <v>6.3979238754325252</v>
      </c>
      <c r="AU8" s="3">
        <v>3</v>
      </c>
      <c r="AV8" s="3">
        <v>3</v>
      </c>
      <c r="AW8" s="12">
        <f t="shared" si="27"/>
        <v>1</v>
      </c>
      <c r="AX8" s="12">
        <f t="shared" si="11"/>
        <v>20.515570934256054</v>
      </c>
      <c r="AY8" s="3">
        <v>10</v>
      </c>
      <c r="AZ8" s="3">
        <v>10</v>
      </c>
      <c r="BA8" s="12">
        <f t="shared" si="28"/>
        <v>1</v>
      </c>
      <c r="BB8" s="12">
        <f t="shared" si="12"/>
        <v>6.1038062283737027</v>
      </c>
      <c r="BC8" s="3">
        <v>3</v>
      </c>
      <c r="BD8" s="3">
        <v>3</v>
      </c>
      <c r="BE8" s="12">
        <f t="shared" si="29"/>
        <v>1</v>
      </c>
      <c r="BF8" s="12">
        <f t="shared" si="13"/>
        <v>20.515570934256054</v>
      </c>
      <c r="BG8" s="3">
        <v>10</v>
      </c>
      <c r="BH8" s="3">
        <v>10</v>
      </c>
      <c r="BI8" s="12">
        <f t="shared" si="30"/>
        <v>1</v>
      </c>
      <c r="BJ8" s="12">
        <f t="shared" si="14"/>
        <v>6.1038062283737027</v>
      </c>
      <c r="BK8" s="3">
        <v>5</v>
      </c>
      <c r="BL8" s="3">
        <v>5</v>
      </c>
      <c r="BM8" s="12">
        <f t="shared" si="31"/>
        <v>1</v>
      </c>
      <c r="BN8" s="12">
        <f t="shared" si="15"/>
        <v>6.3979238754325252</v>
      </c>
      <c r="BO8" s="4">
        <f>COUNT(C8,G8,K8,O8,S8,W8,AA8,AE8,AI8,AM8,AQ8,AU8,AY8,BC8,BG8,BK8,#REF!,#REF!,#REF!,#REF!,#REF!,#REF!,#REF!,#REF!,#REF!,#REF!,#REF!,#REF!,#REF!,#REF!,#REF!,#REF!,#REF!,#REF!,#REF!,#REF!,#REF!,#REF!,#REF!,#REF!,#REF!,#REF!,#REF!,#REF!,#REF!)</f>
        <v>16</v>
      </c>
      <c r="BP8" s="15">
        <f t="shared" si="32"/>
        <v>98.958333333333343</v>
      </c>
      <c r="BQ8" s="15">
        <f t="shared" si="33"/>
        <v>7.5294117647058822</v>
      </c>
      <c r="BR8" s="15">
        <f t="shared" si="34"/>
        <v>2.4942841231899044</v>
      </c>
      <c r="BS8" s="16">
        <f t="shared" si="35"/>
        <v>98.958333333333343</v>
      </c>
      <c r="BT8" s="17" t="s">
        <v>3</v>
      </c>
      <c r="BU8" s="24">
        <f t="shared" si="36"/>
        <v>2.4942841231899044</v>
      </c>
      <c r="BV8" s="4" t="str">
        <f t="shared" si="37"/>
        <v>отлично</v>
      </c>
    </row>
    <row r="9" spans="1:74" ht="77.25" customHeight="1" thickBot="1" x14ac:dyDescent="0.3">
      <c r="A9" s="21">
        <v>7</v>
      </c>
      <c r="B9" s="31" t="s">
        <v>16</v>
      </c>
      <c r="C9" s="3">
        <v>10</v>
      </c>
      <c r="D9" s="3">
        <v>10</v>
      </c>
      <c r="E9" s="8">
        <f t="shared" si="16"/>
        <v>1</v>
      </c>
      <c r="F9" s="12">
        <f t="shared" si="0"/>
        <v>8.3079584775086524</v>
      </c>
      <c r="G9" s="3">
        <v>9</v>
      </c>
      <c r="H9" s="5">
        <v>9</v>
      </c>
      <c r="I9" s="12">
        <f t="shared" si="17"/>
        <v>1</v>
      </c>
      <c r="J9" s="12">
        <f t="shared" si="1"/>
        <v>3.5432525951557108</v>
      </c>
      <c r="K9" s="3">
        <v>8</v>
      </c>
      <c r="L9" s="5">
        <v>8</v>
      </c>
      <c r="M9" s="12">
        <f t="shared" si="18"/>
        <v>1</v>
      </c>
      <c r="N9" s="12">
        <f t="shared" si="2"/>
        <v>0.77854671280276888</v>
      </c>
      <c r="O9" s="3">
        <v>10</v>
      </c>
      <c r="P9" s="5">
        <v>10</v>
      </c>
      <c r="Q9" s="12">
        <f t="shared" si="19"/>
        <v>1</v>
      </c>
      <c r="R9" s="12">
        <f t="shared" si="3"/>
        <v>8.3079584775086524</v>
      </c>
      <c r="S9" s="3">
        <v>9</v>
      </c>
      <c r="T9" s="3">
        <v>9</v>
      </c>
      <c r="U9" s="12">
        <f t="shared" si="20"/>
        <v>1</v>
      </c>
      <c r="V9" s="12">
        <f t="shared" si="4"/>
        <v>3.5432525951557108</v>
      </c>
      <c r="W9" s="3">
        <v>8</v>
      </c>
      <c r="X9" s="5">
        <v>8</v>
      </c>
      <c r="Y9" s="12">
        <f t="shared" si="21"/>
        <v>1</v>
      </c>
      <c r="Z9" s="12">
        <f t="shared" si="5"/>
        <v>0.77854671280276888</v>
      </c>
      <c r="AA9" s="3">
        <v>9</v>
      </c>
      <c r="AB9" s="3">
        <v>9</v>
      </c>
      <c r="AC9" s="12">
        <f t="shared" si="22"/>
        <v>1</v>
      </c>
      <c r="AD9" s="12">
        <f t="shared" si="6"/>
        <v>3.5432525951557108</v>
      </c>
      <c r="AE9" s="3">
        <v>9</v>
      </c>
      <c r="AF9" s="5">
        <v>9</v>
      </c>
      <c r="AG9" s="12">
        <f t="shared" si="23"/>
        <v>1</v>
      </c>
      <c r="AH9" s="12">
        <f t="shared" si="7"/>
        <v>3.5432525951557108</v>
      </c>
      <c r="AI9" s="3">
        <v>9</v>
      </c>
      <c r="AJ9" s="3">
        <v>9</v>
      </c>
      <c r="AK9" s="12">
        <f t="shared" si="24"/>
        <v>1</v>
      </c>
      <c r="AL9" s="12">
        <f t="shared" si="8"/>
        <v>3.5432525951557108</v>
      </c>
      <c r="AM9" s="3">
        <v>6</v>
      </c>
      <c r="AN9" s="3">
        <v>6</v>
      </c>
      <c r="AO9" s="12">
        <f t="shared" si="25"/>
        <v>1</v>
      </c>
      <c r="AP9" s="12">
        <f t="shared" si="9"/>
        <v>1.249134948096885</v>
      </c>
      <c r="AQ9" s="3">
        <v>7</v>
      </c>
      <c r="AR9" s="5">
        <v>7</v>
      </c>
      <c r="AS9" s="12">
        <f t="shared" si="26"/>
        <v>1</v>
      </c>
      <c r="AT9" s="12">
        <f t="shared" si="10"/>
        <v>1.3840830449826891E-2</v>
      </c>
      <c r="AU9" s="3">
        <v>3</v>
      </c>
      <c r="AV9" s="3">
        <v>3</v>
      </c>
      <c r="AW9" s="12">
        <f t="shared" si="27"/>
        <v>1</v>
      </c>
      <c r="AX9" s="12">
        <f t="shared" si="11"/>
        <v>16.955017301038058</v>
      </c>
      <c r="AY9" s="3">
        <v>6</v>
      </c>
      <c r="AZ9" s="3">
        <v>6</v>
      </c>
      <c r="BA9" s="12">
        <f t="shared" si="28"/>
        <v>1</v>
      </c>
      <c r="BB9" s="12">
        <f t="shared" si="12"/>
        <v>1.249134948096885</v>
      </c>
      <c r="BC9" s="3">
        <v>3</v>
      </c>
      <c r="BD9" s="3">
        <v>3</v>
      </c>
      <c r="BE9" s="12">
        <f t="shared" si="29"/>
        <v>1</v>
      </c>
      <c r="BF9" s="12">
        <f t="shared" si="13"/>
        <v>16.955017301038058</v>
      </c>
      <c r="BG9" s="3">
        <v>10</v>
      </c>
      <c r="BH9" s="3">
        <v>10</v>
      </c>
      <c r="BI9" s="12">
        <f t="shared" si="30"/>
        <v>1</v>
      </c>
      <c r="BJ9" s="12">
        <f t="shared" si="14"/>
        <v>8.3079584775086524</v>
      </c>
      <c r="BK9" s="3">
        <v>6</v>
      </c>
      <c r="BL9" s="3">
        <v>5</v>
      </c>
      <c r="BM9" s="12">
        <f t="shared" si="31"/>
        <v>0.83333333333333337</v>
      </c>
      <c r="BN9" s="12">
        <f t="shared" si="15"/>
        <v>4.4844290657439432</v>
      </c>
      <c r="BO9" s="4">
        <f>COUNT(C9,G9,K9,O9,S9,W9,AA9,AE9,AI9,AM9,AQ9,AU9,AY9,BC9,BG9,BK9,#REF!,#REF!,#REF!,#REF!,#REF!,#REF!,#REF!,#REF!,#REF!,#REF!,#REF!,#REF!,#REF!,#REF!,#REF!,#REF!,#REF!,#REF!,#REF!,#REF!,#REF!,#REF!,#REF!,#REF!,#REF!,#REF!,#REF!,#REF!,#REF!)</f>
        <v>16</v>
      </c>
      <c r="BP9" s="15">
        <f t="shared" si="32"/>
        <v>98.958333333333343</v>
      </c>
      <c r="BQ9" s="15">
        <f t="shared" si="33"/>
        <v>7.117647058823529</v>
      </c>
      <c r="BR9" s="15">
        <f t="shared" si="34"/>
        <v>2.3062931056726845</v>
      </c>
      <c r="BS9" s="16">
        <f t="shared" si="35"/>
        <v>98.958333333333343</v>
      </c>
      <c r="BT9" s="17" t="s">
        <v>3</v>
      </c>
      <c r="BU9" s="24">
        <f t="shared" si="36"/>
        <v>2.3062931056726845</v>
      </c>
      <c r="BV9" s="4" t="str">
        <f t="shared" si="37"/>
        <v>отлично</v>
      </c>
    </row>
    <row r="10" spans="1:74" ht="85.5" customHeight="1" thickBot="1" x14ac:dyDescent="0.3">
      <c r="A10" s="21">
        <v>8</v>
      </c>
      <c r="B10" s="31" t="s">
        <v>17</v>
      </c>
      <c r="C10" s="3">
        <v>10</v>
      </c>
      <c r="D10" s="3">
        <v>10</v>
      </c>
      <c r="E10" s="8">
        <f t="shared" si="16"/>
        <v>1</v>
      </c>
      <c r="F10" s="12">
        <f t="shared" si="0"/>
        <v>5.5363321799307945</v>
      </c>
      <c r="G10" s="3">
        <v>9</v>
      </c>
      <c r="H10" s="5">
        <v>9</v>
      </c>
      <c r="I10" s="12">
        <f t="shared" si="17"/>
        <v>1</v>
      </c>
      <c r="J10" s="12">
        <f t="shared" si="1"/>
        <v>1.8304498269896183</v>
      </c>
      <c r="K10" s="3">
        <v>8</v>
      </c>
      <c r="L10" s="5">
        <v>8</v>
      </c>
      <c r="M10" s="12">
        <f t="shared" si="18"/>
        <v>1</v>
      </c>
      <c r="N10" s="12">
        <f t="shared" si="2"/>
        <v>0.12456747404844265</v>
      </c>
      <c r="O10" s="3">
        <v>10</v>
      </c>
      <c r="P10" s="5">
        <v>10</v>
      </c>
      <c r="Q10" s="12">
        <f t="shared" si="19"/>
        <v>1</v>
      </c>
      <c r="R10" s="12">
        <f t="shared" si="3"/>
        <v>5.5363321799307945</v>
      </c>
      <c r="S10" s="3">
        <v>9</v>
      </c>
      <c r="T10" s="3">
        <v>9</v>
      </c>
      <c r="U10" s="12">
        <f t="shared" si="20"/>
        <v>1</v>
      </c>
      <c r="V10" s="12">
        <f t="shared" si="4"/>
        <v>1.8304498269896183</v>
      </c>
      <c r="W10" s="3">
        <v>8</v>
      </c>
      <c r="X10" s="5">
        <v>8</v>
      </c>
      <c r="Y10" s="12">
        <f t="shared" si="21"/>
        <v>1</v>
      </c>
      <c r="Z10" s="12">
        <f t="shared" si="5"/>
        <v>0.12456747404844265</v>
      </c>
      <c r="AA10" s="3">
        <v>9</v>
      </c>
      <c r="AB10" s="3">
        <v>9</v>
      </c>
      <c r="AC10" s="12">
        <f t="shared" si="22"/>
        <v>1</v>
      </c>
      <c r="AD10" s="12">
        <f t="shared" si="6"/>
        <v>1.8304498269896183</v>
      </c>
      <c r="AE10" s="3">
        <v>9</v>
      </c>
      <c r="AF10" s="5">
        <v>9</v>
      </c>
      <c r="AG10" s="12">
        <f t="shared" si="23"/>
        <v>1</v>
      </c>
      <c r="AH10" s="12">
        <f t="shared" si="7"/>
        <v>1.8304498269896183</v>
      </c>
      <c r="AI10" s="3">
        <v>10</v>
      </c>
      <c r="AJ10" s="3">
        <v>10</v>
      </c>
      <c r="AK10" s="12">
        <f t="shared" si="24"/>
        <v>1</v>
      </c>
      <c r="AL10" s="12">
        <f t="shared" si="8"/>
        <v>5.5363321799307945</v>
      </c>
      <c r="AM10" s="3">
        <v>9</v>
      </c>
      <c r="AN10" s="3">
        <v>9</v>
      </c>
      <c r="AO10" s="12">
        <f t="shared" si="25"/>
        <v>1</v>
      </c>
      <c r="AP10" s="12">
        <f t="shared" si="9"/>
        <v>1.8304498269896183</v>
      </c>
      <c r="AQ10" s="3">
        <v>8</v>
      </c>
      <c r="AR10" s="5">
        <v>7</v>
      </c>
      <c r="AS10" s="12">
        <f t="shared" si="26"/>
        <v>0.875</v>
      </c>
      <c r="AT10" s="12">
        <f t="shared" si="10"/>
        <v>0.41868512110726691</v>
      </c>
      <c r="AU10" s="3">
        <v>3</v>
      </c>
      <c r="AV10" s="3">
        <v>3</v>
      </c>
      <c r="AW10" s="12">
        <f t="shared" si="27"/>
        <v>1</v>
      </c>
      <c r="AX10" s="12">
        <f t="shared" si="11"/>
        <v>21.595155709342563</v>
      </c>
      <c r="AY10" s="3">
        <v>7</v>
      </c>
      <c r="AZ10" s="3">
        <v>7</v>
      </c>
      <c r="BA10" s="12">
        <f t="shared" si="28"/>
        <v>1</v>
      </c>
      <c r="BB10" s="12">
        <f t="shared" si="12"/>
        <v>0.41868512110726691</v>
      </c>
      <c r="BC10" s="3">
        <v>3</v>
      </c>
      <c r="BD10" s="3">
        <v>3</v>
      </c>
      <c r="BE10" s="12">
        <f t="shared" si="29"/>
        <v>1</v>
      </c>
      <c r="BF10" s="12">
        <f t="shared" si="13"/>
        <v>21.595155709342563</v>
      </c>
      <c r="BG10" s="3">
        <v>10</v>
      </c>
      <c r="BH10" s="3">
        <v>10</v>
      </c>
      <c r="BI10" s="12">
        <f t="shared" si="30"/>
        <v>1</v>
      </c>
      <c r="BJ10" s="12">
        <f t="shared" si="14"/>
        <v>5.5363321799307945</v>
      </c>
      <c r="BK10" s="3">
        <v>9</v>
      </c>
      <c r="BL10" s="3">
        <v>9</v>
      </c>
      <c r="BM10" s="12">
        <f t="shared" si="31"/>
        <v>1</v>
      </c>
      <c r="BN10" s="12">
        <f t="shared" si="15"/>
        <v>1.8304498269896183</v>
      </c>
      <c r="BO10" s="4">
        <f>COUNT(C10,G10,K10,O10,S10,W10,AA10,AE10,AI10,AM10,AQ10,AU10,AY10,BC10,BG10,BK10,#REF!,#REF!,#REF!,#REF!,#REF!,#REF!,#REF!,#REF!,#REF!,#REF!,#REF!,#REF!,#REF!,#REF!,#REF!,#REF!,#REF!,#REF!,#REF!,#REF!,#REF!,#REF!,#REF!,#REF!,#REF!,#REF!,#REF!,#REF!,#REF!)</f>
        <v>16</v>
      </c>
      <c r="BP10" s="15">
        <f t="shared" si="32"/>
        <v>99.21875</v>
      </c>
      <c r="BQ10" s="15">
        <f t="shared" si="33"/>
        <v>7.6470588235294121</v>
      </c>
      <c r="BR10" s="15">
        <f t="shared" si="34"/>
        <v>2.1995005724405008</v>
      </c>
      <c r="BS10" s="16">
        <f t="shared" si="35"/>
        <v>99.21875</v>
      </c>
      <c r="BT10" s="17" t="s">
        <v>3</v>
      </c>
      <c r="BU10" s="24">
        <f t="shared" si="36"/>
        <v>2.1995005724405008</v>
      </c>
      <c r="BV10" s="4" t="str">
        <f t="shared" si="37"/>
        <v>отлично</v>
      </c>
    </row>
    <row r="11" spans="1:74" ht="48" customHeight="1" thickBot="1" x14ac:dyDescent="0.3">
      <c r="A11" s="21">
        <v>9</v>
      </c>
      <c r="B11" s="31" t="s">
        <v>18</v>
      </c>
      <c r="C11" s="3">
        <v>10</v>
      </c>
      <c r="D11" s="3">
        <v>10</v>
      </c>
      <c r="E11" s="8">
        <f t="shared" si="16"/>
        <v>1</v>
      </c>
      <c r="F11" s="12">
        <f t="shared" si="0"/>
        <v>3.7681660899653986</v>
      </c>
      <c r="G11" s="3">
        <v>10</v>
      </c>
      <c r="H11" s="5">
        <v>10</v>
      </c>
      <c r="I11" s="12">
        <f t="shared" si="17"/>
        <v>1</v>
      </c>
      <c r="J11" s="12">
        <f t="shared" si="1"/>
        <v>3.7681660899653986</v>
      </c>
      <c r="K11" s="3">
        <v>10</v>
      </c>
      <c r="L11" s="5">
        <v>10</v>
      </c>
      <c r="M11" s="12">
        <f t="shared" si="18"/>
        <v>1</v>
      </c>
      <c r="N11" s="12">
        <f t="shared" si="2"/>
        <v>3.7681660899653986</v>
      </c>
      <c r="O11" s="3">
        <v>10</v>
      </c>
      <c r="P11" s="5">
        <v>10</v>
      </c>
      <c r="Q11" s="12">
        <f t="shared" si="19"/>
        <v>1</v>
      </c>
      <c r="R11" s="12">
        <f t="shared" si="3"/>
        <v>3.7681660899653986</v>
      </c>
      <c r="S11" s="3">
        <v>10</v>
      </c>
      <c r="T11" s="3">
        <v>10</v>
      </c>
      <c r="U11" s="12">
        <f t="shared" si="20"/>
        <v>1</v>
      </c>
      <c r="V11" s="12">
        <f t="shared" si="4"/>
        <v>3.7681660899653986</v>
      </c>
      <c r="W11" s="3">
        <v>8</v>
      </c>
      <c r="X11" s="3">
        <v>8</v>
      </c>
      <c r="Y11" s="12">
        <f t="shared" si="21"/>
        <v>1</v>
      </c>
      <c r="Z11" s="12">
        <f t="shared" si="5"/>
        <v>3.4602076124567228E-3</v>
      </c>
      <c r="AA11" s="3">
        <v>9</v>
      </c>
      <c r="AB11" s="3">
        <v>9</v>
      </c>
      <c r="AC11" s="12">
        <f t="shared" si="22"/>
        <v>1</v>
      </c>
      <c r="AD11" s="12">
        <f t="shared" si="6"/>
        <v>0.8858131487889277</v>
      </c>
      <c r="AE11" s="3">
        <v>9</v>
      </c>
      <c r="AF11" s="5">
        <v>9</v>
      </c>
      <c r="AG11" s="12">
        <f t="shared" si="23"/>
        <v>1</v>
      </c>
      <c r="AH11" s="12">
        <f t="shared" si="7"/>
        <v>0.8858131487889277</v>
      </c>
      <c r="AI11" s="3">
        <v>9</v>
      </c>
      <c r="AJ11" s="3">
        <v>9</v>
      </c>
      <c r="AK11" s="12">
        <f t="shared" si="24"/>
        <v>1</v>
      </c>
      <c r="AL11" s="12">
        <f t="shared" si="8"/>
        <v>0.8858131487889277</v>
      </c>
      <c r="AM11" s="3">
        <v>10</v>
      </c>
      <c r="AN11" s="3">
        <v>10</v>
      </c>
      <c r="AO11" s="12">
        <f t="shared" si="25"/>
        <v>1</v>
      </c>
      <c r="AP11" s="12">
        <f t="shared" si="9"/>
        <v>3.7681660899653986</v>
      </c>
      <c r="AQ11" s="3">
        <v>9</v>
      </c>
      <c r="AR11" s="5">
        <v>8</v>
      </c>
      <c r="AS11" s="12">
        <f t="shared" si="26"/>
        <v>0.88888888888888884</v>
      </c>
      <c r="AT11" s="12">
        <f t="shared" si="10"/>
        <v>3.4602076124567228E-3</v>
      </c>
      <c r="AU11" s="3">
        <v>3</v>
      </c>
      <c r="AV11" s="3">
        <v>3</v>
      </c>
      <c r="AW11" s="12">
        <f t="shared" si="27"/>
        <v>1</v>
      </c>
      <c r="AX11" s="12">
        <f t="shared" si="11"/>
        <v>25.591695501730101</v>
      </c>
      <c r="AY11" s="3">
        <v>9</v>
      </c>
      <c r="AZ11" s="3">
        <v>9</v>
      </c>
      <c r="BA11" s="12">
        <f t="shared" si="28"/>
        <v>1</v>
      </c>
      <c r="BB11" s="12">
        <f t="shared" si="12"/>
        <v>0.8858131487889277</v>
      </c>
      <c r="BC11" s="3">
        <v>3</v>
      </c>
      <c r="BD11" s="3">
        <v>3</v>
      </c>
      <c r="BE11" s="12">
        <f t="shared" si="29"/>
        <v>1</v>
      </c>
      <c r="BF11" s="12">
        <f t="shared" si="13"/>
        <v>25.591695501730101</v>
      </c>
      <c r="BG11" s="3">
        <v>10</v>
      </c>
      <c r="BH11" s="3">
        <v>10</v>
      </c>
      <c r="BI11" s="12">
        <f t="shared" si="30"/>
        <v>1</v>
      </c>
      <c r="BJ11" s="12">
        <f t="shared" si="14"/>
        <v>3.7681660899653986</v>
      </c>
      <c r="BK11" s="3">
        <v>9</v>
      </c>
      <c r="BL11" s="3">
        <v>9</v>
      </c>
      <c r="BM11" s="12">
        <f t="shared" si="31"/>
        <v>1</v>
      </c>
      <c r="BN11" s="12">
        <f t="shared" si="15"/>
        <v>0.8858131487889277</v>
      </c>
      <c r="BO11" s="4">
        <f>COUNT(C11,G11,K11,O11,S11,W11,AA11,AE11,AI11,AM11,AQ11,AU11,AY11,BC11,BG11,BK11,#REF!,#REF!,#REF!,#REF!,#REF!,#REF!,#REF!,#REF!,#REF!,#REF!,#REF!,#REF!,#REF!,#REF!,#REF!,#REF!,#REF!,#REF!,#REF!,#REF!,#REF!,#REF!,#REF!,#REF!,#REF!,#REF!,#REF!,#REF!,#REF!)</f>
        <v>16</v>
      </c>
      <c r="BP11" s="15">
        <f t="shared" si="32"/>
        <v>99.305555555555557</v>
      </c>
      <c r="BQ11" s="15">
        <f t="shared" si="33"/>
        <v>8.0588235294117645</v>
      </c>
      <c r="BR11" s="15">
        <f t="shared" si="34"/>
        <v>2.2637985195295585</v>
      </c>
      <c r="BS11" s="19">
        <f t="shared" si="35"/>
        <v>99.305555555555557</v>
      </c>
      <c r="BT11" s="20" t="s">
        <v>3</v>
      </c>
      <c r="BU11" s="25">
        <f t="shared" si="36"/>
        <v>2.2637985195295585</v>
      </c>
      <c r="BV11" s="4" t="str">
        <f t="shared" si="37"/>
        <v>отлично</v>
      </c>
    </row>
    <row r="12" spans="1:74" ht="15" hidden="1" customHeight="1" x14ac:dyDescent="0.25">
      <c r="B12" s="27" t="s">
        <v>7</v>
      </c>
      <c r="C12" s="13">
        <f>SUM(C3:C11)</f>
        <v>90</v>
      </c>
      <c r="D12" s="13">
        <f>SUM(D3:D11)</f>
        <v>90</v>
      </c>
      <c r="E12" s="8">
        <f t="shared" si="16"/>
        <v>1</v>
      </c>
      <c r="F12" s="12" t="e">
        <f>POWER(D12-#REF!,2)</f>
        <v>#REF!</v>
      </c>
      <c r="G12" s="13">
        <f>SUM(G3:G11)</f>
        <v>82</v>
      </c>
      <c r="H12" s="13">
        <f>SUM(H3:H11)</f>
        <v>82</v>
      </c>
      <c r="I12" s="12">
        <f t="shared" si="17"/>
        <v>1</v>
      </c>
      <c r="J12" s="12" t="e">
        <f>POWER(H12-#REF!,2)</f>
        <v>#REF!</v>
      </c>
      <c r="K12" s="13"/>
      <c r="L12" s="13"/>
      <c r="M12" s="12" t="e">
        <f t="shared" si="18"/>
        <v>#DIV/0!</v>
      </c>
      <c r="N12" s="12" t="e">
        <f>POWER(L12-#REF!,2)</f>
        <v>#REF!</v>
      </c>
      <c r="O12" s="13"/>
      <c r="P12" s="5">
        <v>10</v>
      </c>
      <c r="Q12" s="12" t="e">
        <f t="shared" si="19"/>
        <v>#DIV/0!</v>
      </c>
      <c r="R12" s="12" t="e">
        <f>POWER(P12-#REF!,2)</f>
        <v>#REF!</v>
      </c>
      <c r="S12" s="3">
        <v>10</v>
      </c>
      <c r="T12" s="13"/>
      <c r="U12" s="12">
        <f t="shared" si="20"/>
        <v>0</v>
      </c>
      <c r="V12" s="12" t="e">
        <f>POWER(T12-#REF!,2)</f>
        <v>#REF!</v>
      </c>
      <c r="W12" s="3">
        <v>10</v>
      </c>
      <c r="Y12" s="12">
        <f t="shared" si="21"/>
        <v>0</v>
      </c>
      <c r="Z12" s="12" t="e">
        <f>POWER(X12-#REF!,2)</f>
        <v>#REF!</v>
      </c>
      <c r="AC12" s="12" t="e">
        <f t="shared" si="22"/>
        <v>#DIV/0!</v>
      </c>
      <c r="AD12" s="12" t="e">
        <f>POWER(AB12-#REF!,2)</f>
        <v>#REF!</v>
      </c>
      <c r="AE12" s="3">
        <v>10</v>
      </c>
      <c r="AG12" s="12">
        <f t="shared" si="23"/>
        <v>0</v>
      </c>
      <c r="AH12" s="12" t="e">
        <f>POWER(AF12-#REF!,2)</f>
        <v>#REF!</v>
      </c>
      <c r="AK12" s="12" t="e">
        <f t="shared" si="24"/>
        <v>#DIV/0!</v>
      </c>
      <c r="AL12" s="12" t="e">
        <f>POWER(AJ12-#REF!,2)</f>
        <v>#REF!</v>
      </c>
      <c r="AO12" s="12" t="e">
        <f t="shared" si="25"/>
        <v>#DIV/0!</v>
      </c>
      <c r="AP12" s="12" t="e">
        <f>POWER(AN12-#REF!,2)</f>
        <v>#REF!</v>
      </c>
      <c r="AS12" s="12" t="e">
        <f t="shared" si="26"/>
        <v>#DIV/0!</v>
      </c>
      <c r="AT12" s="12" t="e">
        <f>POWER(AR12-#REF!,2)</f>
        <v>#REF!</v>
      </c>
      <c r="BJ12" s="12" t="e">
        <f t="shared" si="14"/>
        <v>#REF!</v>
      </c>
      <c r="BO12" s="18"/>
      <c r="BP12" s="15" t="e">
        <f>(E12+I12+M12+Q12+U12+Y12+AC12+AG12+AK12+AO12+AS12+AW12+BA12+BE12+BI12+BM12+#REF!+#REF!+#REF!+#REF!+#REF!+#REF!+#REF!+#REF!+#REF!+#REF!+#REF!+#REF!+#REF!+#REF!+#REF!+#REF!+#REF!+#REF!+#REF!+#REF!+#REF!+#REF!+#REF!+#REF!+#REF!)*100/BO12</f>
        <v>#DIV/0!</v>
      </c>
      <c r="BQ12" s="15" t="e">
        <f>AVERAGE(D12,H12,L12,P12,T12,X12,AB12,AF12,AJ12,AN12,AR12,AV12,AZ12,BD12,BH12,BL12,#REF!,#REF!,#REF!,#REF!,#REF!,#REF!,#REF!,#REF!,#REF!,#REF!,#REF!,#REF!,#REF!,#REF!,#REF!,#REF!,#REF!,#REF!,#REF!,#REF!,#REF!,#REF!,#REF!,#REF!,#REF!,#REF!,#REF!,#REF!,#REF!)</f>
        <v>#REF!</v>
      </c>
      <c r="BR12" s="18"/>
      <c r="BS12" s="18"/>
      <c r="BT12" s="18"/>
      <c r="BU12" s="18"/>
    </row>
    <row r="13" spans="1:74" ht="15" hidden="1" customHeight="1" x14ac:dyDescent="0.25">
      <c r="B13" s="27" t="s">
        <v>8</v>
      </c>
      <c r="C13" s="14">
        <f>AVERAGE(C3:C11)</f>
        <v>10</v>
      </c>
      <c r="D13" s="14">
        <f>AVERAGE(D3:D11)</f>
        <v>10</v>
      </c>
      <c r="E13" s="8">
        <f t="shared" si="16"/>
        <v>1</v>
      </c>
      <c r="F13" s="12" t="e">
        <f>POWER(D13-#REF!,2)</f>
        <v>#REF!</v>
      </c>
      <c r="G13" s="14"/>
      <c r="H13" s="14"/>
      <c r="I13" s="12" t="e">
        <f t="shared" si="17"/>
        <v>#DIV/0!</v>
      </c>
      <c r="J13" s="12" t="e">
        <f>POWER(H13-#REF!,2)</f>
        <v>#REF!</v>
      </c>
      <c r="K13" s="14"/>
      <c r="L13" s="14"/>
      <c r="M13" s="12" t="e">
        <f t="shared" si="18"/>
        <v>#DIV/0!</v>
      </c>
      <c r="N13" s="12" t="e">
        <f>POWER(L13-#REF!,2)</f>
        <v>#REF!</v>
      </c>
      <c r="O13" s="14"/>
      <c r="P13" s="5">
        <v>10</v>
      </c>
      <c r="Q13" s="12" t="e">
        <f t="shared" si="19"/>
        <v>#DIV/0!</v>
      </c>
      <c r="R13" s="12" t="e">
        <f>POWER(P13-#REF!,2)</f>
        <v>#REF!</v>
      </c>
      <c r="S13" s="3">
        <v>10</v>
      </c>
      <c r="T13" s="14"/>
      <c r="U13" s="12">
        <f t="shared" si="20"/>
        <v>0</v>
      </c>
      <c r="V13" s="12" t="e">
        <f>POWER(T13-#REF!,2)</f>
        <v>#REF!</v>
      </c>
      <c r="W13" s="3">
        <v>10</v>
      </c>
      <c r="Y13" s="12">
        <f t="shared" si="21"/>
        <v>0</v>
      </c>
      <c r="Z13" s="12" t="e">
        <f>POWER(X13-#REF!,2)</f>
        <v>#REF!</v>
      </c>
      <c r="AC13" s="12" t="e">
        <f t="shared" si="22"/>
        <v>#DIV/0!</v>
      </c>
      <c r="AD13" s="12" t="e">
        <f>POWER(AB13-#REF!,2)</f>
        <v>#REF!</v>
      </c>
      <c r="AE13" s="3">
        <v>10</v>
      </c>
      <c r="AG13" s="12">
        <f t="shared" si="23"/>
        <v>0</v>
      </c>
      <c r="AH13" s="12" t="e">
        <f>POWER(AF13-#REF!,2)</f>
        <v>#REF!</v>
      </c>
      <c r="AK13" s="12" t="e">
        <f t="shared" si="24"/>
        <v>#DIV/0!</v>
      </c>
      <c r="AL13" s="12" t="e">
        <f>POWER(AJ13-#REF!,2)</f>
        <v>#REF!</v>
      </c>
      <c r="AO13" s="12" t="e">
        <f t="shared" si="25"/>
        <v>#DIV/0!</v>
      </c>
      <c r="AP13" s="12" t="e">
        <f>POWER(AN13-#REF!,2)</f>
        <v>#REF!</v>
      </c>
      <c r="AS13" s="12" t="e">
        <f t="shared" si="26"/>
        <v>#DIV/0!</v>
      </c>
      <c r="AT13" s="12" t="e">
        <f>POWER(AR13-#REF!,2)</f>
        <v>#REF!</v>
      </c>
      <c r="BJ13" s="12" t="e">
        <f t="shared" si="14"/>
        <v>#REF!</v>
      </c>
      <c r="BO13" s="18"/>
      <c r="BP13" s="15" t="e">
        <f>(E13+I13+M13+Q13+U13+Y13+AC13+AG13+AK13+AO13+AS13+AW13+BA13+BE13+BI13+BM13+#REF!+#REF!+#REF!+#REF!+#REF!+#REF!+#REF!+#REF!+#REF!+#REF!+#REF!+#REF!+#REF!+#REF!+#REF!+#REF!+#REF!+#REF!+#REF!+#REF!+#REF!+#REF!+#REF!+#REF!+#REF!)*100/BO13</f>
        <v>#DIV/0!</v>
      </c>
      <c r="BQ13" s="15" t="e">
        <f>AVERAGE(D13,H13,L13,P13,T13,X13,AB13,AF13,AJ13,AN13,AR13,AV13,AZ13,BD13,BH13,BL13,#REF!,#REF!,#REF!,#REF!,#REF!,#REF!,#REF!,#REF!,#REF!,#REF!,#REF!,#REF!,#REF!,#REF!,#REF!,#REF!,#REF!,#REF!,#REF!,#REF!,#REF!,#REF!,#REF!,#REF!,#REF!,#REF!,#REF!,#REF!,#REF!)</f>
        <v>#REF!</v>
      </c>
      <c r="BR13" s="18"/>
      <c r="BS13" s="18"/>
      <c r="BT13" s="18"/>
      <c r="BU13" s="18"/>
    </row>
    <row r="14" spans="1:74" ht="15" hidden="1" customHeight="1" x14ac:dyDescent="0.25">
      <c r="B14" s="28" t="s">
        <v>9</v>
      </c>
      <c r="E14" s="8" t="e">
        <f t="shared" si="16"/>
        <v>#DIV/0!</v>
      </c>
      <c r="F14" s="12" t="e">
        <f>POWER(D14-#REF!,2)</f>
        <v>#REF!</v>
      </c>
      <c r="I14" s="12" t="e">
        <f t="shared" si="17"/>
        <v>#DIV/0!</v>
      </c>
      <c r="J14" s="12" t="e">
        <f>POWER(H14-#REF!,2)</f>
        <v>#REF!</v>
      </c>
      <c r="M14" s="12" t="e">
        <f t="shared" si="18"/>
        <v>#DIV/0!</v>
      </c>
      <c r="N14" s="12" t="e">
        <f>POWER(L14-#REF!,2)</f>
        <v>#REF!</v>
      </c>
      <c r="P14" s="5">
        <v>10</v>
      </c>
      <c r="Q14" s="12" t="e">
        <f t="shared" si="19"/>
        <v>#DIV/0!</v>
      </c>
      <c r="R14" s="12" t="e">
        <f>POWER(P14-#REF!,2)</f>
        <v>#REF!</v>
      </c>
      <c r="S14" s="3">
        <v>10</v>
      </c>
      <c r="U14" s="12">
        <f t="shared" si="20"/>
        <v>0</v>
      </c>
      <c r="V14" s="12" t="e">
        <f>POWER(T14-#REF!,2)</f>
        <v>#REF!</v>
      </c>
      <c r="W14" s="47">
        <v>10</v>
      </c>
      <c r="Y14" s="29">
        <f t="shared" si="21"/>
        <v>0</v>
      </c>
      <c r="Z14" s="29" t="e">
        <f>POWER(X14-#REF!,2)</f>
        <v>#REF!</v>
      </c>
      <c r="AC14" s="29" t="e">
        <f t="shared" si="22"/>
        <v>#DIV/0!</v>
      </c>
      <c r="AD14" s="12" t="e">
        <f>POWER(AB14-#REF!,2)</f>
        <v>#REF!</v>
      </c>
      <c r="AE14" s="3">
        <v>10</v>
      </c>
      <c r="AG14" s="12">
        <f t="shared" si="23"/>
        <v>0</v>
      </c>
      <c r="AH14" s="12" t="e">
        <f>POWER(AF14-#REF!,2)</f>
        <v>#REF!</v>
      </c>
      <c r="AK14" s="12" t="e">
        <f t="shared" si="24"/>
        <v>#DIV/0!</v>
      </c>
      <c r="AL14" s="12" t="e">
        <f>POWER(AJ14-#REF!,2)</f>
        <v>#REF!</v>
      </c>
      <c r="AO14" s="12" t="e">
        <f t="shared" si="25"/>
        <v>#DIV/0!</v>
      </c>
      <c r="AP14" s="12" t="e">
        <f>POWER(AN14-#REF!,2)</f>
        <v>#REF!</v>
      </c>
      <c r="AS14" s="12" t="e">
        <f t="shared" si="26"/>
        <v>#DIV/0!</v>
      </c>
      <c r="AT14" s="12" t="e">
        <f>POWER(AR14-#REF!,2)</f>
        <v>#REF!</v>
      </c>
      <c r="BJ14" s="12" t="e">
        <f t="shared" si="14"/>
        <v>#REF!</v>
      </c>
      <c r="BO14" s="18"/>
      <c r="BP14" s="15" t="e">
        <f>(E14+I14+M14+Q14+U14+Y14+AC14+AG14+AK14+AO14+AS14+AW14+BA14+BE14+BI14+BM14+#REF!+#REF!+#REF!+#REF!+#REF!+#REF!+#REF!+#REF!+#REF!+#REF!+#REF!+#REF!+#REF!+#REF!+#REF!+#REF!+#REF!+#REF!+#REF!+#REF!+#REF!+#REF!+#REF!+#REF!+#REF!)*100/BO14</f>
        <v>#DIV/0!</v>
      </c>
      <c r="BQ14" s="15" t="e">
        <f>AVERAGE(D14,H14,L14,P14,T14,X14,AB14,AF14,AJ14,AN14,AR14,AV14,AZ14,BD14,BH14,BL14,#REF!,#REF!,#REF!,#REF!,#REF!,#REF!,#REF!,#REF!,#REF!,#REF!,#REF!,#REF!,#REF!,#REF!,#REF!,#REF!,#REF!,#REF!,#REF!,#REF!,#REF!,#REF!,#REF!,#REF!,#REF!,#REF!,#REF!,#REF!,#REF!)</f>
        <v>#REF!</v>
      </c>
      <c r="BR14" s="18"/>
      <c r="BS14" s="18"/>
      <c r="BT14" s="18"/>
      <c r="BU14" s="18"/>
    </row>
    <row r="15" spans="1:74" ht="43.5" customHeight="1" x14ac:dyDescent="0.25">
      <c r="W15" s="32"/>
      <c r="X15" s="32"/>
      <c r="Y15" s="32"/>
      <c r="Z15" s="32"/>
      <c r="AA15" s="32"/>
      <c r="AB15" s="32"/>
      <c r="AC15" s="32"/>
      <c r="BO15" s="2"/>
      <c r="BP15" s="2"/>
      <c r="BQ15" s="2"/>
      <c r="BR15" s="2"/>
      <c r="BS15" s="2"/>
      <c r="BT15" s="2"/>
      <c r="BU15" s="2"/>
    </row>
    <row r="16" spans="1:74" x14ac:dyDescent="0.25">
      <c r="W16" s="32"/>
      <c r="X16" s="32"/>
      <c r="Y16" s="32"/>
      <c r="Z16" s="32"/>
      <c r="AA16" s="32"/>
      <c r="AB16" s="32"/>
      <c r="AC16" s="32"/>
      <c r="BS16" s="38">
        <f>AVERAGE(BS3:BS11)</f>
        <v>98.71252204585538</v>
      </c>
      <c r="BT16" s="39" t="s">
        <v>3</v>
      </c>
      <c r="BU16" s="40">
        <f>AVERAGE(BU3:BU11)</f>
        <v>2.4421657255133744</v>
      </c>
      <c r="BV16" s="41" t="str">
        <f>IF(BS16&lt;40,"неудовлетворительно",IF((BS16&gt;=40)*AND(BS16&lt;60),"удовлетворительно",IF((BS16&gt;=60)*AND(BS16&lt;80),"хорошо","отлично")))</f>
        <v>отлично</v>
      </c>
    </row>
    <row r="17" spans="1:73" x14ac:dyDescent="0.25"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pans="1:73" ht="15.75" x14ac:dyDescent="0.25">
      <c r="V18" s="32"/>
      <c r="W18" s="32"/>
      <c r="X18" s="48"/>
      <c r="Y18" s="48"/>
      <c r="Z18" s="48"/>
      <c r="AA18" s="82"/>
      <c r="AB18" s="82"/>
      <c r="AC18" s="82"/>
      <c r="AD18" s="78"/>
      <c r="AE18" s="32"/>
    </row>
    <row r="19" spans="1:73" x14ac:dyDescent="0.25">
      <c r="V19" s="32"/>
      <c r="W19" s="32"/>
      <c r="X19" s="33"/>
      <c r="Y19" s="32"/>
      <c r="Z19" s="32"/>
      <c r="AA19" s="34"/>
      <c r="AB19" s="35"/>
      <c r="AC19" s="36"/>
      <c r="AD19" s="32"/>
      <c r="AE19" s="32"/>
    </row>
    <row r="20" spans="1:73" x14ac:dyDescent="0.25">
      <c r="V20" s="32"/>
      <c r="W20" s="32"/>
      <c r="X20" s="33"/>
      <c r="Y20" s="32"/>
      <c r="Z20" s="32"/>
      <c r="AA20" s="34"/>
      <c r="AB20" s="35"/>
      <c r="AC20" s="36"/>
      <c r="AD20" s="32"/>
      <c r="AE20" s="32"/>
    </row>
    <row r="21" spans="1:73" x14ac:dyDescent="0.25">
      <c r="V21" s="32"/>
      <c r="W21" s="32"/>
      <c r="X21" s="33"/>
      <c r="Y21" s="32"/>
      <c r="Z21" s="32"/>
      <c r="AA21" s="34"/>
      <c r="AB21" s="35"/>
      <c r="AC21" s="36"/>
      <c r="AD21" s="32"/>
      <c r="AE21" s="32"/>
    </row>
    <row r="22" spans="1:73" x14ac:dyDescent="0.25">
      <c r="V22" s="32"/>
      <c r="W22" s="32"/>
      <c r="X22" s="33"/>
      <c r="Y22" s="32"/>
      <c r="Z22" s="32"/>
      <c r="AA22" s="34"/>
      <c r="AB22" s="35"/>
      <c r="AC22" s="36"/>
      <c r="AD22" s="32"/>
      <c r="AE22" s="32"/>
    </row>
    <row r="23" spans="1:73" x14ac:dyDescent="0.25">
      <c r="V23" s="32"/>
      <c r="W23" s="32"/>
      <c r="X23" s="33"/>
      <c r="Y23" s="32"/>
      <c r="Z23" s="32"/>
      <c r="AA23" s="34"/>
      <c r="AB23" s="35"/>
      <c r="AC23" s="36"/>
      <c r="AD23" s="32"/>
      <c r="AE23" s="32"/>
    </row>
    <row r="24" spans="1:73" x14ac:dyDescent="0.25">
      <c r="V24" s="32"/>
      <c r="W24" s="32"/>
      <c r="X24" s="33"/>
      <c r="Y24" s="32"/>
      <c r="Z24" s="32"/>
      <c r="AA24" s="34"/>
      <c r="AB24" s="35"/>
      <c r="AC24" s="36"/>
      <c r="AD24" s="32"/>
      <c r="AE24" s="32"/>
    </row>
    <row r="25" spans="1:73" x14ac:dyDescent="0.25">
      <c r="V25" s="32"/>
      <c r="W25" s="32"/>
      <c r="X25" s="33"/>
      <c r="Y25" s="32"/>
      <c r="Z25" s="32"/>
      <c r="AA25" s="34"/>
      <c r="AB25" s="35"/>
      <c r="AC25" s="36"/>
      <c r="AD25" s="32"/>
      <c r="AE25" s="32"/>
    </row>
    <row r="26" spans="1:73" x14ac:dyDescent="0.25">
      <c r="V26" s="32"/>
      <c r="W26" s="32"/>
      <c r="X26" s="33"/>
      <c r="Y26" s="32"/>
      <c r="Z26" s="32"/>
      <c r="AA26" s="34"/>
      <c r="AB26" s="35"/>
      <c r="AC26" s="36"/>
      <c r="AD26" s="32"/>
      <c r="AE26" s="32"/>
    </row>
    <row r="27" spans="1:73" x14ac:dyDescent="0.25">
      <c r="V27" s="32"/>
      <c r="W27" s="32"/>
      <c r="X27" s="33"/>
      <c r="Y27" s="32"/>
      <c r="Z27" s="32"/>
      <c r="AA27" s="34"/>
      <c r="AB27" s="35"/>
      <c r="AC27" s="36"/>
      <c r="AD27" s="32"/>
      <c r="AE27" s="32"/>
    </row>
    <row r="28" spans="1:73" ht="19.5" x14ac:dyDescent="0.35">
      <c r="A28" s="83"/>
      <c r="B28" s="84"/>
      <c r="V28" s="32"/>
      <c r="W28" s="32"/>
      <c r="X28" s="33"/>
      <c r="Y28" s="32"/>
      <c r="Z28" s="32"/>
      <c r="AA28" s="34"/>
      <c r="AB28" s="35"/>
      <c r="AC28" s="36"/>
      <c r="AD28" s="32"/>
      <c r="AE28" s="32"/>
      <c r="BO28" s="51"/>
      <c r="BP28" s="51"/>
      <c r="BQ28" s="51"/>
      <c r="BR28" s="51"/>
      <c r="BS28" s="51"/>
      <c r="BT28" s="51"/>
      <c r="BU28" s="51"/>
    </row>
    <row r="29" spans="1:73" x14ac:dyDescent="0.25">
      <c r="V29" s="32"/>
      <c r="W29" s="32"/>
      <c r="X29" s="34"/>
      <c r="Y29" s="32"/>
      <c r="Z29" s="32"/>
      <c r="AA29" s="32"/>
      <c r="AB29" s="32"/>
      <c r="AC29" s="32"/>
      <c r="AD29" s="32"/>
      <c r="AE29" s="32"/>
    </row>
    <row r="30" spans="1:73" x14ac:dyDescent="0.25">
      <c r="V30" s="32"/>
      <c r="W30" s="32"/>
      <c r="X30" s="34"/>
      <c r="Y30" s="32"/>
      <c r="Z30" s="32"/>
      <c r="AA30" s="32"/>
      <c r="AB30" s="32"/>
      <c r="AC30" s="32"/>
      <c r="AD30" s="32"/>
      <c r="AE30" s="32"/>
    </row>
    <row r="31" spans="1:73" x14ac:dyDescent="0.25">
      <c r="V31" s="32"/>
      <c r="W31" s="79"/>
      <c r="X31" s="79"/>
      <c r="Y31" s="79"/>
      <c r="Z31" s="34"/>
      <c r="AA31" s="32"/>
      <c r="AB31" s="32"/>
      <c r="AC31" s="32"/>
      <c r="AD31" s="32"/>
      <c r="AE31" s="32"/>
    </row>
    <row r="32" spans="1:73" x14ac:dyDescent="0.25">
      <c r="V32" s="32"/>
      <c r="W32" s="79"/>
      <c r="X32" s="79"/>
      <c r="Y32" s="79"/>
      <c r="Z32" s="79"/>
      <c r="AA32" s="43"/>
      <c r="AB32" s="44"/>
      <c r="AC32" s="45"/>
      <c r="AD32" s="46"/>
      <c r="AE32" s="32"/>
    </row>
    <row r="33" spans="23:29" customFormat="1" x14ac:dyDescent="0.25">
      <c r="W33" s="32"/>
      <c r="X33" s="32"/>
      <c r="Y33" s="32"/>
      <c r="Z33" s="32"/>
      <c r="AA33" s="32"/>
      <c r="AB33" s="32"/>
      <c r="AC33" s="32"/>
    </row>
    <row r="34" spans="23:29" customFormat="1" x14ac:dyDescent="0.25">
      <c r="W34" s="32"/>
      <c r="X34" s="32"/>
      <c r="Y34" s="32"/>
      <c r="Z34" s="32"/>
      <c r="AA34" s="32"/>
      <c r="AB34" s="32"/>
      <c r="AC34" s="32"/>
    </row>
    <row r="35" spans="23:29" customFormat="1" x14ac:dyDescent="0.25">
      <c r="W35" s="32"/>
      <c r="X35" s="32"/>
      <c r="Y35" s="32"/>
      <c r="Z35" s="32"/>
      <c r="AA35" s="32"/>
      <c r="AB35" s="32"/>
      <c r="AC35" s="32"/>
    </row>
    <row r="36" spans="23:29" customFormat="1" x14ac:dyDescent="0.25">
      <c r="W36" s="32"/>
      <c r="X36" s="32"/>
      <c r="Y36" s="32"/>
      <c r="Z36" s="32"/>
      <c r="AA36" s="32"/>
      <c r="AB36" s="32"/>
      <c r="AC36" s="32"/>
    </row>
    <row r="37" spans="23:29" customFormat="1" x14ac:dyDescent="0.25">
      <c r="W37" s="37"/>
      <c r="X37" s="52"/>
      <c r="Y37" s="52"/>
      <c r="Z37" s="37"/>
      <c r="AA37" s="18"/>
      <c r="AB37" s="18"/>
      <c r="AC37" s="18"/>
    </row>
    <row r="38" spans="23:29" customFormat="1" x14ac:dyDescent="0.25">
      <c r="W38" s="37"/>
      <c r="X38" s="52"/>
      <c r="Y38" s="52"/>
      <c r="Z38" s="37"/>
      <c r="AA38" s="18"/>
      <c r="AB38" s="18"/>
      <c r="AC38" s="18"/>
    </row>
    <row r="39" spans="23:29" customFormat="1" x14ac:dyDescent="0.25">
      <c r="W39" s="37"/>
      <c r="X39" s="52"/>
      <c r="Y39" s="52"/>
      <c r="Z39" s="37"/>
      <c r="AA39" s="18"/>
      <c r="AB39" s="18"/>
      <c r="AC39" s="18"/>
    </row>
    <row r="40" spans="23:29" customFormat="1" x14ac:dyDescent="0.25">
      <c r="W40" s="37"/>
      <c r="X40" s="52"/>
      <c r="Y40" s="52"/>
      <c r="Z40" s="37"/>
      <c r="AA40" s="18"/>
      <c r="AB40" s="18"/>
      <c r="AC40" s="18"/>
    </row>
    <row r="41" spans="23:29" customFormat="1" x14ac:dyDescent="0.25">
      <c r="W41" s="37"/>
      <c r="X41" s="52"/>
      <c r="Y41" s="52"/>
      <c r="Z41" s="37"/>
      <c r="AA41" s="18"/>
      <c r="AB41" s="18"/>
      <c r="AC41" s="18"/>
    </row>
    <row r="42" spans="23:29" customFormat="1" x14ac:dyDescent="0.25">
      <c r="W42" s="37"/>
      <c r="X42" s="52"/>
      <c r="Y42" s="52"/>
      <c r="Z42" s="37"/>
      <c r="AA42" s="18"/>
      <c r="AB42" s="18"/>
      <c r="AC42" s="18"/>
    </row>
    <row r="43" spans="23:29" customFormat="1" x14ac:dyDescent="0.25">
      <c r="W43" s="37"/>
      <c r="X43" s="52"/>
      <c r="Y43" s="52"/>
      <c r="Z43" s="37"/>
      <c r="AA43" s="18"/>
      <c r="AB43" s="18"/>
      <c r="AC43" s="18"/>
    </row>
    <row r="44" spans="23:29" customFormat="1" x14ac:dyDescent="0.25">
      <c r="W44" s="37"/>
      <c r="X44" s="52"/>
      <c r="Y44" s="52"/>
      <c r="Z44" s="37"/>
      <c r="AA44" s="18"/>
      <c r="AB44" s="18"/>
      <c r="AC44" s="18"/>
    </row>
    <row r="45" spans="23:29" customFormat="1" x14ac:dyDescent="0.25">
      <c r="W45" s="37"/>
      <c r="X45" s="52"/>
      <c r="Y45" s="52"/>
      <c r="Z45" s="37"/>
      <c r="AA45" s="18"/>
      <c r="AB45" s="18"/>
      <c r="AC45" s="18"/>
    </row>
    <row r="46" spans="23:29" customFormat="1" x14ac:dyDescent="0.25">
      <c r="W46" s="37"/>
      <c r="X46" s="52"/>
      <c r="Y46" s="52"/>
      <c r="Z46" s="37"/>
      <c r="AA46" s="18"/>
      <c r="AB46" s="18"/>
      <c r="AC46" s="18"/>
    </row>
    <row r="47" spans="23:29" customFormat="1" x14ac:dyDescent="0.25">
      <c r="W47" s="37"/>
      <c r="X47" s="52"/>
      <c r="Y47" s="52"/>
      <c r="Z47" s="37"/>
      <c r="AA47" s="18"/>
      <c r="AB47" s="18"/>
      <c r="AC47" s="18"/>
    </row>
    <row r="48" spans="23:29" customFormat="1" x14ac:dyDescent="0.25">
      <c r="W48" s="37"/>
      <c r="X48" s="52"/>
      <c r="Y48" s="52"/>
      <c r="Z48" s="37"/>
      <c r="AA48" s="18"/>
      <c r="AB48" s="18"/>
      <c r="AC48" s="18"/>
    </row>
    <row r="49" spans="23:29" customFormat="1" x14ac:dyDescent="0.25">
      <c r="W49" s="37"/>
      <c r="X49" s="52"/>
      <c r="Y49" s="52"/>
      <c r="Z49" s="37"/>
      <c r="AA49" s="18"/>
      <c r="AB49" s="18"/>
      <c r="AC49" s="18"/>
    </row>
    <row r="50" spans="23:29" customFormat="1" x14ac:dyDescent="0.25">
      <c r="W50" s="37"/>
      <c r="X50" s="52"/>
      <c r="Y50" s="52"/>
      <c r="Z50" s="37"/>
      <c r="AA50" s="18"/>
      <c r="AB50" s="18"/>
      <c r="AC50" s="18"/>
    </row>
    <row r="51" spans="23:29" customFormat="1" x14ac:dyDescent="0.25">
      <c r="W51" s="37"/>
      <c r="X51" s="52"/>
      <c r="Y51" s="52"/>
      <c r="Z51" s="37"/>
      <c r="AA51" s="18"/>
      <c r="AB51" s="18"/>
      <c r="AC51" s="18"/>
    </row>
    <row r="52" spans="23:29" customFormat="1" x14ac:dyDescent="0.25">
      <c r="W52" s="37"/>
      <c r="X52" s="52"/>
      <c r="Y52" s="52"/>
      <c r="Z52" s="37"/>
      <c r="AA52" s="18"/>
      <c r="AB52" s="18"/>
      <c r="AC52" s="18"/>
    </row>
    <row r="53" spans="23:29" customFormat="1" x14ac:dyDescent="0.25">
      <c r="W53" s="37"/>
      <c r="X53" s="52"/>
      <c r="Y53" s="52"/>
      <c r="Z53" s="37"/>
      <c r="AA53" s="18"/>
      <c r="AB53" s="18"/>
      <c r="AC53" s="18"/>
    </row>
    <row r="54" spans="23:29" customFormat="1" x14ac:dyDescent="0.25">
      <c r="W54" s="37"/>
      <c r="X54" s="52"/>
      <c r="Y54" s="52"/>
      <c r="Z54" s="37"/>
      <c r="AA54" s="18"/>
      <c r="AB54" s="18"/>
      <c r="AC54" s="18"/>
    </row>
    <row r="55" spans="23:29" customFormat="1" x14ac:dyDescent="0.25">
      <c r="W55" s="37"/>
      <c r="X55" s="52"/>
      <c r="Y55" s="52"/>
      <c r="Z55" s="37"/>
      <c r="AA55" s="18"/>
      <c r="AB55" s="18"/>
      <c r="AC55" s="18"/>
    </row>
    <row r="56" spans="23:29" customFormat="1" x14ac:dyDescent="0.25">
      <c r="W56" s="37"/>
      <c r="X56" s="52"/>
      <c r="Y56" s="52"/>
      <c r="Z56" s="37"/>
      <c r="AA56" s="18"/>
      <c r="AB56" s="18"/>
      <c r="AC56" s="18"/>
    </row>
    <row r="57" spans="23:29" customFormat="1" x14ac:dyDescent="0.25">
      <c r="W57" s="37"/>
      <c r="X57" s="52"/>
      <c r="Y57" s="52"/>
      <c r="Z57" s="37"/>
      <c r="AA57" s="18"/>
      <c r="AB57" s="18"/>
      <c r="AC57" s="18"/>
    </row>
    <row r="58" spans="23:29" customFormat="1" x14ac:dyDescent="0.25">
      <c r="W58" s="37"/>
      <c r="X58" s="52"/>
      <c r="Y58" s="52"/>
      <c r="Z58" s="37"/>
      <c r="AA58" s="18"/>
      <c r="AB58" s="18"/>
      <c r="AC58" s="18"/>
    </row>
    <row r="59" spans="23:29" customFormat="1" x14ac:dyDescent="0.25">
      <c r="W59" s="37"/>
      <c r="X59" s="52"/>
      <c r="Y59" s="52"/>
      <c r="Z59" s="37"/>
      <c r="AA59" s="18"/>
      <c r="AB59" s="18"/>
      <c r="AC59" s="18"/>
    </row>
    <row r="60" spans="23:29" customFormat="1" x14ac:dyDescent="0.25">
      <c r="W60" s="37"/>
      <c r="X60" s="52"/>
      <c r="Y60" s="52"/>
      <c r="Z60" s="37"/>
      <c r="AA60" s="18"/>
      <c r="AB60" s="18"/>
      <c r="AC60" s="18"/>
    </row>
    <row r="61" spans="23:29" customFormat="1" x14ac:dyDescent="0.25">
      <c r="W61" s="37"/>
      <c r="X61" s="52"/>
      <c r="Y61" s="52"/>
      <c r="Z61" s="37"/>
      <c r="AA61" s="18"/>
      <c r="AB61" s="18"/>
      <c r="AC61" s="18"/>
    </row>
    <row r="62" spans="23:29" customFormat="1" x14ac:dyDescent="0.25">
      <c r="W62" s="37"/>
      <c r="X62" s="52"/>
      <c r="Y62" s="52"/>
      <c r="Z62" s="37"/>
      <c r="AA62" s="18"/>
      <c r="AB62" s="18"/>
      <c r="AC62" s="18"/>
    </row>
    <row r="63" spans="23:29" customFormat="1" x14ac:dyDescent="0.25">
      <c r="W63" s="37"/>
      <c r="X63" s="52"/>
      <c r="Y63" s="52"/>
      <c r="Z63" s="37"/>
      <c r="AA63" s="18"/>
      <c r="AB63" s="18"/>
      <c r="AC63" s="18"/>
    </row>
    <row r="64" spans="23:29" customFormat="1" x14ac:dyDescent="0.25">
      <c r="W64" s="37"/>
      <c r="X64" s="52"/>
      <c r="Y64" s="52"/>
      <c r="Z64" s="37"/>
      <c r="AA64" s="18"/>
      <c r="AB64" s="18"/>
      <c r="AC64" s="18"/>
    </row>
    <row r="65" spans="23:29" customFormat="1" x14ac:dyDescent="0.25">
      <c r="W65" s="37"/>
      <c r="X65" s="52"/>
      <c r="Y65" s="52"/>
      <c r="Z65" s="37"/>
      <c r="AA65" s="18"/>
      <c r="AB65" s="18"/>
      <c r="AC65" s="18"/>
    </row>
    <row r="66" spans="23:29" customFormat="1" x14ac:dyDescent="0.25">
      <c r="W66" s="37"/>
      <c r="X66" s="52"/>
      <c r="Y66" s="52"/>
      <c r="Z66" s="37"/>
      <c r="AA66" s="18"/>
      <c r="AB66" s="18"/>
      <c r="AC66" s="18"/>
    </row>
    <row r="67" spans="23:29" customFormat="1" x14ac:dyDescent="0.25">
      <c r="W67" s="37"/>
      <c r="X67" s="52"/>
      <c r="Y67" s="52"/>
      <c r="Z67" s="37"/>
      <c r="AA67" s="18"/>
      <c r="AB67" s="18"/>
      <c r="AC67" s="18"/>
    </row>
    <row r="68" spans="23:29" customFormat="1" x14ac:dyDescent="0.25">
      <c r="W68" s="37"/>
      <c r="X68" s="52"/>
      <c r="Y68" s="52"/>
      <c r="Z68" s="37"/>
      <c r="AA68" s="18"/>
      <c r="AB68" s="18"/>
      <c r="AC68" s="18"/>
    </row>
    <row r="69" spans="23:29" customFormat="1" x14ac:dyDescent="0.25">
      <c r="W69" s="37"/>
      <c r="X69" s="52"/>
      <c r="Y69" s="52"/>
      <c r="Z69" s="37"/>
      <c r="AA69" s="18"/>
      <c r="AB69" s="18"/>
      <c r="AC69" s="18"/>
    </row>
    <row r="70" spans="23:29" customFormat="1" x14ac:dyDescent="0.25">
      <c r="W70" s="37"/>
      <c r="X70" s="52"/>
      <c r="Y70" s="52"/>
      <c r="Z70" s="37"/>
      <c r="AA70" s="18"/>
      <c r="AB70" s="18"/>
      <c r="AC70" s="18"/>
    </row>
    <row r="71" spans="23:29" customFormat="1" x14ac:dyDescent="0.25">
      <c r="W71" s="37"/>
      <c r="X71" s="52"/>
      <c r="Y71" s="52"/>
      <c r="Z71" s="37"/>
      <c r="AA71" s="18"/>
      <c r="AB71" s="18"/>
      <c r="AC71" s="18"/>
    </row>
    <row r="72" spans="23:29" customFormat="1" x14ac:dyDescent="0.25">
      <c r="W72" s="37"/>
      <c r="X72" s="52"/>
      <c r="Y72" s="52"/>
      <c r="Z72" s="37"/>
      <c r="AA72" s="18"/>
      <c r="AB72" s="18"/>
      <c r="AC72" s="18"/>
    </row>
    <row r="73" spans="23:29" customFormat="1" x14ac:dyDescent="0.25">
      <c r="W73" s="37"/>
      <c r="X73" s="52"/>
      <c r="Y73" s="52"/>
      <c r="Z73" s="37"/>
      <c r="AA73" s="18"/>
      <c r="AB73" s="18"/>
      <c r="AC73" s="18"/>
    </row>
    <row r="74" spans="23:29" customFormat="1" x14ac:dyDescent="0.25">
      <c r="W74" s="37"/>
      <c r="X74" s="52"/>
      <c r="Y74" s="52"/>
      <c r="Z74" s="37"/>
      <c r="AA74" s="18"/>
      <c r="AB74" s="18"/>
      <c r="AC74" s="18"/>
    </row>
    <row r="75" spans="23:29" customFormat="1" x14ac:dyDescent="0.25">
      <c r="W75" s="37"/>
      <c r="X75" s="52"/>
      <c r="Y75" s="52"/>
      <c r="Z75" s="37"/>
      <c r="AA75" s="18"/>
      <c r="AB75" s="18"/>
      <c r="AC75" s="18"/>
    </row>
    <row r="76" spans="23:29" customFormat="1" x14ac:dyDescent="0.25">
      <c r="W76" s="37"/>
      <c r="X76" s="52"/>
      <c r="Y76" s="52"/>
      <c r="Z76" s="37"/>
      <c r="AA76" s="18"/>
      <c r="AB76" s="18"/>
      <c r="AC76" s="18"/>
    </row>
    <row r="77" spans="23:29" customFormat="1" x14ac:dyDescent="0.25">
      <c r="W77" s="37"/>
      <c r="X77" s="52"/>
      <c r="Y77" s="52"/>
      <c r="Z77" s="37"/>
      <c r="AA77" s="18"/>
      <c r="AB77" s="18"/>
      <c r="AC77" s="18"/>
    </row>
    <row r="78" spans="23:29" customFormat="1" x14ac:dyDescent="0.25">
      <c r="W78" s="37"/>
      <c r="X78" s="52"/>
      <c r="Y78" s="52"/>
      <c r="Z78" s="37"/>
      <c r="AA78" s="18"/>
      <c r="AB78" s="18"/>
      <c r="AC78" s="18"/>
    </row>
    <row r="79" spans="23:29" customFormat="1" x14ac:dyDescent="0.25">
      <c r="W79" s="37"/>
      <c r="X79" s="52"/>
      <c r="Y79" s="52"/>
      <c r="Z79" s="37"/>
      <c r="AA79" s="18"/>
      <c r="AB79" s="18"/>
      <c r="AC79" s="18"/>
    </row>
    <row r="80" spans="23:29" customFormat="1" x14ac:dyDescent="0.25">
      <c r="W80" s="37"/>
      <c r="X80" s="52"/>
      <c r="Y80" s="52"/>
      <c r="Z80" s="37"/>
      <c r="AA80" s="18"/>
      <c r="AB80" s="18"/>
      <c r="AC80" s="18"/>
    </row>
    <row r="81" spans="23:29" customFormat="1" x14ac:dyDescent="0.25">
      <c r="W81" s="37"/>
      <c r="X81" s="52"/>
      <c r="Y81" s="52"/>
      <c r="Z81" s="37"/>
      <c r="AA81" s="18"/>
      <c r="AB81" s="18"/>
      <c r="AC81" s="18"/>
    </row>
    <row r="82" spans="23:29" customFormat="1" x14ac:dyDescent="0.25">
      <c r="W82" s="37"/>
      <c r="X82" s="52"/>
      <c r="Y82" s="52"/>
      <c r="Z82" s="37"/>
      <c r="AA82" s="18"/>
      <c r="AB82" s="18"/>
      <c r="AC82" s="18"/>
    </row>
    <row r="83" spans="23:29" customFormat="1" x14ac:dyDescent="0.25">
      <c r="W83" s="37"/>
      <c r="X83" s="52"/>
      <c r="Y83" s="52"/>
      <c r="Z83" s="37"/>
      <c r="AA83" s="18"/>
      <c r="AB83" s="18"/>
      <c r="AC83" s="18"/>
    </row>
    <row r="84" spans="23:29" customFormat="1" x14ac:dyDescent="0.25">
      <c r="W84" s="37"/>
      <c r="X84" s="52"/>
      <c r="Y84" s="52"/>
      <c r="Z84" s="37"/>
      <c r="AA84" s="18"/>
      <c r="AB84" s="18"/>
      <c r="AC84" s="18"/>
    </row>
    <row r="85" spans="23:29" customFormat="1" x14ac:dyDescent="0.25">
      <c r="W85" s="37"/>
      <c r="X85" s="52"/>
      <c r="Y85" s="52"/>
      <c r="Z85" s="37"/>
      <c r="AA85" s="18"/>
      <c r="AB85" s="18"/>
      <c r="AC85" s="18"/>
    </row>
    <row r="86" spans="23:29" customFormat="1" x14ac:dyDescent="0.25">
      <c r="W86" s="37"/>
      <c r="X86" s="52"/>
      <c r="Y86" s="52"/>
      <c r="Z86" s="37"/>
      <c r="AA86" s="18"/>
      <c r="AB86" s="18"/>
      <c r="AC86" s="18"/>
    </row>
    <row r="87" spans="23:29" customFormat="1" x14ac:dyDescent="0.25">
      <c r="W87" s="37"/>
      <c r="X87" s="52"/>
      <c r="Y87" s="52"/>
      <c r="Z87" s="37"/>
      <c r="AA87" s="18"/>
      <c r="AB87" s="18"/>
      <c r="AC87" s="18"/>
    </row>
    <row r="88" spans="23:29" customFormat="1" x14ac:dyDescent="0.25">
      <c r="W88" s="37"/>
      <c r="X88" s="52"/>
      <c r="Y88" s="52"/>
      <c r="Z88" s="37"/>
      <c r="AA88" s="18"/>
      <c r="AB88" s="18"/>
      <c r="AC88" s="18"/>
    </row>
    <row r="89" spans="23:29" customFormat="1" x14ac:dyDescent="0.25">
      <c r="W89" s="37"/>
      <c r="X89" s="52"/>
      <c r="Y89" s="52"/>
      <c r="Z89" s="37"/>
      <c r="AA89" s="18"/>
      <c r="AB89" s="18"/>
      <c r="AC89" s="18"/>
    </row>
    <row r="90" spans="23:29" customFormat="1" x14ac:dyDescent="0.25">
      <c r="W90" s="37"/>
      <c r="X90" s="52"/>
      <c r="Y90" s="52"/>
      <c r="Z90" s="37"/>
      <c r="AA90" s="18"/>
      <c r="AB90" s="18"/>
      <c r="AC90" s="18"/>
    </row>
    <row r="91" spans="23:29" customFormat="1" x14ac:dyDescent="0.25">
      <c r="W91" s="37"/>
      <c r="X91" s="52"/>
      <c r="Y91" s="52"/>
      <c r="Z91" s="37"/>
      <c r="AA91" s="18"/>
      <c r="AB91" s="18"/>
      <c r="AC91" s="18"/>
    </row>
    <row r="92" spans="23:29" customFormat="1" x14ac:dyDescent="0.25">
      <c r="W92" s="37"/>
      <c r="X92" s="52"/>
      <c r="Y92" s="52"/>
      <c r="Z92" s="37"/>
      <c r="AA92" s="18"/>
      <c r="AB92" s="18"/>
      <c r="AC92" s="18"/>
    </row>
    <row r="93" spans="23:29" customFormat="1" x14ac:dyDescent="0.25">
      <c r="W93" s="37"/>
      <c r="X93" s="52"/>
      <c r="Y93" s="52"/>
      <c r="Z93" s="37"/>
      <c r="AA93" s="18"/>
      <c r="AB93" s="18"/>
      <c r="AC93" s="18"/>
    </row>
    <row r="94" spans="23:29" customFormat="1" x14ac:dyDescent="0.25">
      <c r="W94" s="37"/>
      <c r="X94" s="52"/>
      <c r="Y94" s="52"/>
      <c r="Z94" s="37"/>
      <c r="AA94" s="18"/>
      <c r="AB94" s="18"/>
      <c r="AC94" s="18"/>
    </row>
    <row r="95" spans="23:29" customFormat="1" x14ac:dyDescent="0.25">
      <c r="W95" s="37"/>
      <c r="X95" s="52"/>
      <c r="Y95" s="52"/>
      <c r="Z95" s="37"/>
      <c r="AA95" s="18"/>
      <c r="AB95" s="18"/>
      <c r="AC95" s="18"/>
    </row>
    <row r="96" spans="23:29" customFormat="1" x14ac:dyDescent="0.25">
      <c r="W96" s="37"/>
      <c r="X96" s="52"/>
      <c r="Y96" s="52"/>
      <c r="Z96" s="37"/>
      <c r="AA96" s="18"/>
      <c r="AB96" s="18"/>
      <c r="AC96" s="18"/>
    </row>
    <row r="97" spans="23:29" customFormat="1" x14ac:dyDescent="0.25">
      <c r="W97" s="37"/>
      <c r="X97" s="52"/>
      <c r="Y97" s="52"/>
      <c r="Z97" s="37"/>
      <c r="AA97" s="18"/>
      <c r="AB97" s="18"/>
      <c r="AC97" s="18"/>
    </row>
    <row r="98" spans="23:29" customFormat="1" x14ac:dyDescent="0.25">
      <c r="W98" s="37"/>
      <c r="X98" s="52"/>
      <c r="Y98" s="52"/>
      <c r="Z98" s="37"/>
      <c r="AA98" s="18"/>
      <c r="AB98" s="18"/>
      <c r="AC98" s="18"/>
    </row>
    <row r="99" spans="23:29" customFormat="1" x14ac:dyDescent="0.25">
      <c r="W99" s="37"/>
      <c r="X99" s="52"/>
      <c r="Y99" s="52"/>
      <c r="Z99" s="37"/>
      <c r="AA99" s="18"/>
      <c r="AB99" s="18"/>
      <c r="AC99" s="18"/>
    </row>
    <row r="100" spans="23:29" customFormat="1" x14ac:dyDescent="0.25">
      <c r="W100" s="37"/>
      <c r="X100" s="52"/>
      <c r="Y100" s="52"/>
      <c r="Z100" s="37"/>
      <c r="AA100" s="18"/>
      <c r="AB100" s="18"/>
      <c r="AC100" s="18"/>
    </row>
    <row r="101" spans="23:29" customFormat="1" x14ac:dyDescent="0.25">
      <c r="W101" s="37"/>
      <c r="X101" s="52"/>
      <c r="Y101" s="52"/>
      <c r="Z101" s="37"/>
      <c r="AA101" s="18"/>
      <c r="AB101" s="18"/>
      <c r="AC101" s="18"/>
    </row>
    <row r="102" spans="23:29" customFormat="1" x14ac:dyDescent="0.25">
      <c r="W102" s="37"/>
      <c r="X102" s="52"/>
      <c r="Y102" s="52"/>
      <c r="Z102" s="37"/>
      <c r="AA102" s="18"/>
      <c r="AB102" s="18"/>
      <c r="AC102" s="18"/>
    </row>
    <row r="103" spans="23:29" customFormat="1" x14ac:dyDescent="0.25">
      <c r="W103" s="37"/>
      <c r="X103" s="52"/>
      <c r="Y103" s="52"/>
      <c r="Z103" s="37"/>
      <c r="AA103" s="18"/>
      <c r="AB103" s="18"/>
      <c r="AC103" s="18"/>
    </row>
    <row r="104" spans="23:29" customFormat="1" x14ac:dyDescent="0.25">
      <c r="W104" s="37"/>
      <c r="X104" s="52"/>
      <c r="Y104" s="52"/>
      <c r="Z104" s="37"/>
      <c r="AA104" s="18"/>
      <c r="AB104" s="18"/>
      <c r="AC104" s="18"/>
    </row>
    <row r="105" spans="23:29" customFormat="1" x14ac:dyDescent="0.25">
      <c r="W105" s="37"/>
      <c r="X105" s="52"/>
      <c r="Y105" s="52"/>
      <c r="Z105" s="37"/>
      <c r="AA105" s="18"/>
      <c r="AB105" s="18"/>
      <c r="AC105" s="18"/>
    </row>
    <row r="106" spans="23:29" customFormat="1" x14ac:dyDescent="0.25">
      <c r="W106" s="37"/>
      <c r="X106" s="52"/>
      <c r="Y106" s="52"/>
      <c r="Z106" s="37"/>
      <c r="AA106" s="18"/>
      <c r="AB106" s="18"/>
      <c r="AC106" s="18"/>
    </row>
    <row r="107" spans="23:29" customFormat="1" x14ac:dyDescent="0.25">
      <c r="W107" s="37"/>
      <c r="X107" s="52"/>
      <c r="Y107" s="52"/>
      <c r="Z107" s="37"/>
      <c r="AA107" s="18"/>
      <c r="AB107" s="18"/>
      <c r="AC107" s="18"/>
    </row>
    <row r="108" spans="23:29" customFormat="1" x14ac:dyDescent="0.25">
      <c r="W108" s="37"/>
      <c r="X108" s="52"/>
      <c r="Y108" s="52"/>
      <c r="Z108" s="37"/>
      <c r="AA108" s="18"/>
      <c r="AB108" s="18"/>
      <c r="AC108" s="18"/>
    </row>
    <row r="109" spans="23:29" customFormat="1" x14ac:dyDescent="0.25">
      <c r="W109" s="37"/>
      <c r="X109" s="52"/>
      <c r="Y109" s="52"/>
      <c r="Z109" s="37"/>
      <c r="AA109" s="18"/>
      <c r="AB109" s="18"/>
      <c r="AC109" s="18"/>
    </row>
    <row r="110" spans="23:29" customFormat="1" x14ac:dyDescent="0.25">
      <c r="W110" s="37"/>
      <c r="X110" s="52"/>
      <c r="Y110" s="52"/>
      <c r="Z110" s="37"/>
      <c r="AA110" s="18"/>
      <c r="AB110" s="18"/>
      <c r="AC110" s="18"/>
    </row>
    <row r="111" spans="23:29" customFormat="1" x14ac:dyDescent="0.25">
      <c r="W111" s="37"/>
      <c r="X111" s="52"/>
      <c r="Y111" s="52"/>
      <c r="Z111" s="37"/>
      <c r="AA111" s="18"/>
      <c r="AB111" s="18"/>
      <c r="AC111" s="18"/>
    </row>
    <row r="112" spans="23:29" customFormat="1" x14ac:dyDescent="0.25">
      <c r="W112" s="37"/>
      <c r="X112" s="52"/>
      <c r="Y112" s="52"/>
      <c r="Z112" s="37"/>
      <c r="AA112" s="18"/>
      <c r="AB112" s="18"/>
      <c r="AC112" s="18"/>
    </row>
    <row r="113" spans="23:29" customFormat="1" x14ac:dyDescent="0.25">
      <c r="W113" s="37"/>
      <c r="X113" s="52"/>
      <c r="Y113" s="52"/>
      <c r="Z113" s="37"/>
      <c r="AA113" s="18"/>
      <c r="AB113" s="18"/>
      <c r="AC113" s="18"/>
    </row>
    <row r="114" spans="23:29" customFormat="1" x14ac:dyDescent="0.25">
      <c r="W114" s="37"/>
      <c r="X114" s="52"/>
      <c r="Y114" s="52"/>
      <c r="Z114" s="37"/>
      <c r="AA114" s="18"/>
      <c r="AB114" s="18"/>
      <c r="AC114" s="18"/>
    </row>
    <row r="115" spans="23:29" customFormat="1" x14ac:dyDescent="0.25">
      <c r="W115" s="37"/>
      <c r="X115" s="52"/>
      <c r="Y115" s="52"/>
      <c r="Z115" s="37"/>
      <c r="AA115" s="18"/>
      <c r="AB115" s="18"/>
      <c r="AC115" s="18"/>
    </row>
    <row r="116" spans="23:29" customFormat="1" x14ac:dyDescent="0.25">
      <c r="W116" s="37"/>
      <c r="X116" s="52"/>
      <c r="Y116" s="52"/>
      <c r="Z116" s="37"/>
      <c r="AA116" s="18"/>
      <c r="AB116" s="18"/>
      <c r="AC116" s="18"/>
    </row>
    <row r="117" spans="23:29" customFormat="1" x14ac:dyDescent="0.25">
      <c r="W117" s="37"/>
      <c r="X117" s="52"/>
      <c r="Y117" s="52"/>
      <c r="Z117" s="37"/>
      <c r="AA117" s="18"/>
      <c r="AB117" s="18"/>
      <c r="AC117" s="18"/>
    </row>
    <row r="118" spans="23:29" customFormat="1" x14ac:dyDescent="0.25">
      <c r="W118" s="37"/>
      <c r="X118" s="52"/>
      <c r="Y118" s="52"/>
      <c r="Z118" s="37"/>
      <c r="AA118" s="18"/>
      <c r="AB118" s="18"/>
      <c r="AC118" s="18"/>
    </row>
    <row r="119" spans="23:29" customFormat="1" x14ac:dyDescent="0.25">
      <c r="W119" s="37"/>
      <c r="X119" s="52"/>
      <c r="Y119" s="52"/>
      <c r="Z119" s="37"/>
      <c r="AA119" s="18"/>
      <c r="AB119" s="18"/>
      <c r="AC119" s="18"/>
    </row>
    <row r="120" spans="23:29" customFormat="1" x14ac:dyDescent="0.25">
      <c r="W120" s="37"/>
      <c r="X120" s="52"/>
      <c r="Y120" s="52"/>
      <c r="Z120" s="37"/>
      <c r="AA120" s="18"/>
      <c r="AB120" s="18"/>
      <c r="AC120" s="18"/>
    </row>
    <row r="121" spans="23:29" customFormat="1" x14ac:dyDescent="0.25">
      <c r="W121" s="37"/>
      <c r="X121" s="52"/>
      <c r="Y121" s="52"/>
      <c r="Z121" s="37"/>
      <c r="AA121" s="18"/>
      <c r="AB121" s="18"/>
      <c r="AC121" s="18"/>
    </row>
    <row r="122" spans="23:29" customFormat="1" x14ac:dyDescent="0.25">
      <c r="W122" s="37"/>
      <c r="X122" s="52"/>
      <c r="Y122" s="52"/>
      <c r="Z122" s="37"/>
      <c r="AA122" s="18"/>
      <c r="AB122" s="18"/>
      <c r="AC122" s="18"/>
    </row>
    <row r="123" spans="23:29" customFormat="1" x14ac:dyDescent="0.25">
      <c r="W123" s="37"/>
      <c r="X123" s="52"/>
      <c r="Y123" s="52"/>
      <c r="Z123" s="37"/>
      <c r="AA123" s="18"/>
      <c r="AB123" s="18"/>
      <c r="AC123" s="18"/>
    </row>
    <row r="124" spans="23:29" customFormat="1" x14ac:dyDescent="0.25">
      <c r="W124" s="37"/>
      <c r="X124" s="52"/>
      <c r="Y124" s="52"/>
      <c r="Z124" s="37"/>
      <c r="AA124" s="18"/>
      <c r="AB124" s="18"/>
      <c r="AC124" s="18"/>
    </row>
    <row r="125" spans="23:29" customFormat="1" x14ac:dyDescent="0.25">
      <c r="W125" s="37"/>
      <c r="X125" s="52"/>
      <c r="Y125" s="52"/>
      <c r="Z125" s="37"/>
      <c r="AA125" s="18"/>
      <c r="AB125" s="18"/>
      <c r="AC125" s="18"/>
    </row>
    <row r="126" spans="23:29" customFormat="1" x14ac:dyDescent="0.25">
      <c r="W126" s="37"/>
      <c r="X126" s="52"/>
      <c r="Y126" s="52"/>
      <c r="Z126" s="37"/>
      <c r="AA126" s="18"/>
      <c r="AB126" s="18"/>
      <c r="AC126" s="18"/>
    </row>
    <row r="127" spans="23:29" customFormat="1" x14ac:dyDescent="0.25">
      <c r="W127" s="37"/>
      <c r="X127" s="52"/>
      <c r="Y127" s="52"/>
      <c r="Z127" s="37"/>
      <c r="AA127" s="18"/>
      <c r="AB127" s="18"/>
      <c r="AC127" s="18"/>
    </row>
    <row r="128" spans="23:29" customFormat="1" x14ac:dyDescent="0.25">
      <c r="W128" s="37"/>
      <c r="X128" s="52"/>
      <c r="Y128" s="52"/>
      <c r="Z128" s="37"/>
      <c r="AA128" s="18"/>
      <c r="AB128" s="18"/>
      <c r="AC128" s="18"/>
    </row>
    <row r="129" spans="23:29" customFormat="1" x14ac:dyDescent="0.25">
      <c r="W129" s="37"/>
      <c r="X129" s="52"/>
      <c r="Y129" s="52"/>
      <c r="Z129" s="37"/>
      <c r="AA129" s="18"/>
      <c r="AB129" s="18"/>
      <c r="AC129" s="18"/>
    </row>
    <row r="130" spans="23:29" customFormat="1" x14ac:dyDescent="0.25">
      <c r="W130" s="37"/>
      <c r="X130" s="52"/>
      <c r="Y130" s="52"/>
      <c r="Z130" s="37"/>
      <c r="AA130" s="18"/>
      <c r="AB130" s="18"/>
      <c r="AC130" s="18"/>
    </row>
    <row r="131" spans="23:29" customFormat="1" x14ac:dyDescent="0.25">
      <c r="W131" s="37"/>
      <c r="X131" s="52"/>
      <c r="Y131" s="52"/>
      <c r="Z131" s="37"/>
      <c r="AA131" s="18"/>
      <c r="AB131" s="18"/>
      <c r="AC131" s="18"/>
    </row>
    <row r="132" spans="23:29" customFormat="1" x14ac:dyDescent="0.25">
      <c r="W132" s="37"/>
      <c r="X132" s="52"/>
      <c r="Y132" s="52"/>
      <c r="Z132" s="37"/>
      <c r="AA132" s="18"/>
      <c r="AB132" s="18"/>
      <c r="AC132" s="18"/>
    </row>
    <row r="133" spans="23:29" customFormat="1" x14ac:dyDescent="0.25">
      <c r="W133" s="37"/>
      <c r="X133" s="52"/>
      <c r="Y133" s="52"/>
      <c r="Z133" s="37"/>
      <c r="AA133" s="18"/>
      <c r="AB133" s="18"/>
      <c r="AC133" s="18"/>
    </row>
    <row r="134" spans="23:29" customFormat="1" x14ac:dyDescent="0.25">
      <c r="W134" s="37"/>
      <c r="X134" s="52"/>
      <c r="Y134" s="52"/>
      <c r="Z134" s="37"/>
      <c r="AA134" s="18"/>
      <c r="AB134" s="18"/>
      <c r="AC134" s="18"/>
    </row>
    <row r="135" spans="23:29" customFormat="1" x14ac:dyDescent="0.25">
      <c r="W135" s="37"/>
      <c r="X135" s="52"/>
      <c r="Y135" s="52"/>
      <c r="Z135" s="37"/>
      <c r="AA135" s="18"/>
      <c r="AB135" s="18"/>
      <c r="AC135" s="18"/>
    </row>
    <row r="136" spans="23:29" customFormat="1" x14ac:dyDescent="0.25">
      <c r="W136" s="37"/>
      <c r="X136" s="52"/>
      <c r="Y136" s="52"/>
      <c r="Z136" s="37"/>
      <c r="AA136" s="18"/>
      <c r="AB136" s="18"/>
      <c r="AC136" s="18"/>
    </row>
    <row r="137" spans="23:29" customFormat="1" x14ac:dyDescent="0.25">
      <c r="W137" s="37"/>
      <c r="X137" s="52"/>
      <c r="Y137" s="52"/>
      <c r="Z137" s="37"/>
      <c r="AA137" s="18"/>
      <c r="AB137" s="18"/>
      <c r="AC137" s="18"/>
    </row>
    <row r="138" spans="23:29" customFormat="1" x14ac:dyDescent="0.25">
      <c r="W138" s="37"/>
      <c r="X138" s="52"/>
      <c r="Y138" s="52"/>
      <c r="Z138" s="37"/>
      <c r="AA138" s="18"/>
      <c r="AB138" s="18"/>
      <c r="AC138" s="18"/>
    </row>
    <row r="139" spans="23:29" customFormat="1" x14ac:dyDescent="0.25">
      <c r="W139" s="37"/>
      <c r="X139" s="52"/>
      <c r="Y139" s="52"/>
      <c r="Z139" s="37"/>
      <c r="AA139" s="18"/>
      <c r="AB139" s="18"/>
      <c r="AC139" s="18"/>
    </row>
    <row r="140" spans="23:29" customFormat="1" x14ac:dyDescent="0.25">
      <c r="W140" s="37"/>
      <c r="X140" s="52"/>
      <c r="Y140" s="52"/>
      <c r="Z140" s="37"/>
      <c r="AA140" s="18"/>
      <c r="AB140" s="18"/>
      <c r="AC140" s="18"/>
    </row>
    <row r="141" spans="23:29" customFormat="1" x14ac:dyDescent="0.25">
      <c r="W141" s="37"/>
      <c r="X141" s="52"/>
      <c r="Y141" s="52"/>
      <c r="Z141" s="37"/>
      <c r="AA141" s="18"/>
      <c r="AB141" s="18"/>
      <c r="AC141" s="18"/>
    </row>
    <row r="142" spans="23:29" customFormat="1" x14ac:dyDescent="0.25">
      <c r="W142" s="37"/>
      <c r="X142" s="52"/>
      <c r="Y142" s="52"/>
      <c r="Z142" s="37"/>
      <c r="AA142" s="18"/>
      <c r="AB142" s="18"/>
      <c r="AC142" s="18"/>
    </row>
    <row r="143" spans="23:29" customFormat="1" x14ac:dyDescent="0.25">
      <c r="W143" s="37"/>
      <c r="X143" s="52"/>
      <c r="Y143" s="52"/>
      <c r="Z143" s="37"/>
      <c r="AA143" s="18"/>
      <c r="AB143" s="18"/>
      <c r="AC143" s="18"/>
    </row>
    <row r="144" spans="23:29" customFormat="1" x14ac:dyDescent="0.25">
      <c r="W144" s="37"/>
      <c r="X144" s="52"/>
      <c r="Y144" s="52"/>
      <c r="Z144" s="37"/>
      <c r="AA144" s="18"/>
      <c r="AB144" s="18"/>
      <c r="AC144" s="18"/>
    </row>
    <row r="145" spans="23:29" customFormat="1" x14ac:dyDescent="0.25">
      <c r="W145" s="37"/>
      <c r="X145" s="52"/>
      <c r="Y145" s="52"/>
      <c r="Z145" s="37"/>
      <c r="AA145" s="18"/>
      <c r="AB145" s="18"/>
      <c r="AC145" s="18"/>
    </row>
    <row r="146" spans="23:29" customFormat="1" x14ac:dyDescent="0.25">
      <c r="W146" s="37"/>
      <c r="X146" s="52"/>
      <c r="Y146" s="52"/>
      <c r="Z146" s="37"/>
      <c r="AA146" s="18"/>
      <c r="AB146" s="18"/>
      <c r="AC146" s="18"/>
    </row>
    <row r="147" spans="23:29" customFormat="1" x14ac:dyDescent="0.25">
      <c r="W147" s="37"/>
      <c r="X147" s="52"/>
      <c r="Y147" s="52"/>
      <c r="Z147" s="37"/>
      <c r="AA147" s="18"/>
      <c r="AB147" s="18"/>
      <c r="AC147" s="18"/>
    </row>
    <row r="148" spans="23:29" customFormat="1" x14ac:dyDescent="0.25">
      <c r="W148" s="37"/>
      <c r="X148" s="52"/>
      <c r="Y148" s="52"/>
      <c r="Z148" s="37"/>
      <c r="AA148" s="18"/>
      <c r="AB148" s="18"/>
      <c r="AC148" s="18"/>
    </row>
    <row r="149" spans="23:29" customFormat="1" x14ac:dyDescent="0.25">
      <c r="W149" s="37"/>
      <c r="X149" s="52"/>
      <c r="Y149" s="52"/>
      <c r="Z149" s="37"/>
      <c r="AA149" s="18"/>
      <c r="AB149" s="18"/>
      <c r="AC149" s="18"/>
    </row>
    <row r="150" spans="23:29" customFormat="1" x14ac:dyDescent="0.25">
      <c r="W150" s="37"/>
      <c r="X150" s="52"/>
      <c r="Y150" s="52"/>
      <c r="Z150" s="37"/>
      <c r="AA150" s="18"/>
      <c r="AB150" s="18"/>
      <c r="AC150" s="18"/>
    </row>
    <row r="151" spans="23:29" customFormat="1" x14ac:dyDescent="0.25">
      <c r="W151" s="37"/>
      <c r="X151" s="52"/>
      <c r="Y151" s="52"/>
      <c r="Z151" s="37"/>
      <c r="AA151" s="18"/>
      <c r="AB151" s="18"/>
      <c r="AC151" s="18"/>
    </row>
    <row r="152" spans="23:29" customFormat="1" x14ac:dyDescent="0.25">
      <c r="W152" s="37"/>
      <c r="X152" s="52"/>
      <c r="Y152" s="52"/>
      <c r="Z152" s="37"/>
      <c r="AA152" s="18"/>
      <c r="AB152" s="18"/>
      <c r="AC152" s="18"/>
    </row>
    <row r="153" spans="23:29" customFormat="1" x14ac:dyDescent="0.25">
      <c r="W153" s="37"/>
      <c r="X153" s="52"/>
      <c r="Y153" s="52"/>
      <c r="Z153" s="37"/>
      <c r="AA153" s="18"/>
      <c r="AB153" s="18"/>
      <c r="AC153" s="18"/>
    </row>
    <row r="154" spans="23:29" customFormat="1" x14ac:dyDescent="0.25">
      <c r="W154" s="37"/>
      <c r="X154" s="52"/>
      <c r="Y154" s="52"/>
      <c r="Z154" s="37"/>
      <c r="AA154" s="18"/>
      <c r="AB154" s="18"/>
      <c r="AC154" s="18"/>
    </row>
    <row r="155" spans="23:29" customFormat="1" x14ac:dyDescent="0.25">
      <c r="W155" s="37"/>
      <c r="X155" s="52"/>
      <c r="Y155" s="52"/>
      <c r="Z155" s="37"/>
      <c r="AA155" s="18"/>
      <c r="AB155" s="18"/>
      <c r="AC155" s="18"/>
    </row>
    <row r="156" spans="23:29" customFormat="1" x14ac:dyDescent="0.25">
      <c r="W156" s="37"/>
      <c r="X156" s="52"/>
      <c r="Y156" s="52"/>
      <c r="Z156" s="37"/>
      <c r="AA156" s="18"/>
      <c r="AB156" s="18"/>
      <c r="AC156" s="18"/>
    </row>
    <row r="157" spans="23:29" customFormat="1" x14ac:dyDescent="0.25">
      <c r="W157" s="37"/>
      <c r="X157" s="52"/>
      <c r="Y157" s="52"/>
      <c r="Z157" s="37"/>
      <c r="AA157" s="18"/>
      <c r="AB157" s="18"/>
      <c r="AC157" s="18"/>
    </row>
    <row r="158" spans="23:29" customFormat="1" x14ac:dyDescent="0.25">
      <c r="W158" s="37"/>
      <c r="X158" s="52"/>
      <c r="Y158" s="52"/>
      <c r="Z158" s="37"/>
      <c r="AA158" s="18"/>
      <c r="AB158" s="18"/>
      <c r="AC158" s="18"/>
    </row>
    <row r="159" spans="23:29" customFormat="1" x14ac:dyDescent="0.25">
      <c r="W159" s="37"/>
      <c r="X159" s="52"/>
      <c r="Y159" s="52"/>
      <c r="Z159" s="37"/>
      <c r="AA159" s="18"/>
      <c r="AB159" s="18"/>
      <c r="AC159" s="18"/>
    </row>
    <row r="160" spans="23:29" customFormat="1" x14ac:dyDescent="0.25">
      <c r="W160" s="37"/>
      <c r="X160" s="52"/>
      <c r="Y160" s="52"/>
      <c r="Z160" s="37"/>
      <c r="AA160" s="18"/>
      <c r="AB160" s="18"/>
      <c r="AC160" s="18"/>
    </row>
    <row r="161" spans="23:29" customFormat="1" x14ac:dyDescent="0.25">
      <c r="W161" s="37"/>
      <c r="X161" s="52"/>
      <c r="Y161" s="52"/>
      <c r="Z161" s="37"/>
      <c r="AA161" s="18"/>
      <c r="AB161" s="18"/>
      <c r="AC161" s="18"/>
    </row>
    <row r="162" spans="23:29" customFormat="1" x14ac:dyDescent="0.25">
      <c r="W162" s="37"/>
      <c r="X162" s="52"/>
      <c r="Y162" s="52"/>
      <c r="Z162" s="37"/>
      <c r="AA162" s="18"/>
      <c r="AB162" s="18"/>
      <c r="AC162" s="18"/>
    </row>
    <row r="163" spans="23:29" customFormat="1" x14ac:dyDescent="0.25">
      <c r="W163" s="37"/>
      <c r="X163" s="52"/>
      <c r="Y163" s="52"/>
      <c r="Z163" s="37"/>
      <c r="AA163" s="18"/>
      <c r="AB163" s="18"/>
      <c r="AC163" s="18"/>
    </row>
    <row r="164" spans="23:29" customFormat="1" x14ac:dyDescent="0.25">
      <c r="W164" s="37"/>
      <c r="X164" s="52"/>
      <c r="Y164" s="52"/>
      <c r="Z164" s="37"/>
      <c r="AA164" s="18"/>
      <c r="AB164" s="18"/>
      <c r="AC164" s="18"/>
    </row>
    <row r="165" spans="23:29" customFormat="1" x14ac:dyDescent="0.25">
      <c r="W165" s="37"/>
      <c r="X165" s="52"/>
      <c r="Y165" s="52"/>
      <c r="Z165" s="37"/>
      <c r="AA165" s="18"/>
      <c r="AB165" s="18"/>
      <c r="AC165" s="18"/>
    </row>
    <row r="166" spans="23:29" customFormat="1" x14ac:dyDescent="0.25">
      <c r="W166" s="37"/>
      <c r="X166" s="52"/>
      <c r="Y166" s="52"/>
      <c r="Z166" s="37"/>
      <c r="AA166" s="18"/>
      <c r="AB166" s="18"/>
      <c r="AC166" s="18"/>
    </row>
    <row r="167" spans="23:29" customFormat="1" x14ac:dyDescent="0.25">
      <c r="W167" s="37"/>
      <c r="X167" s="52"/>
      <c r="Y167" s="52"/>
      <c r="Z167" s="37"/>
      <c r="AA167" s="18"/>
      <c r="AB167" s="18"/>
      <c r="AC167" s="18"/>
    </row>
    <row r="168" spans="23:29" customFormat="1" x14ac:dyDescent="0.25">
      <c r="W168" s="37"/>
      <c r="X168" s="52"/>
      <c r="Y168" s="52"/>
      <c r="Z168" s="37"/>
      <c r="AA168" s="18"/>
      <c r="AB168" s="18"/>
      <c r="AC168" s="18"/>
    </row>
    <row r="169" spans="23:29" customFormat="1" x14ac:dyDescent="0.25">
      <c r="W169" s="37"/>
      <c r="X169" s="52"/>
      <c r="Y169" s="52"/>
      <c r="Z169" s="37"/>
      <c r="AA169" s="18"/>
      <c r="AB169" s="18"/>
      <c r="AC169" s="18"/>
    </row>
    <row r="170" spans="23:29" customFormat="1" x14ac:dyDescent="0.25">
      <c r="W170" s="37"/>
      <c r="X170" s="52"/>
      <c r="Y170" s="52"/>
      <c r="Z170" s="37"/>
      <c r="AA170" s="18"/>
      <c r="AB170" s="18"/>
      <c r="AC170" s="18"/>
    </row>
    <row r="171" spans="23:29" customFormat="1" x14ac:dyDescent="0.25">
      <c r="W171" s="37"/>
      <c r="X171" s="52"/>
      <c r="Y171" s="52"/>
      <c r="Z171" s="37"/>
      <c r="AA171" s="18"/>
      <c r="AB171" s="18"/>
      <c r="AC171" s="18"/>
    </row>
    <row r="172" spans="23:29" customFormat="1" x14ac:dyDescent="0.25">
      <c r="W172" s="37"/>
      <c r="X172" s="52"/>
      <c r="Y172" s="52"/>
      <c r="Z172" s="37"/>
      <c r="AA172" s="18"/>
      <c r="AB172" s="18"/>
      <c r="AC172" s="18"/>
    </row>
    <row r="173" spans="23:29" customFormat="1" x14ac:dyDescent="0.25">
      <c r="W173" s="37"/>
      <c r="X173" s="52"/>
      <c r="Y173" s="52"/>
      <c r="Z173" s="37"/>
      <c r="AA173" s="18"/>
      <c r="AB173" s="18"/>
      <c r="AC173" s="18"/>
    </row>
    <row r="174" spans="23:29" customFormat="1" x14ac:dyDescent="0.25">
      <c r="W174" s="37"/>
      <c r="X174" s="52"/>
      <c r="Y174" s="52"/>
      <c r="Z174" s="37"/>
      <c r="AA174" s="18"/>
      <c r="AB174" s="18"/>
      <c r="AC174" s="18"/>
    </row>
    <row r="175" spans="23:29" customFormat="1" x14ac:dyDescent="0.25">
      <c r="W175" s="37"/>
      <c r="X175" s="52"/>
      <c r="Y175" s="52"/>
      <c r="Z175" s="37"/>
      <c r="AA175" s="18"/>
      <c r="AB175" s="18"/>
      <c r="AC175" s="18"/>
    </row>
    <row r="176" spans="23:29" customFormat="1" x14ac:dyDescent="0.25">
      <c r="W176" s="37"/>
      <c r="X176" s="52"/>
      <c r="Y176" s="52"/>
      <c r="Z176" s="37"/>
      <c r="AA176" s="18"/>
      <c r="AB176" s="18"/>
      <c r="AC176" s="18"/>
    </row>
    <row r="177" spans="23:29" customFormat="1" x14ac:dyDescent="0.25">
      <c r="W177" s="37"/>
      <c r="X177" s="52"/>
      <c r="Y177" s="52"/>
      <c r="Z177" s="37"/>
      <c r="AA177" s="18"/>
      <c r="AB177" s="18"/>
      <c r="AC177" s="18"/>
    </row>
    <row r="178" spans="23:29" customFormat="1" x14ac:dyDescent="0.25">
      <c r="W178" s="37"/>
      <c r="X178" s="52"/>
      <c r="Y178" s="52"/>
      <c r="Z178" s="37"/>
      <c r="AA178" s="18"/>
      <c r="AB178" s="18"/>
      <c r="AC178" s="18"/>
    </row>
    <row r="179" spans="23:29" customFormat="1" x14ac:dyDescent="0.25">
      <c r="W179" s="37"/>
      <c r="X179" s="52"/>
      <c r="Y179" s="52"/>
      <c r="Z179" s="37"/>
      <c r="AA179" s="18"/>
      <c r="AB179" s="18"/>
      <c r="AC179" s="18"/>
    </row>
    <row r="180" spans="23:29" customFormat="1" x14ac:dyDescent="0.25">
      <c r="W180" s="37"/>
      <c r="X180" s="52"/>
      <c r="Y180" s="52"/>
      <c r="Z180" s="37"/>
      <c r="AA180" s="18"/>
      <c r="AB180" s="18"/>
      <c r="AC180" s="18"/>
    </row>
    <row r="181" spans="23:29" customFormat="1" x14ac:dyDescent="0.25">
      <c r="W181" s="37"/>
      <c r="X181" s="52"/>
      <c r="Y181" s="52"/>
      <c r="Z181" s="37"/>
      <c r="AA181" s="18"/>
      <c r="AB181" s="18"/>
      <c r="AC181" s="18"/>
    </row>
    <row r="182" spans="23:29" customFormat="1" x14ac:dyDescent="0.25">
      <c r="W182" s="37"/>
      <c r="X182" s="52"/>
      <c r="Y182" s="52"/>
      <c r="Z182" s="37"/>
      <c r="AA182" s="18"/>
      <c r="AB182" s="18"/>
      <c r="AC182" s="18"/>
    </row>
    <row r="183" spans="23:29" customFormat="1" x14ac:dyDescent="0.25">
      <c r="W183" s="37"/>
      <c r="X183" s="52"/>
      <c r="Y183" s="52"/>
      <c r="Z183" s="37"/>
      <c r="AA183" s="18"/>
      <c r="AB183" s="18"/>
      <c r="AC183" s="18"/>
    </row>
    <row r="184" spans="23:29" customFormat="1" x14ac:dyDescent="0.25">
      <c r="W184" s="37"/>
      <c r="X184" s="52"/>
      <c r="Y184" s="52"/>
      <c r="Z184" s="37"/>
      <c r="AA184" s="18"/>
      <c r="AB184" s="18"/>
      <c r="AC184" s="18"/>
    </row>
    <row r="185" spans="23:29" customFormat="1" x14ac:dyDescent="0.25">
      <c r="W185" s="37"/>
      <c r="X185" s="52"/>
      <c r="Y185" s="52"/>
      <c r="Z185" s="37"/>
      <c r="AA185" s="18"/>
      <c r="AB185" s="18"/>
      <c r="AC185" s="18"/>
    </row>
    <row r="186" spans="23:29" customFormat="1" x14ac:dyDescent="0.25">
      <c r="W186" s="37"/>
      <c r="X186" s="52"/>
      <c r="Y186" s="52"/>
      <c r="Z186" s="37"/>
      <c r="AA186" s="18"/>
      <c r="AB186" s="18"/>
      <c r="AC186" s="18"/>
    </row>
    <row r="187" spans="23:29" customFormat="1" x14ac:dyDescent="0.25">
      <c r="W187" s="37"/>
      <c r="X187" s="52"/>
      <c r="Y187" s="52"/>
      <c r="Z187" s="37"/>
      <c r="AA187" s="18"/>
      <c r="AB187" s="18"/>
      <c r="AC187" s="18"/>
    </row>
    <row r="188" spans="23:29" customFormat="1" x14ac:dyDescent="0.25">
      <c r="W188" s="37"/>
      <c r="X188" s="52"/>
      <c r="Y188" s="52"/>
      <c r="Z188" s="37"/>
      <c r="AA188" s="18"/>
      <c r="AB188" s="18"/>
      <c r="AC188" s="18"/>
    </row>
    <row r="189" spans="23:29" customFormat="1" x14ac:dyDescent="0.25">
      <c r="W189" s="37"/>
      <c r="X189" s="52"/>
      <c r="Y189" s="52"/>
      <c r="Z189" s="37"/>
      <c r="AA189" s="18"/>
      <c r="AB189" s="18"/>
      <c r="AC189" s="18"/>
    </row>
    <row r="190" spans="23:29" customFormat="1" x14ac:dyDescent="0.25">
      <c r="W190" s="37"/>
      <c r="X190" s="52"/>
      <c r="Y190" s="52"/>
      <c r="Z190" s="37"/>
      <c r="AA190" s="18"/>
      <c r="AB190" s="18"/>
      <c r="AC190" s="18"/>
    </row>
    <row r="191" spans="23:29" customFormat="1" x14ac:dyDescent="0.25">
      <c r="W191" s="37"/>
      <c r="X191" s="52"/>
      <c r="Y191" s="52"/>
      <c r="Z191" s="37"/>
      <c r="AA191" s="18"/>
      <c r="AB191" s="18"/>
      <c r="AC191" s="18"/>
    </row>
    <row r="192" spans="23:29" customFormat="1" x14ac:dyDescent="0.25">
      <c r="W192" s="37"/>
      <c r="X192" s="52"/>
      <c r="Y192" s="52"/>
      <c r="Z192" s="37"/>
      <c r="AA192" s="18"/>
      <c r="AB192" s="18"/>
      <c r="AC192" s="18"/>
    </row>
    <row r="193" spans="23:29" customFormat="1" x14ac:dyDescent="0.25">
      <c r="W193" s="37"/>
      <c r="X193" s="52"/>
      <c r="Y193" s="52"/>
      <c r="Z193" s="37"/>
      <c r="AA193" s="18"/>
      <c r="AB193" s="18"/>
      <c r="AC193" s="18"/>
    </row>
    <row r="194" spans="23:29" customFormat="1" x14ac:dyDescent="0.25">
      <c r="W194" s="37"/>
      <c r="X194" s="52"/>
      <c r="Y194" s="52"/>
      <c r="Z194" s="37"/>
      <c r="AA194" s="18"/>
      <c r="AB194" s="18"/>
      <c r="AC194" s="18"/>
    </row>
    <row r="195" spans="23:29" customFormat="1" x14ac:dyDescent="0.25">
      <c r="W195" s="37"/>
      <c r="X195" s="52"/>
      <c r="Y195" s="52"/>
      <c r="Z195" s="37"/>
      <c r="AA195" s="18"/>
      <c r="AB195" s="18"/>
      <c r="AC195" s="18"/>
    </row>
    <row r="196" spans="23:29" customFormat="1" x14ac:dyDescent="0.25">
      <c r="W196" s="37"/>
      <c r="X196" s="52"/>
      <c r="Y196" s="52"/>
      <c r="Z196" s="37"/>
      <c r="AA196" s="18"/>
      <c r="AB196" s="18"/>
      <c r="AC196" s="18"/>
    </row>
    <row r="197" spans="23:29" customFormat="1" x14ac:dyDescent="0.25">
      <c r="W197" s="37"/>
      <c r="X197" s="52"/>
      <c r="Y197" s="52"/>
      <c r="Z197" s="37"/>
      <c r="AA197" s="18"/>
      <c r="AB197" s="18"/>
      <c r="AC197" s="18"/>
    </row>
    <row r="198" spans="23:29" customFormat="1" x14ac:dyDescent="0.25">
      <c r="W198" s="37"/>
      <c r="X198" s="52"/>
      <c r="Y198" s="52"/>
      <c r="Z198" s="37"/>
      <c r="AA198" s="18"/>
      <c r="AB198" s="18"/>
      <c r="AC198" s="18"/>
    </row>
    <row r="199" spans="23:29" customFormat="1" x14ac:dyDescent="0.25">
      <c r="W199" s="37"/>
      <c r="X199" s="52"/>
      <c r="Y199" s="52"/>
      <c r="Z199" s="37"/>
      <c r="AA199" s="18"/>
      <c r="AB199" s="18"/>
      <c r="AC199" s="18"/>
    </row>
    <row r="200" spans="23:29" customFormat="1" x14ac:dyDescent="0.25">
      <c r="W200" s="37"/>
      <c r="X200" s="52"/>
      <c r="Y200" s="52"/>
      <c r="Z200" s="37"/>
      <c r="AA200" s="18"/>
      <c r="AB200" s="18"/>
      <c r="AC200" s="18"/>
    </row>
    <row r="201" spans="23:29" customFormat="1" x14ac:dyDescent="0.25">
      <c r="W201" s="37"/>
      <c r="X201" s="52"/>
      <c r="Y201" s="52"/>
      <c r="Z201" s="37"/>
      <c r="AA201" s="18"/>
      <c r="AB201" s="18"/>
      <c r="AC201" s="18"/>
    </row>
    <row r="202" spans="23:29" customFormat="1" x14ac:dyDescent="0.25">
      <c r="W202" s="37"/>
      <c r="X202" s="52"/>
      <c r="Y202" s="52"/>
      <c r="Z202" s="37"/>
      <c r="AA202" s="18"/>
      <c r="AB202" s="18"/>
      <c r="AC202" s="18"/>
    </row>
    <row r="203" spans="23:29" customFormat="1" x14ac:dyDescent="0.25">
      <c r="W203" s="37"/>
      <c r="X203" s="52"/>
      <c r="Y203" s="52"/>
      <c r="Z203" s="37"/>
      <c r="AA203" s="18"/>
      <c r="AB203" s="18"/>
      <c r="AC203" s="18"/>
    </row>
    <row r="204" spans="23:29" customFormat="1" x14ac:dyDescent="0.25">
      <c r="W204" s="37"/>
      <c r="X204" s="52"/>
      <c r="Y204" s="52"/>
      <c r="Z204" s="37"/>
      <c r="AA204" s="18"/>
      <c r="AB204" s="18"/>
      <c r="AC204" s="18"/>
    </row>
    <row r="205" spans="23:29" customFormat="1" x14ac:dyDescent="0.25">
      <c r="W205" s="37"/>
      <c r="X205" s="52"/>
      <c r="Y205" s="52"/>
      <c r="Z205" s="37"/>
      <c r="AA205" s="18"/>
      <c r="AB205" s="18"/>
      <c r="AC205" s="18"/>
    </row>
    <row r="206" spans="23:29" customFormat="1" x14ac:dyDescent="0.25">
      <c r="W206" s="37"/>
      <c r="X206" s="52"/>
      <c r="Y206" s="52"/>
      <c r="Z206" s="37"/>
      <c r="AA206" s="18"/>
      <c r="AB206" s="18"/>
      <c r="AC206" s="18"/>
    </row>
    <row r="207" spans="23:29" customFormat="1" x14ac:dyDescent="0.25">
      <c r="W207" s="37"/>
      <c r="X207" s="52"/>
      <c r="Y207" s="52"/>
      <c r="Z207" s="37"/>
      <c r="AA207" s="18"/>
      <c r="AB207" s="18"/>
      <c r="AC207" s="18"/>
    </row>
    <row r="208" spans="23:29" customFormat="1" x14ac:dyDescent="0.25">
      <c r="W208" s="37"/>
      <c r="X208" s="52"/>
      <c r="Y208" s="52"/>
      <c r="Z208" s="37"/>
      <c r="AA208" s="18"/>
      <c r="AB208" s="18"/>
      <c r="AC208" s="18"/>
    </row>
    <row r="209" spans="23:29" customFormat="1" x14ac:dyDescent="0.25">
      <c r="W209" s="37"/>
      <c r="X209" s="52"/>
      <c r="Y209" s="52"/>
      <c r="Z209" s="37"/>
      <c r="AA209" s="18"/>
      <c r="AB209" s="18"/>
      <c r="AC209" s="18"/>
    </row>
    <row r="210" spans="23:29" customFormat="1" x14ac:dyDescent="0.25">
      <c r="W210" s="37"/>
      <c r="X210" s="52"/>
      <c r="Y210" s="52"/>
      <c r="Z210" s="37"/>
      <c r="AA210" s="18"/>
      <c r="AB210" s="18"/>
      <c r="AC210" s="18"/>
    </row>
    <row r="211" spans="23:29" customFormat="1" x14ac:dyDescent="0.25">
      <c r="W211" s="37"/>
      <c r="X211" s="52"/>
      <c r="Y211" s="52"/>
      <c r="Z211" s="37"/>
      <c r="AA211" s="18"/>
      <c r="AB211" s="18"/>
      <c r="AC211" s="18"/>
    </row>
    <row r="212" spans="23:29" customFormat="1" x14ac:dyDescent="0.25">
      <c r="W212" s="37"/>
      <c r="X212" s="52"/>
      <c r="Y212" s="52"/>
      <c r="Z212" s="37"/>
      <c r="AA212" s="18"/>
      <c r="AB212" s="18"/>
      <c r="AC212" s="18"/>
    </row>
    <row r="213" spans="23:29" customFormat="1" x14ac:dyDescent="0.25">
      <c r="W213" s="37"/>
      <c r="X213" s="52"/>
      <c r="Y213" s="52"/>
      <c r="Z213" s="37"/>
      <c r="AA213" s="18"/>
      <c r="AB213" s="18"/>
      <c r="AC213" s="18"/>
    </row>
    <row r="214" spans="23:29" customFormat="1" x14ac:dyDescent="0.25">
      <c r="W214" s="37"/>
      <c r="X214" s="52"/>
      <c r="Y214" s="52"/>
      <c r="Z214" s="37"/>
      <c r="AA214" s="18"/>
      <c r="AB214" s="18"/>
      <c r="AC214" s="18"/>
    </row>
    <row r="215" spans="23:29" customFormat="1" x14ac:dyDescent="0.25">
      <c r="W215" s="37"/>
      <c r="X215" s="52"/>
      <c r="Y215" s="52"/>
      <c r="Z215" s="37"/>
      <c r="AA215" s="18"/>
      <c r="AB215" s="18"/>
      <c r="AC215" s="18"/>
    </row>
    <row r="216" spans="23:29" customFormat="1" x14ac:dyDescent="0.25">
      <c r="W216" s="37"/>
      <c r="X216" s="52"/>
      <c r="Y216" s="52"/>
      <c r="Z216" s="37"/>
      <c r="AA216" s="18"/>
      <c r="AB216" s="18"/>
      <c r="AC216" s="18"/>
    </row>
    <row r="217" spans="23:29" customFormat="1" x14ac:dyDescent="0.25">
      <c r="W217" s="37"/>
      <c r="X217" s="52"/>
      <c r="Y217" s="52"/>
      <c r="Z217" s="37"/>
      <c r="AA217" s="18"/>
      <c r="AB217" s="18"/>
      <c r="AC217" s="18"/>
    </row>
    <row r="218" spans="23:29" customFormat="1" x14ac:dyDescent="0.25">
      <c r="W218" s="37"/>
      <c r="X218" s="52"/>
      <c r="Y218" s="52"/>
      <c r="Z218" s="37"/>
      <c r="AA218" s="18"/>
      <c r="AB218" s="18"/>
      <c r="AC218" s="18"/>
    </row>
    <row r="219" spans="23:29" customFormat="1" x14ac:dyDescent="0.25">
      <c r="W219" s="37"/>
      <c r="X219" s="52"/>
      <c r="Y219" s="52"/>
      <c r="Z219" s="37"/>
      <c r="AA219" s="18"/>
      <c r="AB219" s="18"/>
      <c r="AC219" s="18"/>
    </row>
    <row r="220" spans="23:29" customFormat="1" x14ac:dyDescent="0.25">
      <c r="W220" s="37"/>
      <c r="X220" s="52"/>
      <c r="Y220" s="52"/>
      <c r="Z220" s="37"/>
      <c r="AA220" s="18"/>
      <c r="AB220" s="18"/>
      <c r="AC220" s="18"/>
    </row>
    <row r="221" spans="23:29" customFormat="1" x14ac:dyDescent="0.25">
      <c r="W221" s="37"/>
      <c r="X221" s="52"/>
      <c r="Y221" s="52"/>
      <c r="Z221" s="37"/>
      <c r="AA221" s="18"/>
      <c r="AB221" s="18"/>
      <c r="AC221" s="18"/>
    </row>
    <row r="222" spans="23:29" customFormat="1" x14ac:dyDescent="0.25">
      <c r="W222" s="37"/>
      <c r="X222" s="52"/>
      <c r="Y222" s="52"/>
      <c r="Z222" s="37"/>
      <c r="AA222" s="18"/>
      <c r="AB222" s="18"/>
      <c r="AC222" s="18"/>
    </row>
    <row r="223" spans="23:29" customFormat="1" x14ac:dyDescent="0.25">
      <c r="W223" s="37"/>
      <c r="X223" s="52"/>
      <c r="Y223" s="52"/>
      <c r="Z223" s="37"/>
      <c r="AA223" s="18"/>
      <c r="AB223" s="18"/>
      <c r="AC223" s="18"/>
    </row>
    <row r="224" spans="23:29" customFormat="1" x14ac:dyDescent="0.25">
      <c r="W224" s="37"/>
      <c r="X224" s="52"/>
      <c r="Y224" s="52"/>
      <c r="Z224" s="37"/>
      <c r="AA224" s="18"/>
      <c r="AB224" s="18"/>
      <c r="AC224" s="18"/>
    </row>
    <row r="225" spans="23:29" customFormat="1" x14ac:dyDescent="0.25">
      <c r="W225" s="37"/>
      <c r="X225" s="52"/>
      <c r="Y225" s="52"/>
      <c r="Z225" s="37"/>
      <c r="AA225" s="18"/>
      <c r="AB225" s="18"/>
      <c r="AC225" s="18"/>
    </row>
    <row r="226" spans="23:29" customFormat="1" x14ac:dyDescent="0.25">
      <c r="W226" s="37"/>
      <c r="X226" s="52"/>
      <c r="Y226" s="52"/>
      <c r="Z226" s="37"/>
      <c r="AA226" s="18"/>
      <c r="AB226" s="18"/>
      <c r="AC226" s="18"/>
    </row>
    <row r="227" spans="23:29" customFormat="1" x14ac:dyDescent="0.25">
      <c r="W227" s="37"/>
      <c r="X227" s="52"/>
      <c r="Y227" s="52"/>
      <c r="Z227" s="37"/>
      <c r="AA227" s="18"/>
      <c r="AB227" s="18"/>
      <c r="AC227" s="18"/>
    </row>
    <row r="228" spans="23:29" customFormat="1" x14ac:dyDescent="0.25">
      <c r="W228" s="37"/>
      <c r="X228" s="52"/>
      <c r="Y228" s="52"/>
      <c r="Z228" s="37"/>
      <c r="AA228" s="18"/>
      <c r="AB228" s="18"/>
      <c r="AC228" s="18"/>
    </row>
    <row r="229" spans="23:29" customFormat="1" x14ac:dyDescent="0.25">
      <c r="W229" s="37"/>
      <c r="X229" s="52"/>
      <c r="Y229" s="52"/>
      <c r="Z229" s="37"/>
      <c r="AA229" s="18"/>
      <c r="AB229" s="18"/>
      <c r="AC229" s="18"/>
    </row>
    <row r="230" spans="23:29" customFormat="1" x14ac:dyDescent="0.25">
      <c r="W230" s="37"/>
      <c r="X230" s="52"/>
      <c r="Y230" s="52"/>
      <c r="Z230" s="37"/>
      <c r="AA230" s="18"/>
      <c r="AB230" s="18"/>
      <c r="AC230" s="18"/>
    </row>
    <row r="231" spans="23:29" customFormat="1" x14ac:dyDescent="0.25">
      <c r="W231" s="37"/>
      <c r="X231" s="52"/>
      <c r="Y231" s="52"/>
      <c r="Z231" s="37"/>
      <c r="AA231" s="18"/>
      <c r="AB231" s="18"/>
      <c r="AC231" s="18"/>
    </row>
    <row r="232" spans="23:29" customFormat="1" x14ac:dyDescent="0.25">
      <c r="W232" s="37"/>
      <c r="X232" s="52"/>
      <c r="Y232" s="52"/>
      <c r="Z232" s="37"/>
      <c r="AA232" s="18"/>
      <c r="AB232" s="18"/>
      <c r="AC232" s="18"/>
    </row>
    <row r="233" spans="23:29" customFormat="1" x14ac:dyDescent="0.25">
      <c r="W233" s="37"/>
      <c r="X233" s="52"/>
      <c r="Y233" s="52"/>
      <c r="Z233" s="37"/>
      <c r="AA233" s="18"/>
      <c r="AB233" s="18"/>
      <c r="AC233" s="18"/>
    </row>
    <row r="234" spans="23:29" customFormat="1" x14ac:dyDescent="0.25">
      <c r="W234" s="37"/>
      <c r="X234" s="52"/>
      <c r="Y234" s="52"/>
      <c r="Z234" s="37"/>
      <c r="AA234" s="18"/>
      <c r="AB234" s="18"/>
      <c r="AC234" s="18"/>
    </row>
    <row r="235" spans="23:29" customFormat="1" x14ac:dyDescent="0.25">
      <c r="W235" s="37"/>
      <c r="X235" s="52"/>
      <c r="Y235" s="52"/>
      <c r="Z235" s="37"/>
      <c r="AA235" s="18"/>
      <c r="AB235" s="18"/>
      <c r="AC235" s="18"/>
    </row>
    <row r="236" spans="23:29" customFormat="1" x14ac:dyDescent="0.25">
      <c r="W236" s="37"/>
      <c r="X236" s="52"/>
      <c r="Y236" s="52"/>
      <c r="Z236" s="37"/>
      <c r="AA236" s="18"/>
      <c r="AB236" s="18"/>
      <c r="AC236" s="18"/>
    </row>
    <row r="237" spans="23:29" customFormat="1" x14ac:dyDescent="0.25">
      <c r="W237" s="37"/>
      <c r="X237" s="52"/>
      <c r="Y237" s="52"/>
      <c r="Z237" s="37"/>
      <c r="AA237" s="18"/>
      <c r="AB237" s="18"/>
      <c r="AC237" s="18"/>
    </row>
    <row r="238" spans="23:29" customFormat="1" x14ac:dyDescent="0.25">
      <c r="W238" s="37"/>
      <c r="X238" s="52"/>
      <c r="Y238" s="52"/>
      <c r="Z238" s="37"/>
      <c r="AA238" s="18"/>
      <c r="AB238" s="18"/>
      <c r="AC238" s="18"/>
    </row>
    <row r="239" spans="23:29" customFormat="1" x14ac:dyDescent="0.25">
      <c r="W239" s="37"/>
      <c r="X239" s="52"/>
      <c r="Y239" s="52"/>
      <c r="Z239" s="37"/>
      <c r="AA239" s="18"/>
      <c r="AB239" s="18"/>
      <c r="AC239" s="18"/>
    </row>
    <row r="240" spans="23:29" customFormat="1" x14ac:dyDescent="0.25">
      <c r="W240" s="37"/>
      <c r="X240" s="52"/>
      <c r="Y240" s="52"/>
      <c r="Z240" s="37"/>
      <c r="AA240" s="18"/>
      <c r="AB240" s="18"/>
      <c r="AC240" s="18"/>
    </row>
    <row r="241" spans="23:29" customFormat="1" x14ac:dyDescent="0.25">
      <c r="W241" s="37"/>
      <c r="X241" s="52"/>
      <c r="Y241" s="52"/>
      <c r="Z241" s="37"/>
      <c r="AA241" s="18"/>
      <c r="AB241" s="18"/>
      <c r="AC241" s="18"/>
    </row>
    <row r="242" spans="23:29" customFormat="1" x14ac:dyDescent="0.25">
      <c r="W242" s="37"/>
      <c r="X242" s="52"/>
      <c r="Y242" s="52"/>
      <c r="Z242" s="37"/>
      <c r="AA242" s="18"/>
      <c r="AB242" s="18"/>
      <c r="AC242" s="18"/>
    </row>
    <row r="243" spans="23:29" customFormat="1" x14ac:dyDescent="0.25">
      <c r="W243" s="37"/>
      <c r="X243" s="52"/>
      <c r="Y243" s="52"/>
      <c r="Z243" s="37"/>
      <c r="AA243" s="18"/>
      <c r="AB243" s="18"/>
      <c r="AC243" s="18"/>
    </row>
    <row r="244" spans="23:29" customFormat="1" x14ac:dyDescent="0.25">
      <c r="W244" s="37"/>
      <c r="X244" s="52"/>
      <c r="Y244" s="52"/>
      <c r="Z244" s="37"/>
      <c r="AA244" s="18"/>
      <c r="AB244" s="18"/>
      <c r="AC244" s="18"/>
    </row>
    <row r="245" spans="23:29" customFormat="1" x14ac:dyDescent="0.25">
      <c r="W245" s="37"/>
      <c r="X245" s="52"/>
      <c r="Y245" s="52"/>
      <c r="Z245" s="37"/>
      <c r="AA245" s="18"/>
      <c r="AB245" s="18"/>
      <c r="AC245" s="18"/>
    </row>
    <row r="246" spans="23:29" customFormat="1" x14ac:dyDescent="0.25">
      <c r="W246" s="37"/>
      <c r="X246" s="52"/>
      <c r="Y246" s="52"/>
      <c r="Z246" s="37"/>
      <c r="AA246" s="18"/>
      <c r="AB246" s="18"/>
      <c r="AC246" s="18"/>
    </row>
    <row r="247" spans="23:29" customFormat="1" x14ac:dyDescent="0.25">
      <c r="W247" s="37"/>
      <c r="X247" s="52"/>
      <c r="Y247" s="52"/>
      <c r="Z247" s="37"/>
      <c r="AA247" s="18"/>
      <c r="AB247" s="18"/>
      <c r="AC247" s="18"/>
    </row>
    <row r="248" spans="23:29" customFormat="1" x14ac:dyDescent="0.25">
      <c r="W248" s="37"/>
      <c r="X248" s="52"/>
      <c r="Y248" s="52"/>
      <c r="Z248" s="37"/>
      <c r="AA248" s="18"/>
      <c r="AB248" s="18"/>
      <c r="AC248" s="18"/>
    </row>
    <row r="249" spans="23:29" customFormat="1" x14ac:dyDescent="0.25">
      <c r="W249" s="37"/>
      <c r="X249" s="52"/>
      <c r="Y249" s="52"/>
      <c r="Z249" s="37"/>
      <c r="AA249" s="18"/>
      <c r="AB249" s="18"/>
      <c r="AC249" s="18"/>
    </row>
    <row r="250" spans="23:29" customFormat="1" x14ac:dyDescent="0.25">
      <c r="W250" s="37"/>
      <c r="X250" s="52"/>
      <c r="Y250" s="52"/>
      <c r="Z250" s="37"/>
      <c r="AA250" s="18"/>
      <c r="AB250" s="18"/>
      <c r="AC250" s="18"/>
    </row>
    <row r="251" spans="23:29" customFormat="1" x14ac:dyDescent="0.25">
      <c r="W251" s="37"/>
      <c r="X251" s="52"/>
      <c r="Y251" s="52"/>
      <c r="Z251" s="37"/>
      <c r="AA251" s="18"/>
      <c r="AB251" s="18"/>
      <c r="AC251" s="18"/>
    </row>
    <row r="252" spans="23:29" customFormat="1" x14ac:dyDescent="0.25">
      <c r="W252" s="37"/>
      <c r="X252" s="52"/>
      <c r="Y252" s="52"/>
      <c r="Z252" s="37"/>
      <c r="AA252" s="18"/>
      <c r="AB252" s="18"/>
      <c r="AC252" s="18"/>
    </row>
    <row r="253" spans="23:29" customFormat="1" x14ac:dyDescent="0.25">
      <c r="W253" s="37"/>
      <c r="X253" s="52"/>
      <c r="Y253" s="52"/>
      <c r="Z253" s="37"/>
      <c r="AA253" s="18"/>
      <c r="AB253" s="18"/>
      <c r="AC253" s="18"/>
    </row>
    <row r="254" spans="23:29" customFormat="1" x14ac:dyDescent="0.25">
      <c r="W254" s="37"/>
      <c r="X254" s="52"/>
      <c r="Y254" s="52"/>
      <c r="Z254" s="37"/>
      <c r="AA254" s="18"/>
      <c r="AB254" s="18"/>
      <c r="AC254" s="18"/>
    </row>
    <row r="255" spans="23:29" customFormat="1" x14ac:dyDescent="0.25">
      <c r="W255" s="37"/>
      <c r="X255" s="52"/>
      <c r="Y255" s="52"/>
      <c r="Z255" s="37"/>
      <c r="AA255" s="18"/>
      <c r="AB255" s="18"/>
      <c r="AC255" s="18"/>
    </row>
    <row r="256" spans="23:29" customFormat="1" x14ac:dyDescent="0.25">
      <c r="W256" s="37"/>
      <c r="X256" s="52"/>
      <c r="Y256" s="52"/>
      <c r="Z256" s="37"/>
      <c r="AA256" s="18"/>
      <c r="AB256" s="18"/>
      <c r="AC256" s="18"/>
    </row>
    <row r="257" spans="23:29" customFormat="1" x14ac:dyDescent="0.25">
      <c r="W257" s="37"/>
      <c r="X257" s="52"/>
      <c r="Y257" s="52"/>
      <c r="Z257" s="37"/>
      <c r="AA257" s="18"/>
      <c r="AB257" s="18"/>
      <c r="AC257" s="18"/>
    </row>
    <row r="258" spans="23:29" customFormat="1" x14ac:dyDescent="0.25">
      <c r="W258" s="37"/>
      <c r="X258" s="52"/>
      <c r="Y258" s="52"/>
      <c r="Z258" s="37"/>
      <c r="AA258" s="18"/>
      <c r="AB258" s="18"/>
      <c r="AC258" s="18"/>
    </row>
    <row r="259" spans="23:29" customFormat="1" x14ac:dyDescent="0.25">
      <c r="W259" s="37"/>
      <c r="X259" s="52"/>
      <c r="Y259" s="52"/>
      <c r="Z259" s="37"/>
      <c r="AA259" s="18"/>
      <c r="AB259" s="18"/>
      <c r="AC259" s="18"/>
    </row>
    <row r="260" spans="23:29" customFormat="1" x14ac:dyDescent="0.25">
      <c r="W260" s="37"/>
      <c r="X260" s="52"/>
      <c r="Y260" s="52"/>
      <c r="Z260" s="37"/>
      <c r="AA260" s="18"/>
      <c r="AB260" s="18"/>
      <c r="AC260" s="18"/>
    </row>
    <row r="261" spans="23:29" customFormat="1" x14ac:dyDescent="0.25">
      <c r="W261" s="37"/>
      <c r="X261" s="52"/>
      <c r="Y261" s="52"/>
      <c r="Z261" s="37"/>
      <c r="AA261" s="18"/>
      <c r="AB261" s="18"/>
      <c r="AC261" s="18"/>
    </row>
    <row r="262" spans="23:29" customFormat="1" x14ac:dyDescent="0.25">
      <c r="W262" s="37"/>
      <c r="X262" s="52"/>
      <c r="Y262" s="52"/>
      <c r="Z262" s="37"/>
      <c r="AA262" s="18"/>
      <c r="AB262" s="18"/>
      <c r="AC262" s="18"/>
    </row>
    <row r="263" spans="23:29" customFormat="1" x14ac:dyDescent="0.25">
      <c r="W263" s="37"/>
      <c r="X263" s="52"/>
      <c r="Y263" s="52"/>
      <c r="Z263" s="37"/>
      <c r="AA263" s="18"/>
      <c r="AB263" s="18"/>
      <c r="AC263" s="18"/>
    </row>
    <row r="264" spans="23:29" customFormat="1" x14ac:dyDescent="0.25">
      <c r="W264" s="37"/>
      <c r="X264" s="52"/>
      <c r="Y264" s="52"/>
      <c r="Z264" s="37"/>
      <c r="AA264" s="18"/>
      <c r="AB264" s="18"/>
      <c r="AC264" s="18"/>
    </row>
    <row r="265" spans="23:29" customFormat="1" x14ac:dyDescent="0.25">
      <c r="W265" s="37"/>
      <c r="X265" s="52"/>
      <c r="Y265" s="52"/>
      <c r="Z265" s="37"/>
      <c r="AA265" s="18"/>
      <c r="AB265" s="18"/>
      <c r="AC265" s="18"/>
    </row>
    <row r="266" spans="23:29" customFormat="1" x14ac:dyDescent="0.25">
      <c r="W266" s="37"/>
      <c r="X266" s="52"/>
      <c r="Y266" s="52"/>
      <c r="Z266" s="37"/>
      <c r="AA266" s="18"/>
      <c r="AB266" s="18"/>
      <c r="AC266" s="18"/>
    </row>
    <row r="267" spans="23:29" customFormat="1" x14ac:dyDescent="0.25">
      <c r="W267" s="37"/>
      <c r="X267" s="52"/>
      <c r="Y267" s="52"/>
      <c r="Z267" s="37"/>
      <c r="AA267" s="18"/>
      <c r="AB267" s="18"/>
      <c r="AC267" s="18"/>
    </row>
    <row r="268" spans="23:29" customFormat="1" x14ac:dyDescent="0.25">
      <c r="W268" s="37"/>
      <c r="X268" s="52"/>
      <c r="Y268" s="52"/>
      <c r="Z268" s="37"/>
      <c r="AA268" s="18"/>
      <c r="AB268" s="18"/>
      <c r="AC268" s="18"/>
    </row>
    <row r="269" spans="23:29" customFormat="1" x14ac:dyDescent="0.25">
      <c r="W269" s="37"/>
      <c r="X269" s="52"/>
      <c r="Y269" s="52"/>
      <c r="Z269" s="37"/>
      <c r="AA269" s="18"/>
      <c r="AB269" s="18"/>
      <c r="AC269" s="18"/>
    </row>
    <row r="270" spans="23:29" customFormat="1" x14ac:dyDescent="0.25">
      <c r="W270" s="37"/>
      <c r="X270" s="52"/>
      <c r="Y270" s="52"/>
      <c r="Z270" s="37"/>
      <c r="AA270" s="18"/>
      <c r="AB270" s="18"/>
      <c r="AC270" s="18"/>
    </row>
    <row r="271" spans="23:29" customFormat="1" x14ac:dyDescent="0.25">
      <c r="W271" s="37"/>
      <c r="X271" s="52"/>
      <c r="Y271" s="52"/>
      <c r="Z271" s="37"/>
      <c r="AA271" s="18"/>
      <c r="AB271" s="18"/>
      <c r="AC271" s="18"/>
    </row>
    <row r="272" spans="23:29" customFormat="1" x14ac:dyDescent="0.25">
      <c r="W272" s="37"/>
      <c r="X272" s="52"/>
      <c r="Y272" s="52"/>
      <c r="Z272" s="37"/>
      <c r="AA272" s="18"/>
      <c r="AB272" s="18"/>
      <c r="AC272" s="18"/>
    </row>
    <row r="273" spans="23:29" customFormat="1" x14ac:dyDescent="0.25">
      <c r="W273" s="37"/>
      <c r="X273" s="52"/>
      <c r="Y273" s="52"/>
      <c r="Z273" s="37"/>
      <c r="AA273" s="18"/>
      <c r="AB273" s="18"/>
      <c r="AC273" s="18"/>
    </row>
    <row r="274" spans="23:29" customFormat="1" x14ac:dyDescent="0.25">
      <c r="W274" s="37"/>
      <c r="X274" s="52"/>
      <c r="Y274" s="52"/>
      <c r="Z274" s="37"/>
      <c r="AA274" s="18"/>
      <c r="AB274" s="18"/>
      <c r="AC274" s="18"/>
    </row>
    <row r="275" spans="23:29" customFormat="1" x14ac:dyDescent="0.25">
      <c r="W275" s="37"/>
      <c r="X275" s="52"/>
      <c r="Y275" s="52"/>
      <c r="Z275" s="37"/>
      <c r="AA275" s="18"/>
      <c r="AB275" s="18"/>
      <c r="AC275" s="18"/>
    </row>
    <row r="276" spans="23:29" customFormat="1" x14ac:dyDescent="0.25">
      <c r="W276" s="37"/>
      <c r="X276" s="52"/>
      <c r="Y276" s="52"/>
      <c r="Z276" s="37"/>
      <c r="AA276" s="18"/>
      <c r="AB276" s="18"/>
      <c r="AC276" s="18"/>
    </row>
    <row r="277" spans="23:29" customFormat="1" x14ac:dyDescent="0.25">
      <c r="W277" s="37"/>
      <c r="X277" s="52"/>
      <c r="Y277" s="52"/>
      <c r="Z277" s="37"/>
      <c r="AA277" s="18"/>
      <c r="AB277" s="18"/>
      <c r="AC277" s="18"/>
    </row>
    <row r="278" spans="23:29" customFormat="1" x14ac:dyDescent="0.25">
      <c r="W278" s="37"/>
      <c r="X278" s="52"/>
      <c r="Y278" s="52"/>
      <c r="Z278" s="37"/>
      <c r="AA278" s="18"/>
      <c r="AB278" s="18"/>
      <c r="AC278" s="18"/>
    </row>
    <row r="279" spans="23:29" customFormat="1" x14ac:dyDescent="0.25">
      <c r="W279" s="37"/>
      <c r="X279" s="52"/>
      <c r="Y279" s="52"/>
      <c r="Z279" s="37"/>
      <c r="AA279" s="18"/>
      <c r="AB279" s="18"/>
      <c r="AC279" s="18"/>
    </row>
    <row r="280" spans="23:29" customFormat="1" x14ac:dyDescent="0.25">
      <c r="W280" s="37"/>
      <c r="X280" s="52"/>
      <c r="Y280" s="52"/>
      <c r="Z280" s="37"/>
      <c r="AA280" s="18"/>
      <c r="AB280" s="18"/>
      <c r="AC280" s="18"/>
    </row>
    <row r="281" spans="23:29" customFormat="1" x14ac:dyDescent="0.25">
      <c r="W281" s="37"/>
      <c r="X281" s="52"/>
      <c r="Y281" s="52"/>
      <c r="Z281" s="37"/>
      <c r="AA281" s="18"/>
      <c r="AB281" s="18"/>
      <c r="AC281" s="18"/>
    </row>
    <row r="282" spans="23:29" customFormat="1" x14ac:dyDescent="0.25">
      <c r="W282" s="37"/>
      <c r="X282" s="52"/>
      <c r="Y282" s="52"/>
      <c r="Z282" s="37"/>
      <c r="AA282" s="18"/>
      <c r="AB282" s="18"/>
      <c r="AC282" s="18"/>
    </row>
    <row r="283" spans="23:29" customFormat="1" x14ac:dyDescent="0.25">
      <c r="W283" s="37"/>
      <c r="X283" s="52"/>
      <c r="Y283" s="52"/>
      <c r="Z283" s="37"/>
      <c r="AA283" s="18"/>
      <c r="AB283" s="18"/>
      <c r="AC283" s="18"/>
    </row>
    <row r="284" spans="23:29" customFormat="1" x14ac:dyDescent="0.25">
      <c r="W284" s="37"/>
      <c r="X284" s="52"/>
      <c r="Y284" s="52"/>
      <c r="Z284" s="37"/>
      <c r="AA284" s="18"/>
      <c r="AB284" s="18"/>
      <c r="AC284" s="18"/>
    </row>
    <row r="285" spans="23:29" customFormat="1" x14ac:dyDescent="0.25">
      <c r="W285" s="37"/>
      <c r="X285" s="52"/>
      <c r="Y285" s="52"/>
      <c r="Z285" s="37"/>
      <c r="AA285" s="18"/>
      <c r="AB285" s="18"/>
      <c r="AC285" s="18"/>
    </row>
    <row r="286" spans="23:29" customFormat="1" x14ac:dyDescent="0.25">
      <c r="W286" s="37"/>
      <c r="X286" s="52"/>
      <c r="Y286" s="52"/>
      <c r="Z286" s="37"/>
      <c r="AA286" s="18"/>
      <c r="AB286" s="18"/>
      <c r="AC286" s="18"/>
    </row>
    <row r="287" spans="23:29" customFormat="1" x14ac:dyDescent="0.25">
      <c r="W287" s="37"/>
      <c r="X287" s="52"/>
      <c r="Y287" s="52"/>
      <c r="Z287" s="37"/>
      <c r="AA287" s="18"/>
      <c r="AB287" s="18"/>
      <c r="AC287" s="18"/>
    </row>
    <row r="288" spans="23:29" customFormat="1" x14ac:dyDescent="0.25">
      <c r="W288" s="37"/>
      <c r="X288" s="52"/>
      <c r="Y288" s="52"/>
      <c r="Z288" s="37"/>
      <c r="AA288" s="18"/>
      <c r="AB288" s="18"/>
      <c r="AC288" s="18"/>
    </row>
    <row r="289" spans="23:29" customFormat="1" x14ac:dyDescent="0.25">
      <c r="W289" s="37"/>
      <c r="X289" s="52"/>
      <c r="Y289" s="52"/>
      <c r="Z289" s="37"/>
      <c r="AA289" s="18"/>
      <c r="AB289" s="18"/>
      <c r="AC289" s="18"/>
    </row>
    <row r="290" spans="23:29" customFormat="1" x14ac:dyDescent="0.25">
      <c r="W290" s="37"/>
      <c r="X290" s="52"/>
      <c r="Y290" s="52"/>
      <c r="Z290" s="37"/>
      <c r="AA290" s="18"/>
      <c r="AB290" s="18"/>
      <c r="AC290" s="18"/>
    </row>
    <row r="291" spans="23:29" customFormat="1" x14ac:dyDescent="0.25">
      <c r="W291" s="37"/>
      <c r="X291" s="52"/>
      <c r="Y291" s="52"/>
      <c r="Z291" s="37"/>
      <c r="AA291" s="18"/>
      <c r="AB291" s="18"/>
      <c r="AC291" s="18"/>
    </row>
    <row r="292" spans="23:29" customFormat="1" x14ac:dyDescent="0.25">
      <c r="W292" s="37"/>
      <c r="X292" s="52"/>
      <c r="Y292" s="52"/>
      <c r="Z292" s="37"/>
      <c r="AA292" s="18"/>
      <c r="AB292" s="18"/>
      <c r="AC292" s="18"/>
    </row>
    <row r="293" spans="23:29" customFormat="1" x14ac:dyDescent="0.25">
      <c r="W293" s="37"/>
      <c r="X293" s="52"/>
      <c r="Y293" s="52"/>
      <c r="Z293" s="37"/>
      <c r="AA293" s="18"/>
      <c r="AB293" s="18"/>
      <c r="AC293" s="18"/>
    </row>
    <row r="294" spans="23:29" customFormat="1" x14ac:dyDescent="0.25">
      <c r="W294" s="37"/>
      <c r="X294" s="52"/>
      <c r="Y294" s="52"/>
      <c r="Z294" s="37"/>
      <c r="AA294" s="18"/>
      <c r="AB294" s="18"/>
      <c r="AC294" s="18"/>
    </row>
    <row r="295" spans="23:29" customFormat="1" x14ac:dyDescent="0.25">
      <c r="W295" s="37"/>
      <c r="X295" s="52"/>
      <c r="Y295" s="52"/>
      <c r="Z295" s="37"/>
      <c r="AA295" s="18"/>
      <c r="AB295" s="18"/>
      <c r="AC295" s="18"/>
    </row>
    <row r="296" spans="23:29" customFormat="1" x14ac:dyDescent="0.25">
      <c r="W296" s="37"/>
      <c r="X296" s="52"/>
      <c r="Y296" s="52"/>
      <c r="Z296" s="37"/>
      <c r="AA296" s="18"/>
      <c r="AB296" s="18"/>
      <c r="AC296" s="18"/>
    </row>
    <row r="297" spans="23:29" customFormat="1" x14ac:dyDescent="0.25">
      <c r="W297" s="37"/>
      <c r="X297" s="52"/>
      <c r="Y297" s="52"/>
      <c r="Z297" s="37"/>
      <c r="AA297" s="18"/>
      <c r="AB297" s="18"/>
      <c r="AC297" s="18"/>
    </row>
    <row r="298" spans="23:29" customFormat="1" x14ac:dyDescent="0.25">
      <c r="W298" s="37"/>
      <c r="X298" s="52"/>
      <c r="Y298" s="52"/>
      <c r="Z298" s="37"/>
      <c r="AA298" s="18"/>
      <c r="AB298" s="18"/>
      <c r="AC298" s="18"/>
    </row>
    <row r="299" spans="23:29" customFormat="1" x14ac:dyDescent="0.25">
      <c r="W299" s="37"/>
      <c r="X299" s="52"/>
      <c r="Y299" s="52"/>
      <c r="Z299" s="37"/>
      <c r="AA299" s="18"/>
      <c r="AB299" s="18"/>
      <c r="AC299" s="18"/>
    </row>
    <row r="300" spans="23:29" customFormat="1" x14ac:dyDescent="0.25">
      <c r="W300" s="37"/>
      <c r="X300" s="52"/>
      <c r="Y300" s="52"/>
      <c r="Z300" s="37"/>
      <c r="AA300" s="18"/>
      <c r="AB300" s="18"/>
      <c r="AC300" s="18"/>
    </row>
    <row r="301" spans="23:29" customFormat="1" x14ac:dyDescent="0.25">
      <c r="W301" s="37"/>
      <c r="X301" s="52"/>
      <c r="Y301" s="52"/>
      <c r="Z301" s="37"/>
      <c r="AA301" s="18"/>
      <c r="AB301" s="18"/>
      <c r="AC301" s="18"/>
    </row>
    <row r="302" spans="23:29" customFormat="1" x14ac:dyDescent="0.25">
      <c r="W302" s="37"/>
      <c r="X302" s="52"/>
      <c r="Y302" s="52"/>
      <c r="Z302" s="37"/>
      <c r="AA302" s="18"/>
      <c r="AB302" s="18"/>
      <c r="AC302" s="18"/>
    </row>
    <row r="303" spans="23:29" customFormat="1" x14ac:dyDescent="0.25">
      <c r="W303" s="37"/>
      <c r="X303" s="52"/>
      <c r="Y303" s="52"/>
      <c r="Z303" s="37"/>
      <c r="AA303" s="18"/>
      <c r="AB303" s="18"/>
      <c r="AC303" s="18"/>
    </row>
    <row r="304" spans="23:29" customFormat="1" x14ac:dyDescent="0.25">
      <c r="W304" s="37"/>
      <c r="X304" s="52"/>
      <c r="Y304" s="52"/>
      <c r="Z304" s="37"/>
      <c r="AA304" s="18"/>
      <c r="AB304" s="18"/>
      <c r="AC304" s="18"/>
    </row>
    <row r="305" spans="23:29" customFormat="1" x14ac:dyDescent="0.25">
      <c r="W305" s="37"/>
      <c r="X305" s="52"/>
      <c r="Y305" s="52"/>
      <c r="Z305" s="37"/>
      <c r="AA305" s="18"/>
      <c r="AB305" s="18"/>
      <c r="AC305" s="18"/>
    </row>
    <row r="306" spans="23:29" customFormat="1" x14ac:dyDescent="0.25">
      <c r="W306" s="37"/>
      <c r="X306" s="52"/>
      <c r="Y306" s="52"/>
      <c r="Z306" s="37"/>
      <c r="AA306" s="18"/>
      <c r="AB306" s="18"/>
      <c r="AC306" s="18"/>
    </row>
    <row r="307" spans="23:29" customFormat="1" x14ac:dyDescent="0.25">
      <c r="W307" s="37"/>
      <c r="X307" s="52"/>
      <c r="Y307" s="52"/>
      <c r="Z307" s="37"/>
      <c r="AA307" s="18"/>
      <c r="AB307" s="18"/>
      <c r="AC307" s="18"/>
    </row>
    <row r="308" spans="23:29" customFormat="1" x14ac:dyDescent="0.25">
      <c r="W308" s="37"/>
      <c r="X308" s="52"/>
      <c r="Y308" s="52"/>
      <c r="Z308" s="37"/>
      <c r="AA308" s="18"/>
      <c r="AB308" s="18"/>
      <c r="AC308" s="18"/>
    </row>
    <row r="309" spans="23:29" customFormat="1" x14ac:dyDescent="0.25">
      <c r="W309" s="37"/>
      <c r="X309" s="52"/>
      <c r="Y309" s="52"/>
      <c r="Z309" s="37"/>
      <c r="AA309" s="18"/>
      <c r="AB309" s="18"/>
      <c r="AC309" s="18"/>
    </row>
    <row r="310" spans="23:29" customFormat="1" x14ac:dyDescent="0.25">
      <c r="W310" s="37"/>
      <c r="X310" s="52"/>
      <c r="Y310" s="52"/>
      <c r="Z310" s="37"/>
      <c r="AA310" s="18"/>
      <c r="AB310" s="18"/>
      <c r="AC310" s="18"/>
    </row>
    <row r="311" spans="23:29" customFormat="1" x14ac:dyDescent="0.25">
      <c r="W311" s="37"/>
      <c r="X311" s="52"/>
      <c r="Y311" s="52"/>
      <c r="Z311" s="37"/>
      <c r="AA311" s="18"/>
      <c r="AB311" s="18"/>
      <c r="AC311" s="18"/>
    </row>
    <row r="312" spans="23:29" customFormat="1" x14ac:dyDescent="0.25">
      <c r="W312" s="37"/>
      <c r="X312" s="52"/>
      <c r="Y312" s="52"/>
      <c r="Z312" s="37"/>
      <c r="AA312" s="18"/>
      <c r="AB312" s="18"/>
      <c r="AC312" s="18"/>
    </row>
    <row r="313" spans="23:29" customFormat="1" x14ac:dyDescent="0.25">
      <c r="W313" s="37"/>
      <c r="X313" s="52"/>
      <c r="Y313" s="52"/>
      <c r="Z313" s="37"/>
      <c r="AA313" s="18"/>
      <c r="AB313" s="18"/>
      <c r="AC313" s="18"/>
    </row>
    <row r="314" spans="23:29" customFormat="1" x14ac:dyDescent="0.25">
      <c r="W314" s="37"/>
      <c r="X314" s="52"/>
      <c r="Y314" s="52"/>
      <c r="Z314" s="37"/>
      <c r="AA314" s="18"/>
      <c r="AB314" s="18"/>
      <c r="AC314" s="18"/>
    </row>
    <row r="315" spans="23:29" customFormat="1" x14ac:dyDescent="0.25">
      <c r="W315" s="37"/>
      <c r="X315" s="52"/>
      <c r="Y315" s="52"/>
      <c r="Z315" s="37"/>
      <c r="AA315" s="18"/>
      <c r="AB315" s="18"/>
      <c r="AC315" s="18"/>
    </row>
    <row r="316" spans="23:29" customFormat="1" x14ac:dyDescent="0.25">
      <c r="W316" s="37"/>
      <c r="X316" s="52"/>
      <c r="Y316" s="52"/>
      <c r="Z316" s="37"/>
      <c r="AA316" s="18"/>
      <c r="AB316" s="18"/>
      <c r="AC316" s="18"/>
    </row>
    <row r="317" spans="23:29" customFormat="1" x14ac:dyDescent="0.25">
      <c r="W317" s="37"/>
      <c r="X317" s="52"/>
      <c r="Y317" s="52"/>
      <c r="Z317" s="37"/>
      <c r="AA317" s="18"/>
      <c r="AB317" s="18"/>
      <c r="AC317" s="18"/>
    </row>
    <row r="318" spans="23:29" customFormat="1" x14ac:dyDescent="0.25">
      <c r="W318" s="37"/>
      <c r="X318" s="52"/>
      <c r="Y318" s="52"/>
      <c r="Z318" s="37"/>
      <c r="AA318" s="18"/>
      <c r="AB318" s="18"/>
      <c r="AC318" s="18"/>
    </row>
    <row r="319" spans="23:29" customFormat="1" x14ac:dyDescent="0.25">
      <c r="W319" s="37"/>
      <c r="X319" s="52"/>
      <c r="Y319" s="52"/>
      <c r="Z319" s="37"/>
      <c r="AA319" s="18"/>
      <c r="AB319" s="18"/>
      <c r="AC319" s="18"/>
    </row>
    <row r="320" spans="23:29" customFormat="1" x14ac:dyDescent="0.25">
      <c r="W320" s="37"/>
      <c r="X320" s="52"/>
      <c r="Y320" s="52"/>
      <c r="Z320" s="37"/>
      <c r="AA320" s="18"/>
      <c r="AB320" s="18"/>
      <c r="AC320" s="18"/>
    </row>
    <row r="321" spans="23:29" customFormat="1" x14ac:dyDescent="0.25">
      <c r="W321" s="37"/>
      <c r="X321" s="52"/>
      <c r="Y321" s="52"/>
      <c r="Z321" s="37"/>
      <c r="AA321" s="18"/>
      <c r="AB321" s="18"/>
      <c r="AC321" s="18"/>
    </row>
    <row r="322" spans="23:29" customFormat="1" x14ac:dyDescent="0.25">
      <c r="W322" s="37"/>
      <c r="X322" s="52"/>
      <c r="Y322" s="52"/>
      <c r="Z322" s="37"/>
      <c r="AA322" s="18"/>
      <c r="AB322" s="18"/>
      <c r="AC322" s="18"/>
    </row>
    <row r="323" spans="23:29" customFormat="1" x14ac:dyDescent="0.25">
      <c r="W323" s="37"/>
      <c r="X323" s="52"/>
      <c r="Y323" s="52"/>
      <c r="Z323" s="37"/>
      <c r="AA323" s="18"/>
      <c r="AB323" s="18"/>
      <c r="AC323" s="18"/>
    </row>
    <row r="324" spans="23:29" customFormat="1" x14ac:dyDescent="0.25">
      <c r="W324" s="37"/>
      <c r="X324" s="52"/>
      <c r="Y324" s="52"/>
      <c r="Z324" s="37"/>
      <c r="AA324" s="18"/>
      <c r="AB324" s="18"/>
      <c r="AC324" s="18"/>
    </row>
    <row r="325" spans="23:29" customFormat="1" x14ac:dyDescent="0.25">
      <c r="W325" s="37"/>
      <c r="X325" s="52"/>
      <c r="Y325" s="52"/>
      <c r="Z325" s="37"/>
      <c r="AA325" s="18"/>
      <c r="AB325" s="18"/>
      <c r="AC325" s="18"/>
    </row>
    <row r="326" spans="23:29" customFormat="1" x14ac:dyDescent="0.25">
      <c r="W326" s="37"/>
      <c r="X326" s="52"/>
      <c r="Y326" s="52"/>
      <c r="Z326" s="37"/>
      <c r="AA326" s="18"/>
      <c r="AB326" s="18"/>
      <c r="AC326" s="18"/>
    </row>
    <row r="327" spans="23:29" customFormat="1" x14ac:dyDescent="0.25">
      <c r="W327" s="37"/>
      <c r="X327" s="52"/>
      <c r="Y327" s="52"/>
      <c r="Z327" s="37"/>
      <c r="AA327" s="18"/>
      <c r="AB327" s="18"/>
      <c r="AC327" s="18"/>
    </row>
    <row r="328" spans="23:29" customFormat="1" x14ac:dyDescent="0.25">
      <c r="W328" s="37"/>
      <c r="X328" s="52"/>
      <c r="Y328" s="52"/>
      <c r="Z328" s="37"/>
      <c r="AA328" s="18"/>
      <c r="AB328" s="18"/>
      <c r="AC328" s="18"/>
    </row>
    <row r="329" spans="23:29" customFormat="1" x14ac:dyDescent="0.25">
      <c r="W329" s="37"/>
      <c r="X329" s="52"/>
      <c r="Y329" s="52"/>
      <c r="Z329" s="37"/>
      <c r="AA329" s="18"/>
      <c r="AB329" s="18"/>
      <c r="AC329" s="18"/>
    </row>
    <row r="330" spans="23:29" customFormat="1" x14ac:dyDescent="0.25">
      <c r="W330" s="37"/>
      <c r="X330" s="52"/>
      <c r="Y330" s="52"/>
      <c r="Z330" s="37"/>
      <c r="AA330" s="18"/>
      <c r="AB330" s="18"/>
      <c r="AC330" s="18"/>
    </row>
    <row r="331" spans="23:29" customFormat="1" x14ac:dyDescent="0.25">
      <c r="W331" s="37"/>
      <c r="X331" s="52"/>
      <c r="Y331" s="52"/>
      <c r="Z331" s="37"/>
      <c r="AA331" s="18"/>
      <c r="AB331" s="18"/>
      <c r="AC331" s="18"/>
    </row>
    <row r="332" spans="23:29" customFormat="1" x14ac:dyDescent="0.25">
      <c r="W332" s="37"/>
      <c r="X332" s="52"/>
      <c r="Y332" s="52"/>
      <c r="Z332" s="37"/>
      <c r="AA332" s="18"/>
      <c r="AB332" s="18"/>
      <c r="AC332" s="18"/>
    </row>
    <row r="333" spans="23:29" customFormat="1" x14ac:dyDescent="0.25">
      <c r="W333" s="37"/>
      <c r="X333" s="52"/>
      <c r="Y333" s="52"/>
      <c r="Z333" s="37"/>
      <c r="AA333" s="18"/>
      <c r="AB333" s="18"/>
      <c r="AC333" s="18"/>
    </row>
    <row r="334" spans="23:29" customFormat="1" x14ac:dyDescent="0.25">
      <c r="W334" s="37"/>
      <c r="X334" s="52"/>
      <c r="Y334" s="52"/>
      <c r="Z334" s="37"/>
      <c r="AA334" s="18"/>
      <c r="AB334" s="18"/>
      <c r="AC334" s="18"/>
    </row>
    <row r="335" spans="23:29" customFormat="1" x14ac:dyDescent="0.25">
      <c r="W335" s="37"/>
      <c r="X335" s="52"/>
      <c r="Y335" s="52"/>
      <c r="Z335" s="37"/>
      <c r="AA335" s="18"/>
      <c r="AB335" s="18"/>
      <c r="AC335" s="18"/>
    </row>
    <row r="336" spans="23:29" customFormat="1" x14ac:dyDescent="0.25">
      <c r="W336" s="37"/>
      <c r="X336" s="52"/>
      <c r="Y336" s="52"/>
      <c r="Z336" s="37"/>
      <c r="AA336" s="18"/>
      <c r="AB336" s="18"/>
      <c r="AC336" s="18"/>
    </row>
    <row r="337" spans="23:29" customFormat="1" x14ac:dyDescent="0.25">
      <c r="W337" s="37"/>
      <c r="X337" s="52"/>
      <c r="Y337" s="52"/>
      <c r="Z337" s="37"/>
      <c r="AA337" s="18"/>
      <c r="AB337" s="18"/>
      <c r="AC337" s="18"/>
    </row>
    <row r="338" spans="23:29" customFormat="1" x14ac:dyDescent="0.25">
      <c r="W338" s="37"/>
      <c r="X338" s="52"/>
      <c r="Y338" s="52"/>
      <c r="Z338" s="37"/>
      <c r="AA338" s="18"/>
      <c r="AB338" s="18"/>
      <c r="AC338" s="18"/>
    </row>
    <row r="339" spans="23:29" customFormat="1" x14ac:dyDescent="0.25">
      <c r="W339" s="37"/>
      <c r="X339" s="52"/>
      <c r="Y339" s="52"/>
      <c r="Z339" s="37"/>
      <c r="AA339" s="18"/>
      <c r="AB339" s="18"/>
      <c r="AC339" s="18"/>
    </row>
    <row r="340" spans="23:29" customFormat="1" x14ac:dyDescent="0.25">
      <c r="W340" s="37"/>
      <c r="X340" s="52"/>
      <c r="Y340" s="52"/>
      <c r="Z340" s="37"/>
      <c r="AA340" s="18"/>
      <c r="AB340" s="18"/>
      <c r="AC340" s="18"/>
    </row>
    <row r="341" spans="23:29" customFormat="1" x14ac:dyDescent="0.25">
      <c r="W341" s="37"/>
      <c r="X341" s="52"/>
      <c r="Y341" s="52"/>
      <c r="Z341" s="37"/>
      <c r="AA341" s="18"/>
      <c r="AB341" s="18"/>
      <c r="AC341" s="18"/>
    </row>
    <row r="342" spans="23:29" customFormat="1" x14ac:dyDescent="0.25">
      <c r="W342" s="37"/>
      <c r="X342" s="52"/>
      <c r="Y342" s="52"/>
      <c r="Z342" s="37"/>
      <c r="AA342" s="18"/>
      <c r="AB342" s="18"/>
      <c r="AC342" s="18"/>
    </row>
    <row r="343" spans="23:29" customFormat="1" x14ac:dyDescent="0.25">
      <c r="W343" s="37"/>
      <c r="X343" s="52"/>
      <c r="Y343" s="52"/>
      <c r="Z343" s="37"/>
      <c r="AA343" s="18"/>
      <c r="AB343" s="18"/>
      <c r="AC343" s="18"/>
    </row>
    <row r="344" spans="23:29" customFormat="1" x14ac:dyDescent="0.25">
      <c r="W344" s="37"/>
      <c r="X344" s="52"/>
      <c r="Y344" s="52"/>
      <c r="Z344" s="37"/>
      <c r="AA344" s="18"/>
      <c r="AB344" s="18"/>
      <c r="AC344" s="18"/>
    </row>
    <row r="345" spans="23:29" customFormat="1" x14ac:dyDescent="0.25">
      <c r="W345" s="37"/>
      <c r="X345" s="52"/>
      <c r="Y345" s="52"/>
      <c r="Z345" s="37"/>
      <c r="AA345" s="18"/>
      <c r="AB345" s="18"/>
      <c r="AC345" s="18"/>
    </row>
    <row r="346" spans="23:29" customFormat="1" x14ac:dyDescent="0.25">
      <c r="W346" s="37"/>
      <c r="X346" s="52"/>
      <c r="Y346" s="52"/>
      <c r="Z346" s="37"/>
      <c r="AA346" s="18"/>
      <c r="AB346" s="18"/>
      <c r="AC346" s="18"/>
    </row>
    <row r="347" spans="23:29" customFormat="1" x14ac:dyDescent="0.25">
      <c r="W347" s="37"/>
      <c r="X347" s="52"/>
      <c r="Y347" s="52"/>
      <c r="Z347" s="37"/>
      <c r="AA347" s="18"/>
      <c r="AB347" s="18"/>
      <c r="AC347" s="18"/>
    </row>
    <row r="348" spans="23:29" customFormat="1" x14ac:dyDescent="0.25">
      <c r="W348" s="37"/>
      <c r="X348" s="52"/>
      <c r="Y348" s="52"/>
      <c r="Z348" s="37"/>
      <c r="AA348" s="18"/>
      <c r="AB348" s="18"/>
      <c r="AC348" s="18"/>
    </row>
    <row r="349" spans="23:29" customFormat="1" x14ac:dyDescent="0.25">
      <c r="W349" s="37"/>
      <c r="X349" s="52"/>
      <c r="Y349" s="52"/>
      <c r="Z349" s="37"/>
      <c r="AA349" s="18"/>
      <c r="AB349" s="18"/>
      <c r="AC349" s="18"/>
    </row>
    <row r="350" spans="23:29" customFormat="1" x14ac:dyDescent="0.25">
      <c r="W350" s="37"/>
      <c r="X350" s="52"/>
      <c r="Y350" s="52"/>
      <c r="Z350" s="37"/>
      <c r="AA350" s="18"/>
      <c r="AB350" s="18"/>
      <c r="AC350" s="18"/>
    </row>
    <row r="351" spans="23:29" customFormat="1" x14ac:dyDescent="0.25">
      <c r="W351" s="37"/>
      <c r="X351" s="52"/>
      <c r="Y351" s="52"/>
      <c r="Z351" s="37"/>
      <c r="AA351" s="18"/>
      <c r="AB351" s="18"/>
      <c r="AC351" s="18"/>
    </row>
    <row r="352" spans="23:29" customFormat="1" x14ac:dyDescent="0.25">
      <c r="W352" s="37"/>
      <c r="X352" s="52"/>
      <c r="Y352" s="52"/>
      <c r="Z352" s="37"/>
      <c r="AA352" s="18"/>
      <c r="AB352" s="18"/>
      <c r="AC352" s="18"/>
    </row>
    <row r="353" spans="23:29" customFormat="1" x14ac:dyDescent="0.25">
      <c r="W353" s="37"/>
      <c r="X353" s="52"/>
      <c r="Y353" s="52"/>
      <c r="Z353" s="37"/>
      <c r="AA353" s="18"/>
      <c r="AB353" s="18"/>
      <c r="AC353" s="18"/>
    </row>
    <row r="354" spans="23:29" customFormat="1" x14ac:dyDescent="0.25">
      <c r="W354" s="37"/>
      <c r="X354" s="52"/>
      <c r="Y354" s="52"/>
      <c r="Z354" s="37"/>
      <c r="AA354" s="18"/>
      <c r="AB354" s="18"/>
      <c r="AC354" s="18"/>
    </row>
    <row r="355" spans="23:29" customFormat="1" x14ac:dyDescent="0.25">
      <c r="W355" s="37"/>
      <c r="X355" s="52"/>
      <c r="Y355" s="52"/>
      <c r="Z355" s="37"/>
      <c r="AA355" s="18"/>
      <c r="AB355" s="18"/>
      <c r="AC355" s="18"/>
    </row>
    <row r="356" spans="23:29" customFormat="1" x14ac:dyDescent="0.25">
      <c r="W356" s="37"/>
      <c r="X356" s="52"/>
      <c r="Y356" s="52"/>
      <c r="Z356" s="37"/>
      <c r="AA356" s="18"/>
      <c r="AB356" s="18"/>
      <c r="AC356" s="18"/>
    </row>
    <row r="357" spans="23:29" customFormat="1" x14ac:dyDescent="0.25">
      <c r="W357" s="37"/>
      <c r="X357" s="52"/>
      <c r="Y357" s="52"/>
      <c r="Z357" s="37"/>
      <c r="AA357" s="18"/>
      <c r="AB357" s="18"/>
      <c r="AC357" s="18"/>
    </row>
    <row r="358" spans="23:29" customFormat="1" x14ac:dyDescent="0.25">
      <c r="W358" s="37"/>
      <c r="X358" s="52"/>
      <c r="Y358" s="52"/>
      <c r="Z358" s="37"/>
      <c r="AA358" s="18"/>
      <c r="AB358" s="18"/>
      <c r="AC358" s="18"/>
    </row>
    <row r="359" spans="23:29" customFormat="1" x14ac:dyDescent="0.25">
      <c r="W359" s="37"/>
      <c r="X359" s="52"/>
      <c r="Y359" s="52"/>
      <c r="Z359" s="37"/>
      <c r="AA359" s="18"/>
      <c r="AB359" s="18"/>
      <c r="AC359" s="18"/>
    </row>
    <row r="360" spans="23:29" customFormat="1" x14ac:dyDescent="0.25">
      <c r="W360" s="37"/>
      <c r="X360" s="52"/>
      <c r="Y360" s="52"/>
      <c r="Z360" s="37"/>
      <c r="AA360" s="18"/>
      <c r="AB360" s="18"/>
      <c r="AC360" s="18"/>
    </row>
    <row r="361" spans="23:29" customFormat="1" x14ac:dyDescent="0.25">
      <c r="W361" s="37"/>
      <c r="X361" s="52"/>
      <c r="Y361" s="52"/>
      <c r="Z361" s="37"/>
      <c r="AA361" s="18"/>
      <c r="AB361" s="18"/>
      <c r="AC361" s="18"/>
    </row>
    <row r="362" spans="23:29" customFormat="1" x14ac:dyDescent="0.25">
      <c r="W362" s="37"/>
      <c r="X362" s="52"/>
      <c r="Y362" s="52"/>
      <c r="Z362" s="37"/>
      <c r="AA362" s="18"/>
      <c r="AB362" s="18"/>
      <c r="AC362" s="18"/>
    </row>
    <row r="363" spans="23:29" customFormat="1" x14ac:dyDescent="0.25">
      <c r="W363" s="37"/>
      <c r="X363" s="52"/>
      <c r="Y363" s="52"/>
      <c r="Z363" s="37"/>
      <c r="AA363" s="18"/>
      <c r="AB363" s="18"/>
      <c r="AC363" s="18"/>
    </row>
    <row r="364" spans="23:29" customFormat="1" x14ac:dyDescent="0.25">
      <c r="W364" s="37"/>
      <c r="X364" s="52"/>
      <c r="Y364" s="52"/>
      <c r="Z364" s="37"/>
      <c r="AA364" s="18"/>
      <c r="AB364" s="18"/>
      <c r="AC364" s="18"/>
    </row>
    <row r="365" spans="23:29" customFormat="1" x14ac:dyDescent="0.25">
      <c r="W365" s="37"/>
      <c r="X365" s="52"/>
      <c r="Y365" s="52"/>
      <c r="Z365" s="37"/>
      <c r="AA365" s="18"/>
      <c r="AB365" s="18"/>
      <c r="AC365" s="18"/>
    </row>
    <row r="366" spans="23:29" customFormat="1" x14ac:dyDescent="0.25">
      <c r="W366" s="37"/>
      <c r="X366" s="52"/>
      <c r="Y366" s="52"/>
      <c r="Z366" s="37"/>
      <c r="AA366" s="18"/>
      <c r="AB366" s="18"/>
      <c r="AC366" s="18"/>
    </row>
    <row r="367" spans="23:29" customFormat="1" x14ac:dyDescent="0.25">
      <c r="W367" s="37"/>
      <c r="X367" s="52"/>
      <c r="Y367" s="52"/>
      <c r="Z367" s="37"/>
      <c r="AA367" s="18"/>
      <c r="AB367" s="18"/>
      <c r="AC367" s="18"/>
    </row>
    <row r="368" spans="23:29" customFormat="1" x14ac:dyDescent="0.25">
      <c r="W368" s="37"/>
      <c r="X368" s="52"/>
      <c r="Y368" s="52"/>
      <c r="Z368" s="37"/>
      <c r="AA368" s="18"/>
      <c r="AB368" s="18"/>
      <c r="AC368" s="18"/>
    </row>
    <row r="369" spans="23:29" customFormat="1" x14ac:dyDescent="0.25">
      <c r="W369" s="37"/>
      <c r="X369" s="52"/>
      <c r="Y369" s="52"/>
      <c r="Z369" s="37"/>
      <c r="AA369" s="18"/>
      <c r="AB369" s="18"/>
      <c r="AC369" s="18"/>
    </row>
    <row r="370" spans="23:29" customFormat="1" x14ac:dyDescent="0.25">
      <c r="W370" s="37"/>
      <c r="X370" s="52"/>
      <c r="Y370" s="52"/>
      <c r="Z370" s="37"/>
      <c r="AA370" s="18"/>
      <c r="AB370" s="18"/>
      <c r="AC370" s="18"/>
    </row>
    <row r="371" spans="23:29" customFormat="1" x14ac:dyDescent="0.25">
      <c r="W371" s="37"/>
      <c r="X371" s="52"/>
      <c r="Y371" s="52"/>
      <c r="Z371" s="37"/>
      <c r="AA371" s="18"/>
      <c r="AB371" s="18"/>
      <c r="AC371" s="18"/>
    </row>
    <row r="372" spans="23:29" customFormat="1" x14ac:dyDescent="0.25">
      <c r="W372" s="37"/>
      <c r="X372" s="52"/>
      <c r="Y372" s="52"/>
      <c r="Z372" s="37"/>
      <c r="AA372" s="18"/>
      <c r="AB372" s="18"/>
      <c r="AC372" s="18"/>
    </row>
    <row r="373" spans="23:29" customFormat="1" x14ac:dyDescent="0.25">
      <c r="W373" s="37"/>
      <c r="X373" s="52"/>
      <c r="Y373" s="52"/>
      <c r="Z373" s="37"/>
      <c r="AA373" s="18"/>
      <c r="AB373" s="18"/>
      <c r="AC373" s="18"/>
    </row>
    <row r="374" spans="23:29" customFormat="1" x14ac:dyDescent="0.25">
      <c r="W374" s="37"/>
      <c r="X374" s="52"/>
      <c r="Y374" s="52"/>
      <c r="Z374" s="37"/>
      <c r="AA374" s="18"/>
      <c r="AB374" s="18"/>
      <c r="AC374" s="18"/>
    </row>
    <row r="375" spans="23:29" customFormat="1" x14ac:dyDescent="0.25">
      <c r="W375" s="37"/>
      <c r="X375" s="52"/>
      <c r="Y375" s="52"/>
      <c r="Z375" s="37"/>
      <c r="AA375" s="18"/>
      <c r="AB375" s="18"/>
      <c r="AC375" s="18"/>
    </row>
    <row r="376" spans="23:29" customFormat="1" x14ac:dyDescent="0.25">
      <c r="W376" s="37"/>
      <c r="X376" s="52"/>
      <c r="Y376" s="52"/>
      <c r="Z376" s="37"/>
      <c r="AA376" s="18"/>
      <c r="AB376" s="18"/>
      <c r="AC376" s="18"/>
    </row>
    <row r="377" spans="23:29" customFormat="1" x14ac:dyDescent="0.25">
      <c r="W377" s="37"/>
      <c r="X377" s="52"/>
      <c r="Y377" s="52"/>
      <c r="Z377" s="37"/>
      <c r="AA377" s="18"/>
      <c r="AB377" s="18"/>
      <c r="AC377" s="18"/>
    </row>
    <row r="378" spans="23:29" customFormat="1" x14ac:dyDescent="0.25">
      <c r="W378" s="37"/>
      <c r="X378" s="52"/>
      <c r="Y378" s="52"/>
      <c r="Z378" s="37"/>
      <c r="AA378" s="18"/>
      <c r="AB378" s="18"/>
      <c r="AC378" s="18"/>
    </row>
    <row r="379" spans="23:29" customFormat="1" x14ac:dyDescent="0.25">
      <c r="W379" s="37"/>
      <c r="X379" s="52"/>
      <c r="Y379" s="52"/>
      <c r="Z379" s="37"/>
      <c r="AA379" s="18"/>
      <c r="AB379" s="18"/>
      <c r="AC379" s="18"/>
    </row>
    <row r="380" spans="23:29" customFormat="1" x14ac:dyDescent="0.25">
      <c r="W380" s="37"/>
      <c r="X380" s="52"/>
      <c r="Y380" s="52"/>
      <c r="Z380" s="37"/>
      <c r="AA380" s="18"/>
      <c r="AB380" s="18"/>
      <c r="AC380" s="18"/>
    </row>
    <row r="381" spans="23:29" customFormat="1" x14ac:dyDescent="0.25">
      <c r="W381" s="37"/>
      <c r="X381" s="52"/>
      <c r="Y381" s="52"/>
      <c r="Z381" s="37"/>
      <c r="AA381" s="18"/>
      <c r="AB381" s="18"/>
      <c r="AC381" s="18"/>
    </row>
    <row r="382" spans="23:29" customFormat="1" x14ac:dyDescent="0.25">
      <c r="W382" s="37"/>
      <c r="X382" s="52"/>
      <c r="Y382" s="52"/>
      <c r="Z382" s="37"/>
      <c r="AA382" s="18"/>
      <c r="AB382" s="18"/>
      <c r="AC382" s="18"/>
    </row>
    <row r="383" spans="23:29" customFormat="1" x14ac:dyDescent="0.25">
      <c r="W383" s="37"/>
      <c r="X383" s="52"/>
      <c r="Y383" s="52"/>
      <c r="Z383" s="37"/>
      <c r="AA383" s="18"/>
      <c r="AB383" s="18"/>
      <c r="AC383" s="18"/>
    </row>
    <row r="384" spans="23:29" customFormat="1" x14ac:dyDescent="0.25">
      <c r="W384" s="37"/>
      <c r="X384" s="52"/>
      <c r="Y384" s="52"/>
      <c r="Z384" s="37"/>
      <c r="AA384" s="18"/>
      <c r="AB384" s="18"/>
      <c r="AC384" s="18"/>
    </row>
    <row r="385" spans="23:29" customFormat="1" x14ac:dyDescent="0.25">
      <c r="W385" s="37"/>
      <c r="X385" s="52"/>
      <c r="Y385" s="52"/>
      <c r="Z385" s="37"/>
      <c r="AA385" s="18"/>
      <c r="AB385" s="18"/>
      <c r="AC385" s="18"/>
    </row>
    <row r="386" spans="23:29" customFormat="1" x14ac:dyDescent="0.25">
      <c r="W386" s="37"/>
      <c r="X386" s="52"/>
      <c r="Y386" s="52"/>
      <c r="Z386" s="37"/>
      <c r="AA386" s="18"/>
      <c r="AB386" s="18"/>
      <c r="AC386" s="18"/>
    </row>
    <row r="387" spans="23:29" customFormat="1" x14ac:dyDescent="0.25">
      <c r="W387" s="37"/>
      <c r="X387" s="52"/>
      <c r="Y387" s="52"/>
      <c r="Z387" s="37"/>
      <c r="AA387" s="18"/>
      <c r="AB387" s="18"/>
      <c r="AC387" s="18"/>
    </row>
    <row r="388" spans="23:29" customFormat="1" x14ac:dyDescent="0.25">
      <c r="W388" s="37"/>
      <c r="X388" s="52"/>
      <c r="Y388" s="52"/>
      <c r="Z388" s="37"/>
      <c r="AA388" s="18"/>
      <c r="AB388" s="18"/>
      <c r="AC388" s="18"/>
    </row>
    <row r="389" spans="23:29" customFormat="1" x14ac:dyDescent="0.25">
      <c r="W389" s="37"/>
      <c r="X389" s="52"/>
      <c r="Y389" s="52"/>
      <c r="Z389" s="37"/>
      <c r="AA389" s="18"/>
      <c r="AB389" s="18"/>
      <c r="AC389" s="18"/>
    </row>
    <row r="390" spans="23:29" customFormat="1" x14ac:dyDescent="0.25">
      <c r="W390" s="37"/>
      <c r="X390" s="52"/>
      <c r="Y390" s="52"/>
      <c r="Z390" s="37"/>
      <c r="AA390" s="18"/>
      <c r="AB390" s="18"/>
      <c r="AC390" s="18"/>
    </row>
    <row r="391" spans="23:29" customFormat="1" x14ac:dyDescent="0.25">
      <c r="W391" s="37"/>
      <c r="X391" s="52"/>
      <c r="Y391" s="52"/>
      <c r="Z391" s="37"/>
      <c r="AA391" s="18"/>
      <c r="AB391" s="18"/>
      <c r="AC391" s="18"/>
    </row>
    <row r="392" spans="23:29" customFormat="1" x14ac:dyDescent="0.25">
      <c r="W392" s="37"/>
      <c r="X392" s="52"/>
      <c r="Y392" s="52"/>
      <c r="Z392" s="37"/>
      <c r="AA392" s="18"/>
      <c r="AB392" s="18"/>
      <c r="AC392" s="18"/>
    </row>
    <row r="393" spans="23:29" customFormat="1" x14ac:dyDescent="0.25">
      <c r="W393" s="37"/>
      <c r="X393" s="52"/>
      <c r="Y393" s="52"/>
      <c r="Z393" s="37"/>
      <c r="AA393" s="18"/>
      <c r="AB393" s="18"/>
      <c r="AC393" s="18"/>
    </row>
    <row r="394" spans="23:29" customFormat="1" x14ac:dyDescent="0.25">
      <c r="W394" s="37"/>
      <c r="X394" s="52"/>
      <c r="Y394" s="52"/>
      <c r="Z394" s="37"/>
      <c r="AA394" s="18"/>
      <c r="AB394" s="18"/>
      <c r="AC394" s="18"/>
    </row>
    <row r="395" spans="23:29" customFormat="1" x14ac:dyDescent="0.25">
      <c r="W395" s="37"/>
      <c r="X395" s="52"/>
      <c r="Y395" s="52"/>
      <c r="Z395" s="37"/>
      <c r="AA395" s="18"/>
      <c r="AB395" s="18"/>
      <c r="AC395" s="18"/>
    </row>
    <row r="396" spans="23:29" customFormat="1" x14ac:dyDescent="0.25">
      <c r="W396" s="37"/>
      <c r="X396" s="52"/>
      <c r="Y396" s="52"/>
      <c r="Z396" s="37"/>
      <c r="AA396" s="18"/>
      <c r="AB396" s="18"/>
      <c r="AC396" s="18"/>
    </row>
    <row r="397" spans="23:29" customFormat="1" x14ac:dyDescent="0.25">
      <c r="W397" s="37"/>
      <c r="X397" s="52"/>
      <c r="Y397" s="52"/>
      <c r="Z397" s="37"/>
      <c r="AA397" s="18"/>
      <c r="AB397" s="18"/>
      <c r="AC397" s="18"/>
    </row>
    <row r="398" spans="23:29" customFormat="1" x14ac:dyDescent="0.25">
      <c r="W398" s="37"/>
      <c r="X398" s="52"/>
      <c r="Y398" s="52"/>
      <c r="Z398" s="37"/>
      <c r="AA398" s="18"/>
      <c r="AB398" s="18"/>
      <c r="AC398" s="18"/>
    </row>
    <row r="399" spans="23:29" customFormat="1" x14ac:dyDescent="0.25">
      <c r="W399" s="37"/>
      <c r="X399" s="52"/>
      <c r="Y399" s="52"/>
      <c r="Z399" s="37"/>
      <c r="AA399" s="18"/>
      <c r="AB399" s="18"/>
      <c r="AC399" s="18"/>
    </row>
    <row r="400" spans="23:29" customFormat="1" x14ac:dyDescent="0.25">
      <c r="W400" s="37"/>
      <c r="X400" s="52"/>
      <c r="Y400" s="52"/>
      <c r="Z400" s="37"/>
      <c r="AA400" s="18"/>
      <c r="AB400" s="18"/>
      <c r="AC400" s="18"/>
    </row>
    <row r="401" spans="23:29" customFormat="1" x14ac:dyDescent="0.25">
      <c r="W401" s="37"/>
      <c r="X401" s="52"/>
      <c r="Y401" s="52"/>
      <c r="Z401" s="37"/>
      <c r="AA401" s="18"/>
      <c r="AB401" s="18"/>
      <c r="AC401" s="18"/>
    </row>
    <row r="402" spans="23:29" customFormat="1" x14ac:dyDescent="0.25">
      <c r="W402" s="37"/>
      <c r="X402" s="52"/>
      <c r="Y402" s="52"/>
      <c r="Z402" s="37"/>
      <c r="AA402" s="18"/>
      <c r="AB402" s="18"/>
      <c r="AC402" s="18"/>
    </row>
    <row r="403" spans="23:29" customFormat="1" x14ac:dyDescent="0.25">
      <c r="W403" s="37"/>
      <c r="X403" s="52"/>
      <c r="Y403" s="52"/>
      <c r="Z403" s="37"/>
      <c r="AA403" s="18"/>
      <c r="AB403" s="18"/>
      <c r="AC403" s="18"/>
    </row>
    <row r="404" spans="23:29" customFormat="1" x14ac:dyDescent="0.25">
      <c r="W404" s="37"/>
      <c r="X404" s="52"/>
      <c r="Y404" s="52"/>
      <c r="Z404" s="37"/>
      <c r="AA404" s="18"/>
      <c r="AB404" s="18"/>
      <c r="AC404" s="18"/>
    </row>
    <row r="405" spans="23:29" customFormat="1" x14ac:dyDescent="0.25">
      <c r="W405" s="37"/>
      <c r="X405" s="52"/>
      <c r="Y405" s="52"/>
      <c r="Z405" s="37"/>
      <c r="AA405" s="18"/>
      <c r="AB405" s="18"/>
      <c r="AC405" s="18"/>
    </row>
    <row r="406" spans="23:29" customFormat="1" x14ac:dyDescent="0.25">
      <c r="W406" s="37"/>
      <c r="X406" s="52"/>
      <c r="Y406" s="52"/>
      <c r="Z406" s="37"/>
      <c r="AA406" s="18"/>
      <c r="AB406" s="18"/>
      <c r="AC406" s="18"/>
    </row>
    <row r="407" spans="23:29" customFormat="1" x14ac:dyDescent="0.25">
      <c r="W407" s="37"/>
      <c r="X407" s="52"/>
      <c r="Y407" s="52"/>
      <c r="Z407" s="37"/>
      <c r="AA407" s="18"/>
      <c r="AB407" s="18"/>
      <c r="AC407" s="18"/>
    </row>
    <row r="408" spans="23:29" customFormat="1" x14ac:dyDescent="0.25">
      <c r="W408" s="37"/>
      <c r="X408" s="52"/>
      <c r="Y408" s="52"/>
      <c r="Z408" s="37"/>
      <c r="AA408" s="18"/>
      <c r="AB408" s="18"/>
      <c r="AC408" s="18"/>
    </row>
    <row r="409" spans="23:29" customFormat="1" x14ac:dyDescent="0.25">
      <c r="W409" s="37"/>
      <c r="X409" s="52"/>
      <c r="Y409" s="52"/>
      <c r="Z409" s="37"/>
      <c r="AA409" s="18"/>
      <c r="AB409" s="18"/>
      <c r="AC409" s="18"/>
    </row>
    <row r="410" spans="23:29" customFormat="1" x14ac:dyDescent="0.25">
      <c r="W410" s="37"/>
      <c r="X410" s="52"/>
      <c r="Y410" s="52"/>
      <c r="Z410" s="37"/>
      <c r="AA410" s="18"/>
      <c r="AB410" s="18"/>
      <c r="AC410" s="18"/>
    </row>
    <row r="411" spans="23:29" customFormat="1" x14ac:dyDescent="0.25">
      <c r="W411" s="37"/>
      <c r="X411" s="52"/>
      <c r="Y411" s="52"/>
      <c r="Z411" s="37"/>
      <c r="AA411" s="18"/>
      <c r="AB411" s="18"/>
      <c r="AC411" s="18"/>
    </row>
    <row r="412" spans="23:29" customFormat="1" x14ac:dyDescent="0.25">
      <c r="W412" s="37"/>
      <c r="X412" s="52"/>
      <c r="Y412" s="52"/>
      <c r="Z412" s="37"/>
      <c r="AA412" s="18"/>
      <c r="AB412" s="18"/>
      <c r="AC412" s="18"/>
    </row>
    <row r="413" spans="23:29" customFormat="1" x14ac:dyDescent="0.25">
      <c r="W413" s="37"/>
      <c r="X413" s="52"/>
      <c r="Y413" s="52"/>
      <c r="Z413" s="37"/>
      <c r="AA413" s="18"/>
      <c r="AB413" s="18"/>
      <c r="AC413" s="18"/>
    </row>
    <row r="414" spans="23:29" customFormat="1" x14ac:dyDescent="0.25">
      <c r="W414" s="37"/>
      <c r="X414" s="52"/>
      <c r="Y414" s="52"/>
      <c r="Z414" s="37"/>
      <c r="AA414" s="18"/>
      <c r="AB414" s="18"/>
      <c r="AC414" s="18"/>
    </row>
    <row r="415" spans="23:29" customFormat="1" x14ac:dyDescent="0.25">
      <c r="W415" s="37"/>
      <c r="X415" s="52"/>
      <c r="Y415" s="52"/>
      <c r="Z415" s="37"/>
      <c r="AA415" s="18"/>
      <c r="AB415" s="18"/>
      <c r="AC415" s="18"/>
    </row>
    <row r="416" spans="23:29" customFormat="1" x14ac:dyDescent="0.25">
      <c r="W416" s="37"/>
      <c r="X416" s="52"/>
      <c r="Y416" s="52"/>
      <c r="Z416" s="37"/>
      <c r="AA416" s="18"/>
      <c r="AB416" s="18"/>
      <c r="AC416" s="18"/>
    </row>
    <row r="417" spans="23:29" customFormat="1" x14ac:dyDescent="0.25">
      <c r="W417" s="37"/>
      <c r="X417" s="52"/>
      <c r="Y417" s="52"/>
      <c r="Z417" s="37"/>
      <c r="AA417" s="18"/>
      <c r="AB417" s="18"/>
      <c r="AC417" s="18"/>
    </row>
    <row r="418" spans="23:29" customFormat="1" x14ac:dyDescent="0.25">
      <c r="W418" s="37"/>
      <c r="X418" s="52"/>
      <c r="Y418" s="52"/>
      <c r="Z418" s="37"/>
      <c r="AA418" s="18"/>
      <c r="AB418" s="18"/>
      <c r="AC418" s="18"/>
    </row>
    <row r="419" spans="23:29" customFormat="1" x14ac:dyDescent="0.25">
      <c r="W419" s="37"/>
      <c r="X419" s="52"/>
      <c r="Y419" s="52"/>
      <c r="Z419" s="37"/>
      <c r="AA419" s="18"/>
      <c r="AB419" s="18"/>
      <c r="AC419" s="18"/>
    </row>
    <row r="420" spans="23:29" customFormat="1" x14ac:dyDescent="0.25">
      <c r="W420" s="37"/>
      <c r="X420" s="52"/>
      <c r="Y420" s="52"/>
      <c r="Z420" s="37"/>
      <c r="AA420" s="18"/>
      <c r="AB420" s="18"/>
      <c r="AC420" s="18"/>
    </row>
    <row r="421" spans="23:29" customFormat="1" x14ac:dyDescent="0.25">
      <c r="W421" s="37"/>
      <c r="X421" s="52"/>
      <c r="Y421" s="52"/>
      <c r="Z421" s="37"/>
      <c r="AA421" s="18"/>
      <c r="AB421" s="18"/>
      <c r="AC421" s="18"/>
    </row>
    <row r="422" spans="23:29" customFormat="1" x14ac:dyDescent="0.25">
      <c r="W422" s="37"/>
      <c r="X422" s="52"/>
      <c r="Y422" s="52"/>
      <c r="Z422" s="37"/>
      <c r="AA422" s="18"/>
      <c r="AB422" s="18"/>
      <c r="AC422" s="18"/>
    </row>
    <row r="423" spans="23:29" customFormat="1" x14ac:dyDescent="0.25">
      <c r="W423" s="37"/>
      <c r="X423" s="52"/>
      <c r="Y423" s="52"/>
      <c r="Z423" s="37"/>
      <c r="AA423" s="18"/>
      <c r="AB423" s="18"/>
      <c r="AC423" s="18"/>
    </row>
    <row r="424" spans="23:29" customFormat="1" x14ac:dyDescent="0.25">
      <c r="W424" s="37"/>
      <c r="X424" s="52"/>
      <c r="Y424" s="52"/>
      <c r="Z424" s="37"/>
      <c r="AA424" s="18"/>
      <c r="AB424" s="18"/>
      <c r="AC424" s="18"/>
    </row>
    <row r="425" spans="23:29" customFormat="1" x14ac:dyDescent="0.25">
      <c r="W425" s="37"/>
      <c r="X425" s="52"/>
      <c r="Y425" s="52"/>
      <c r="Z425" s="37"/>
      <c r="AA425" s="18"/>
      <c r="AB425" s="18"/>
      <c r="AC425" s="18"/>
    </row>
    <row r="426" spans="23:29" customFormat="1" x14ac:dyDescent="0.25">
      <c r="W426" s="37"/>
      <c r="X426" s="52"/>
      <c r="Y426" s="52"/>
      <c r="Z426" s="37"/>
      <c r="AA426" s="18"/>
      <c r="AB426" s="18"/>
      <c r="AC426" s="18"/>
    </row>
    <row r="427" spans="23:29" customFormat="1" x14ac:dyDescent="0.25">
      <c r="W427" s="37"/>
      <c r="X427" s="52"/>
      <c r="Y427" s="52"/>
      <c r="Z427" s="37"/>
      <c r="AA427" s="18"/>
      <c r="AB427" s="18"/>
      <c r="AC427" s="18"/>
    </row>
    <row r="428" spans="23:29" customFormat="1" x14ac:dyDescent="0.25">
      <c r="W428" s="37"/>
      <c r="X428" s="52"/>
      <c r="Y428" s="52"/>
      <c r="Z428" s="37"/>
      <c r="AA428" s="18"/>
      <c r="AB428" s="18"/>
      <c r="AC428" s="18"/>
    </row>
    <row r="429" spans="23:29" customFormat="1" x14ac:dyDescent="0.25">
      <c r="W429" s="37"/>
      <c r="X429" s="52"/>
      <c r="Y429" s="52"/>
      <c r="Z429" s="37"/>
      <c r="AA429" s="18"/>
      <c r="AB429" s="18"/>
      <c r="AC429" s="18"/>
    </row>
    <row r="430" spans="23:29" customFormat="1" x14ac:dyDescent="0.25">
      <c r="W430" s="37"/>
      <c r="X430" s="52"/>
      <c r="Y430" s="52"/>
      <c r="Z430" s="37"/>
      <c r="AA430" s="18"/>
      <c r="AB430" s="18"/>
      <c r="AC430" s="18"/>
    </row>
    <row r="431" spans="23:29" customFormat="1" x14ac:dyDescent="0.25">
      <c r="W431" s="37"/>
      <c r="X431" s="52"/>
      <c r="Y431" s="52"/>
      <c r="Z431" s="37"/>
      <c r="AA431" s="18"/>
      <c r="AB431" s="18"/>
      <c r="AC431" s="18"/>
    </row>
    <row r="432" spans="23:29" customFormat="1" x14ac:dyDescent="0.25">
      <c r="W432" s="37"/>
      <c r="X432" s="52"/>
      <c r="Y432" s="52"/>
      <c r="Z432" s="37"/>
      <c r="AA432" s="18"/>
      <c r="AB432" s="18"/>
      <c r="AC432" s="18"/>
    </row>
    <row r="433" spans="23:29" customFormat="1" x14ac:dyDescent="0.25">
      <c r="W433" s="37"/>
      <c r="X433" s="52"/>
      <c r="Y433" s="52"/>
      <c r="Z433" s="37"/>
      <c r="AA433" s="18"/>
      <c r="AB433" s="18"/>
      <c r="AC433" s="18"/>
    </row>
    <row r="434" spans="23:29" customFormat="1" x14ac:dyDescent="0.25">
      <c r="W434" s="37"/>
      <c r="X434" s="52"/>
      <c r="Y434" s="52"/>
      <c r="Z434" s="37"/>
      <c r="AA434" s="18"/>
      <c r="AB434" s="18"/>
      <c r="AC434" s="18"/>
    </row>
    <row r="435" spans="23:29" customFormat="1" x14ac:dyDescent="0.25">
      <c r="W435" s="37"/>
      <c r="X435" s="52"/>
      <c r="Y435" s="52"/>
      <c r="Z435" s="37"/>
      <c r="AA435" s="18"/>
      <c r="AB435" s="18"/>
      <c r="AC435" s="18"/>
    </row>
    <row r="436" spans="23:29" customFormat="1" x14ac:dyDescent="0.25">
      <c r="W436" s="37"/>
      <c r="X436" s="52"/>
      <c r="Y436" s="52"/>
      <c r="Z436" s="37"/>
      <c r="AA436" s="18"/>
      <c r="AB436" s="18"/>
      <c r="AC436" s="18"/>
    </row>
    <row r="437" spans="23:29" customFormat="1" x14ac:dyDescent="0.25">
      <c r="W437" s="37"/>
      <c r="X437" s="52"/>
      <c r="Y437" s="52"/>
      <c r="Z437" s="37"/>
      <c r="AA437" s="18"/>
      <c r="AB437" s="18"/>
      <c r="AC437" s="18"/>
    </row>
    <row r="438" spans="23:29" customFormat="1" x14ac:dyDescent="0.25">
      <c r="W438" s="37"/>
      <c r="X438" s="52"/>
      <c r="Y438" s="52"/>
      <c r="Z438" s="37"/>
      <c r="AA438" s="18"/>
      <c r="AB438" s="18"/>
      <c r="AC438" s="18"/>
    </row>
    <row r="439" spans="23:29" customFormat="1" x14ac:dyDescent="0.25">
      <c r="W439" s="37"/>
      <c r="X439" s="52"/>
      <c r="Y439" s="52"/>
      <c r="Z439" s="37"/>
      <c r="AA439" s="18"/>
      <c r="AB439" s="18"/>
      <c r="AC439" s="18"/>
    </row>
    <row r="440" spans="23:29" customFormat="1" x14ac:dyDescent="0.25">
      <c r="W440" s="37"/>
      <c r="X440" s="52"/>
      <c r="Y440" s="52"/>
      <c r="Z440" s="37"/>
      <c r="AA440" s="18"/>
      <c r="AB440" s="18"/>
      <c r="AC440" s="18"/>
    </row>
    <row r="441" spans="23:29" customFormat="1" x14ac:dyDescent="0.25">
      <c r="W441" s="37"/>
      <c r="X441" s="52"/>
      <c r="Y441" s="52"/>
      <c r="Z441" s="37"/>
      <c r="AA441" s="18"/>
      <c r="AB441" s="18"/>
      <c r="AC441" s="18"/>
    </row>
    <row r="442" spans="23:29" customFormat="1" x14ac:dyDescent="0.25">
      <c r="W442" s="37"/>
      <c r="X442" s="52"/>
      <c r="Y442" s="52"/>
      <c r="Z442" s="37"/>
      <c r="AA442" s="18"/>
      <c r="AB442" s="18"/>
      <c r="AC442" s="18"/>
    </row>
    <row r="443" spans="23:29" customFormat="1" x14ac:dyDescent="0.25">
      <c r="W443" s="37"/>
      <c r="X443" s="52"/>
      <c r="Y443" s="52"/>
      <c r="Z443" s="37"/>
      <c r="AA443" s="18"/>
      <c r="AB443" s="18"/>
      <c r="AC443" s="18"/>
    </row>
    <row r="444" spans="23:29" customFormat="1" x14ac:dyDescent="0.25">
      <c r="W444" s="37"/>
      <c r="X444" s="52"/>
      <c r="Y444" s="52"/>
      <c r="Z444" s="37"/>
      <c r="AA444" s="18"/>
      <c r="AB444" s="18"/>
      <c r="AC444" s="18"/>
    </row>
    <row r="445" spans="23:29" customFormat="1" x14ac:dyDescent="0.25">
      <c r="W445" s="37"/>
      <c r="X445" s="52"/>
      <c r="Y445" s="52"/>
      <c r="Z445" s="37"/>
      <c r="AA445" s="18"/>
      <c r="AB445" s="18"/>
      <c r="AC445" s="18"/>
    </row>
    <row r="446" spans="23:29" customFormat="1" x14ac:dyDescent="0.25">
      <c r="W446" s="37"/>
      <c r="X446" s="52"/>
      <c r="Y446" s="52"/>
      <c r="Z446" s="37"/>
      <c r="AA446" s="18"/>
      <c r="AB446" s="18"/>
      <c r="AC446" s="18"/>
    </row>
    <row r="447" spans="23:29" customFormat="1" x14ac:dyDescent="0.25">
      <c r="W447" s="37"/>
      <c r="X447" s="52"/>
      <c r="Y447" s="52"/>
      <c r="Z447" s="37"/>
      <c r="AA447" s="18"/>
      <c r="AB447" s="18"/>
      <c r="AC447" s="18"/>
    </row>
    <row r="448" spans="23:29" customFormat="1" x14ac:dyDescent="0.25">
      <c r="W448" s="37"/>
      <c r="X448" s="52"/>
      <c r="Y448" s="52"/>
      <c r="Z448" s="37"/>
      <c r="AA448" s="18"/>
      <c r="AB448" s="18"/>
      <c r="AC448" s="18"/>
    </row>
    <row r="449" spans="23:29" customFormat="1" x14ac:dyDescent="0.25">
      <c r="W449" s="37"/>
      <c r="X449" s="52"/>
      <c r="Y449" s="52"/>
      <c r="Z449" s="37"/>
      <c r="AA449" s="18"/>
      <c r="AB449" s="18"/>
      <c r="AC449" s="18"/>
    </row>
    <row r="450" spans="23:29" customFormat="1" x14ac:dyDescent="0.25">
      <c r="W450" s="37"/>
      <c r="X450" s="52"/>
      <c r="Y450" s="52"/>
      <c r="Z450" s="37"/>
      <c r="AA450" s="18"/>
      <c r="AB450" s="18"/>
      <c r="AC450" s="18"/>
    </row>
    <row r="451" spans="23:29" customFormat="1" x14ac:dyDescent="0.25">
      <c r="W451" s="37"/>
      <c r="X451" s="52"/>
      <c r="Y451" s="52"/>
      <c r="Z451" s="37"/>
      <c r="AA451" s="18"/>
      <c r="AB451" s="18"/>
      <c r="AC451" s="18"/>
    </row>
    <row r="452" spans="23:29" customFormat="1" x14ac:dyDescent="0.25">
      <c r="W452" s="37"/>
      <c r="X452" s="52"/>
      <c r="Y452" s="52"/>
      <c r="Z452" s="37"/>
      <c r="AA452" s="18"/>
      <c r="AB452" s="18"/>
      <c r="AC452" s="18"/>
    </row>
    <row r="453" spans="23:29" customFormat="1" x14ac:dyDescent="0.25">
      <c r="W453" s="37"/>
      <c r="X453" s="52"/>
      <c r="Y453" s="52"/>
      <c r="Z453" s="37"/>
      <c r="AA453" s="18"/>
      <c r="AB453" s="18"/>
      <c r="AC453" s="18"/>
    </row>
    <row r="454" spans="23:29" customFormat="1" x14ac:dyDescent="0.25">
      <c r="W454" s="37"/>
      <c r="X454" s="52"/>
      <c r="Y454" s="52"/>
      <c r="Z454" s="37"/>
      <c r="AA454" s="18"/>
      <c r="AB454" s="18"/>
      <c r="AC454" s="18"/>
    </row>
    <row r="455" spans="23:29" customFormat="1" x14ac:dyDescent="0.25">
      <c r="W455" s="37"/>
      <c r="X455" s="52"/>
      <c r="Y455" s="52"/>
      <c r="Z455" s="37"/>
      <c r="AA455" s="18"/>
      <c r="AB455" s="18"/>
      <c r="AC455" s="18"/>
    </row>
    <row r="456" spans="23:29" customFormat="1" x14ac:dyDescent="0.25">
      <c r="W456" s="37"/>
      <c r="X456" s="52"/>
      <c r="Y456" s="52"/>
      <c r="Z456" s="37"/>
      <c r="AA456" s="18"/>
      <c r="AB456" s="18"/>
      <c r="AC456" s="18"/>
    </row>
    <row r="457" spans="23:29" customFormat="1" x14ac:dyDescent="0.25">
      <c r="W457" s="37"/>
      <c r="X457" s="52"/>
      <c r="Y457" s="52"/>
      <c r="Z457" s="37"/>
      <c r="AA457" s="18"/>
      <c r="AB457" s="18"/>
      <c r="AC457" s="18"/>
    </row>
    <row r="458" spans="23:29" customFormat="1" x14ac:dyDescent="0.25">
      <c r="W458" s="37"/>
      <c r="X458" s="52"/>
      <c r="Y458" s="52"/>
      <c r="Z458" s="37"/>
      <c r="AA458" s="18"/>
      <c r="AB458" s="18"/>
      <c r="AC458" s="18"/>
    </row>
    <row r="459" spans="23:29" customFormat="1" x14ac:dyDescent="0.25">
      <c r="W459" s="37"/>
      <c r="X459" s="52"/>
      <c r="Y459" s="52"/>
      <c r="Z459" s="37"/>
      <c r="AA459" s="18"/>
      <c r="AB459" s="18"/>
      <c r="AC459" s="18"/>
    </row>
    <row r="460" spans="23:29" customFormat="1" x14ac:dyDescent="0.25">
      <c r="W460" s="37"/>
      <c r="X460" s="52"/>
      <c r="Y460" s="52"/>
      <c r="Z460" s="37"/>
      <c r="AA460" s="18"/>
      <c r="AB460" s="18"/>
      <c r="AC460" s="18"/>
    </row>
    <row r="461" spans="23:29" customFormat="1" x14ac:dyDescent="0.25">
      <c r="W461" s="37"/>
      <c r="X461" s="52"/>
      <c r="Y461" s="52"/>
      <c r="Z461" s="37"/>
      <c r="AA461" s="18"/>
      <c r="AB461" s="18"/>
      <c r="AC461" s="18"/>
    </row>
    <row r="462" spans="23:29" customFormat="1" x14ac:dyDescent="0.25">
      <c r="W462" s="37"/>
      <c r="X462" s="52"/>
      <c r="Y462" s="52"/>
      <c r="Z462" s="37"/>
      <c r="AA462" s="18"/>
      <c r="AB462" s="18"/>
      <c r="AC462" s="18"/>
    </row>
    <row r="463" spans="23:29" customFormat="1" x14ac:dyDescent="0.25">
      <c r="W463" s="37"/>
      <c r="X463" s="52"/>
      <c r="Y463" s="52"/>
      <c r="Z463" s="37"/>
      <c r="AA463" s="18"/>
      <c r="AB463" s="18"/>
      <c r="AC463" s="18"/>
    </row>
    <row r="464" spans="23:29" customFormat="1" x14ac:dyDescent="0.25">
      <c r="W464" s="37"/>
      <c r="X464" s="52"/>
      <c r="Y464" s="52"/>
      <c r="Z464" s="37"/>
      <c r="AA464" s="18"/>
      <c r="AB464" s="18"/>
      <c r="AC464" s="18"/>
    </row>
    <row r="465" spans="23:29" customFormat="1" x14ac:dyDescent="0.25">
      <c r="W465" s="37"/>
      <c r="X465" s="52"/>
      <c r="Y465" s="52"/>
      <c r="Z465" s="37"/>
      <c r="AA465" s="18"/>
      <c r="AB465" s="18"/>
      <c r="AC465" s="18"/>
    </row>
    <row r="466" spans="23:29" customFormat="1" x14ac:dyDescent="0.25">
      <c r="W466" s="37"/>
      <c r="X466" s="52"/>
      <c r="Y466" s="52"/>
      <c r="Z466" s="37"/>
      <c r="AA466" s="18"/>
      <c r="AB466" s="18"/>
      <c r="AC466" s="18"/>
    </row>
    <row r="467" spans="23:29" customFormat="1" x14ac:dyDescent="0.25">
      <c r="W467" s="37"/>
      <c r="X467" s="52"/>
      <c r="Y467" s="52"/>
      <c r="Z467" s="37"/>
      <c r="AA467" s="18"/>
      <c r="AB467" s="18"/>
      <c r="AC467" s="18"/>
    </row>
    <row r="468" spans="23:29" customFormat="1" x14ac:dyDescent="0.25">
      <c r="W468" s="37"/>
      <c r="X468" s="52"/>
      <c r="Y468" s="52"/>
      <c r="Z468" s="37"/>
      <c r="AA468" s="18"/>
      <c r="AB468" s="18"/>
      <c r="AC468" s="18"/>
    </row>
    <row r="469" spans="23:29" customFormat="1" x14ac:dyDescent="0.25">
      <c r="W469" s="37"/>
      <c r="X469" s="52"/>
      <c r="Y469" s="52"/>
      <c r="Z469" s="37"/>
      <c r="AA469" s="18"/>
      <c r="AB469" s="18"/>
      <c r="AC469" s="18"/>
    </row>
    <row r="470" spans="23:29" customFormat="1" x14ac:dyDescent="0.25">
      <c r="W470" s="37"/>
      <c r="X470" s="52"/>
      <c r="Y470" s="52"/>
      <c r="Z470" s="37"/>
      <c r="AA470" s="18"/>
      <c r="AB470" s="18"/>
      <c r="AC470" s="18"/>
    </row>
    <row r="471" spans="23:29" customFormat="1" x14ac:dyDescent="0.25">
      <c r="W471" s="37"/>
      <c r="X471" s="52"/>
      <c r="Y471" s="52"/>
      <c r="Z471" s="37"/>
      <c r="AA471" s="18"/>
      <c r="AB471" s="18"/>
      <c r="AC471" s="18"/>
    </row>
    <row r="472" spans="23:29" customFormat="1" x14ac:dyDescent="0.25">
      <c r="W472" s="37"/>
      <c r="X472" s="52"/>
      <c r="Y472" s="52"/>
      <c r="Z472" s="37"/>
      <c r="AA472" s="18"/>
      <c r="AB472" s="18"/>
      <c r="AC472" s="18"/>
    </row>
    <row r="473" spans="23:29" customFormat="1" x14ac:dyDescent="0.25">
      <c r="W473" s="37"/>
      <c r="X473" s="52"/>
      <c r="Y473" s="52"/>
      <c r="Z473" s="37"/>
      <c r="AA473" s="18"/>
      <c r="AB473" s="18"/>
      <c r="AC473" s="18"/>
    </row>
    <row r="474" spans="23:29" customFormat="1" x14ac:dyDescent="0.25">
      <c r="W474" s="37"/>
      <c r="X474" s="52"/>
      <c r="Y474" s="52"/>
      <c r="Z474" s="37"/>
      <c r="AA474" s="18"/>
      <c r="AB474" s="18"/>
      <c r="AC474" s="18"/>
    </row>
    <row r="475" spans="23:29" customFormat="1" x14ac:dyDescent="0.25">
      <c r="W475" s="37"/>
      <c r="X475" s="52"/>
      <c r="Y475" s="52"/>
      <c r="Z475" s="37"/>
      <c r="AA475" s="18"/>
      <c r="AB475" s="18"/>
      <c r="AC475" s="18"/>
    </row>
    <row r="476" spans="23:29" customFormat="1" x14ac:dyDescent="0.25">
      <c r="W476" s="37"/>
      <c r="X476" s="52"/>
      <c r="Y476" s="52"/>
      <c r="Z476" s="37"/>
      <c r="AA476" s="18"/>
      <c r="AB476" s="18"/>
      <c r="AC476" s="18"/>
    </row>
    <row r="477" spans="23:29" customFormat="1" x14ac:dyDescent="0.25">
      <c r="W477" s="37"/>
      <c r="X477" s="52"/>
      <c r="Y477" s="52"/>
      <c r="Z477" s="37"/>
      <c r="AA477" s="18"/>
      <c r="AB477" s="18"/>
      <c r="AC477" s="18"/>
    </row>
    <row r="478" spans="23:29" customFormat="1" x14ac:dyDescent="0.25">
      <c r="W478" s="37"/>
      <c r="X478" s="52"/>
      <c r="Y478" s="52"/>
      <c r="Z478" s="37"/>
      <c r="AA478" s="18"/>
      <c r="AB478" s="18"/>
      <c r="AC478" s="18"/>
    </row>
    <row r="479" spans="23:29" customFormat="1" x14ac:dyDescent="0.25">
      <c r="W479" s="37"/>
      <c r="X479" s="52"/>
      <c r="Y479" s="52"/>
      <c r="Z479" s="37"/>
      <c r="AA479" s="18"/>
      <c r="AB479" s="18"/>
      <c r="AC479" s="18"/>
    </row>
    <row r="480" spans="23:29" customFormat="1" x14ac:dyDescent="0.25">
      <c r="W480" s="37"/>
      <c r="X480" s="52"/>
      <c r="Y480" s="52"/>
      <c r="Z480" s="37"/>
      <c r="AA480" s="18"/>
      <c r="AB480" s="18"/>
      <c r="AC480" s="18"/>
    </row>
    <row r="481" spans="23:29" customFormat="1" x14ac:dyDescent="0.25">
      <c r="W481" s="37"/>
      <c r="X481" s="52"/>
      <c r="Y481" s="52"/>
      <c r="Z481" s="37"/>
      <c r="AA481" s="18"/>
      <c r="AB481" s="18"/>
      <c r="AC481" s="18"/>
    </row>
    <row r="482" spans="23:29" customFormat="1" x14ac:dyDescent="0.25">
      <c r="W482" s="37"/>
      <c r="X482" s="52"/>
      <c r="Y482" s="52"/>
      <c r="Z482" s="37"/>
      <c r="AA482" s="18"/>
      <c r="AB482" s="18"/>
      <c r="AC482" s="18"/>
    </row>
    <row r="483" spans="23:29" customFormat="1" x14ac:dyDescent="0.25">
      <c r="W483" s="37"/>
      <c r="X483" s="52"/>
      <c r="Y483" s="52"/>
      <c r="Z483" s="37"/>
      <c r="AA483" s="18"/>
      <c r="AB483" s="18"/>
      <c r="AC483" s="18"/>
    </row>
    <row r="484" spans="23:29" customFormat="1" x14ac:dyDescent="0.25">
      <c r="W484" s="37"/>
      <c r="X484" s="52"/>
      <c r="Y484" s="52"/>
      <c r="Z484" s="37"/>
      <c r="AA484" s="18"/>
      <c r="AB484" s="18"/>
      <c r="AC484" s="18"/>
    </row>
    <row r="485" spans="23:29" customFormat="1" x14ac:dyDescent="0.25">
      <c r="W485" s="37"/>
      <c r="X485" s="52"/>
      <c r="Y485" s="52"/>
      <c r="Z485" s="37"/>
      <c r="AA485" s="18"/>
      <c r="AB485" s="18"/>
      <c r="AC485" s="18"/>
    </row>
    <row r="486" spans="23:29" customFormat="1" x14ac:dyDescent="0.25">
      <c r="W486" s="37"/>
      <c r="X486" s="52"/>
      <c r="Y486" s="52"/>
      <c r="Z486" s="37"/>
      <c r="AA486" s="18"/>
      <c r="AB486" s="18"/>
      <c r="AC486" s="18"/>
    </row>
    <row r="487" spans="23:29" customFormat="1" x14ac:dyDescent="0.25">
      <c r="W487" s="37"/>
      <c r="X487" s="52"/>
      <c r="Y487" s="52"/>
      <c r="Z487" s="37"/>
      <c r="AA487" s="18"/>
      <c r="AB487" s="18"/>
      <c r="AC487" s="18"/>
    </row>
    <row r="488" spans="23:29" customFormat="1" x14ac:dyDescent="0.25">
      <c r="W488" s="37"/>
      <c r="X488" s="52"/>
      <c r="Y488" s="52"/>
      <c r="Z488" s="37"/>
      <c r="AA488" s="18"/>
      <c r="AB488" s="18"/>
      <c r="AC488" s="18"/>
    </row>
    <row r="489" spans="23:29" customFormat="1" x14ac:dyDescent="0.25">
      <c r="W489" s="37"/>
      <c r="X489" s="52"/>
      <c r="Y489" s="52"/>
      <c r="Z489" s="37"/>
      <c r="AA489" s="18"/>
      <c r="AB489" s="18"/>
      <c r="AC489" s="18"/>
    </row>
    <row r="490" spans="23:29" customFormat="1" x14ac:dyDescent="0.25">
      <c r="W490" s="37"/>
      <c r="X490" s="52"/>
      <c r="Y490" s="52"/>
      <c r="Z490" s="37"/>
      <c r="AA490" s="18"/>
      <c r="AB490" s="18"/>
      <c r="AC490" s="18"/>
    </row>
    <row r="491" spans="23:29" customFormat="1" x14ac:dyDescent="0.25">
      <c r="W491" s="37"/>
      <c r="X491" s="52"/>
      <c r="Y491" s="52"/>
      <c r="Z491" s="37"/>
      <c r="AA491" s="18"/>
      <c r="AB491" s="18"/>
      <c r="AC491" s="18"/>
    </row>
    <row r="492" spans="23:29" customFormat="1" x14ac:dyDescent="0.25">
      <c r="W492" s="37"/>
      <c r="X492" s="52"/>
      <c r="Y492" s="52"/>
      <c r="Z492" s="37"/>
      <c r="AA492" s="18"/>
      <c r="AB492" s="18"/>
      <c r="AC492" s="18"/>
    </row>
    <row r="493" spans="23:29" customFormat="1" x14ac:dyDescent="0.25">
      <c r="W493" s="37"/>
      <c r="X493" s="52"/>
      <c r="Y493" s="52"/>
      <c r="Z493" s="37"/>
      <c r="AA493" s="18"/>
      <c r="AB493" s="18"/>
      <c r="AC493" s="18"/>
    </row>
    <row r="494" spans="23:29" customFormat="1" x14ac:dyDescent="0.25">
      <c r="W494" s="37"/>
      <c r="X494" s="52"/>
      <c r="Y494" s="52"/>
      <c r="Z494" s="37"/>
      <c r="AA494" s="18"/>
      <c r="AB494" s="18"/>
      <c r="AC494" s="18"/>
    </row>
    <row r="495" spans="23:29" customFormat="1" x14ac:dyDescent="0.25">
      <c r="W495" s="37"/>
      <c r="X495" s="52"/>
      <c r="Y495" s="52"/>
      <c r="Z495" s="37"/>
      <c r="AA495" s="18"/>
      <c r="AB495" s="18"/>
      <c r="AC495" s="18"/>
    </row>
    <row r="496" spans="23:29" customFormat="1" x14ac:dyDescent="0.25">
      <c r="W496" s="37"/>
      <c r="X496" s="52"/>
      <c r="Y496" s="52"/>
      <c r="Z496" s="37"/>
      <c r="AA496" s="18"/>
      <c r="AB496" s="18"/>
      <c r="AC496" s="18"/>
    </row>
    <row r="497" spans="23:29" customFormat="1" x14ac:dyDescent="0.25">
      <c r="W497" s="37"/>
      <c r="X497" s="52"/>
      <c r="Y497" s="52"/>
      <c r="Z497" s="37"/>
      <c r="AA497" s="18"/>
      <c r="AB497" s="18"/>
      <c r="AC497" s="18"/>
    </row>
    <row r="498" spans="23:29" customFormat="1" x14ac:dyDescent="0.25">
      <c r="W498" s="37"/>
      <c r="X498" s="52"/>
      <c r="Y498" s="52"/>
      <c r="Z498" s="37"/>
      <c r="AA498" s="18"/>
      <c r="AB498" s="18"/>
      <c r="AC498" s="18"/>
    </row>
    <row r="499" spans="23:29" customFormat="1" x14ac:dyDescent="0.25">
      <c r="W499" s="37"/>
      <c r="X499" s="52"/>
      <c r="Y499" s="52"/>
      <c r="Z499" s="37"/>
      <c r="AA499" s="18"/>
      <c r="AB499" s="18"/>
      <c r="AC499" s="18"/>
    </row>
    <row r="500" spans="23:29" customFormat="1" x14ac:dyDescent="0.25">
      <c r="W500" s="37"/>
      <c r="X500" s="52"/>
      <c r="Y500" s="52"/>
      <c r="Z500" s="37"/>
      <c r="AA500" s="18"/>
      <c r="AB500" s="18"/>
      <c r="AC500" s="18"/>
    </row>
    <row r="501" spans="23:29" customFormat="1" x14ac:dyDescent="0.25">
      <c r="W501" s="37"/>
      <c r="X501" s="52"/>
      <c r="Y501" s="52"/>
      <c r="Z501" s="37"/>
      <c r="AA501" s="18"/>
      <c r="AB501" s="18"/>
      <c r="AC501" s="18"/>
    </row>
    <row r="502" spans="23:29" customFormat="1" x14ac:dyDescent="0.25">
      <c r="W502" s="37"/>
      <c r="X502" s="52"/>
      <c r="Y502" s="52"/>
      <c r="Z502" s="37"/>
      <c r="AA502" s="18"/>
      <c r="AB502" s="18"/>
      <c r="AC502" s="18"/>
    </row>
    <row r="503" spans="23:29" customFormat="1" x14ac:dyDescent="0.25">
      <c r="W503" s="37"/>
      <c r="X503" s="52"/>
      <c r="Y503" s="52"/>
      <c r="Z503" s="37"/>
      <c r="AA503" s="18"/>
      <c r="AB503" s="18"/>
      <c r="AC503" s="18"/>
    </row>
    <row r="504" spans="23:29" customFormat="1" x14ac:dyDescent="0.25">
      <c r="W504" s="37"/>
      <c r="X504" s="52"/>
      <c r="Y504" s="52"/>
      <c r="Z504" s="37"/>
      <c r="AA504" s="18"/>
      <c r="AB504" s="18"/>
      <c r="AC504" s="18"/>
    </row>
    <row r="505" spans="23:29" customFormat="1" x14ac:dyDescent="0.25">
      <c r="W505" s="37"/>
      <c r="X505" s="52"/>
      <c r="Y505" s="52"/>
      <c r="Z505" s="37"/>
      <c r="AA505" s="18"/>
      <c r="AB505" s="18"/>
      <c r="AC505" s="18"/>
    </row>
    <row r="506" spans="23:29" customFormat="1" x14ac:dyDescent="0.25">
      <c r="W506" s="37"/>
      <c r="X506" s="52"/>
      <c r="Y506" s="52"/>
      <c r="Z506" s="37"/>
      <c r="AA506" s="18"/>
      <c r="AB506" s="18"/>
      <c r="AC506" s="18"/>
    </row>
    <row r="507" spans="23:29" customFormat="1" x14ac:dyDescent="0.25">
      <c r="W507" s="37"/>
      <c r="X507" s="52"/>
      <c r="Y507" s="52"/>
      <c r="Z507" s="37"/>
      <c r="AA507" s="18"/>
      <c r="AB507" s="18"/>
      <c r="AC507" s="18"/>
    </row>
    <row r="508" spans="23:29" customFormat="1" x14ac:dyDescent="0.25">
      <c r="W508" s="37"/>
      <c r="X508" s="52"/>
      <c r="Y508" s="52"/>
      <c r="Z508" s="37"/>
      <c r="AA508" s="18"/>
      <c r="AB508" s="18"/>
      <c r="AC508" s="18"/>
    </row>
    <row r="509" spans="23:29" customFormat="1" x14ac:dyDescent="0.25">
      <c r="W509" s="37"/>
      <c r="X509" s="52"/>
      <c r="Y509" s="52"/>
      <c r="Z509" s="37"/>
      <c r="AA509" s="18"/>
      <c r="AB509" s="18"/>
      <c r="AC509" s="18"/>
    </row>
    <row r="510" spans="23:29" customFormat="1" x14ac:dyDescent="0.25">
      <c r="W510" s="37"/>
      <c r="X510" s="52"/>
      <c r="Y510" s="52"/>
      <c r="Z510" s="37"/>
      <c r="AA510" s="18"/>
      <c r="AB510" s="18"/>
      <c r="AC510" s="18"/>
    </row>
    <row r="511" spans="23:29" customFormat="1" x14ac:dyDescent="0.25">
      <c r="W511" s="37"/>
      <c r="X511" s="52"/>
      <c r="Y511" s="52"/>
      <c r="Z511" s="37"/>
      <c r="AA511" s="18"/>
      <c r="AB511" s="18"/>
      <c r="AC511" s="18"/>
    </row>
    <row r="512" spans="23:29" customFormat="1" x14ac:dyDescent="0.25">
      <c r="W512" s="37"/>
      <c r="X512" s="52"/>
      <c r="Y512" s="52"/>
      <c r="Z512" s="37"/>
      <c r="AA512" s="18"/>
      <c r="AB512" s="18"/>
      <c r="AC512" s="18"/>
    </row>
    <row r="513" spans="23:29" customFormat="1" x14ac:dyDescent="0.25">
      <c r="W513" s="37"/>
      <c r="X513" s="52"/>
      <c r="Y513" s="52"/>
      <c r="Z513" s="37"/>
      <c r="AA513" s="18"/>
      <c r="AB513" s="18"/>
      <c r="AC513" s="18"/>
    </row>
    <row r="514" spans="23:29" customFormat="1" x14ac:dyDescent="0.25">
      <c r="W514" s="37"/>
      <c r="X514" s="52"/>
      <c r="Y514" s="52"/>
      <c r="Z514" s="37"/>
      <c r="AA514" s="18"/>
      <c r="AB514" s="18"/>
      <c r="AC514" s="18"/>
    </row>
    <row r="515" spans="23:29" customFormat="1" x14ac:dyDescent="0.25">
      <c r="W515" s="37"/>
      <c r="X515" s="52"/>
      <c r="Y515" s="52"/>
      <c r="Z515" s="37"/>
      <c r="AA515" s="18"/>
      <c r="AB515" s="18"/>
      <c r="AC515" s="18"/>
    </row>
    <row r="516" spans="23:29" customFormat="1" x14ac:dyDescent="0.25">
      <c r="W516" s="37"/>
      <c r="X516" s="52"/>
      <c r="Y516" s="52"/>
      <c r="Z516" s="37"/>
      <c r="AA516" s="18"/>
      <c r="AB516" s="18"/>
      <c r="AC516" s="18"/>
    </row>
    <row r="517" spans="23:29" customFormat="1" x14ac:dyDescent="0.25">
      <c r="W517" s="37"/>
      <c r="X517" s="52"/>
      <c r="Y517" s="52"/>
      <c r="Z517" s="37"/>
      <c r="AA517" s="18"/>
      <c r="AB517" s="18"/>
      <c r="AC517" s="18"/>
    </row>
    <row r="518" spans="23:29" customFormat="1" x14ac:dyDescent="0.25">
      <c r="W518" s="37"/>
      <c r="X518" s="52"/>
      <c r="Y518" s="52"/>
      <c r="Z518" s="37"/>
      <c r="AA518" s="18"/>
      <c r="AB518" s="18"/>
      <c r="AC518" s="18"/>
    </row>
    <row r="519" spans="23:29" customFormat="1" x14ac:dyDescent="0.25">
      <c r="W519" s="37"/>
      <c r="X519" s="52"/>
      <c r="Y519" s="52"/>
      <c r="Z519" s="37"/>
      <c r="AA519" s="18"/>
      <c r="AB519" s="18"/>
      <c r="AC519" s="18"/>
    </row>
    <row r="520" spans="23:29" customFormat="1" x14ac:dyDescent="0.25">
      <c r="W520" s="37"/>
      <c r="X520" s="52"/>
      <c r="Y520" s="52"/>
      <c r="Z520" s="37"/>
      <c r="AA520" s="18"/>
      <c r="AB520" s="18"/>
      <c r="AC520" s="18"/>
    </row>
    <row r="521" spans="23:29" customFormat="1" x14ac:dyDescent="0.25">
      <c r="W521" s="37"/>
      <c r="X521" s="52"/>
      <c r="Y521" s="52"/>
      <c r="Z521" s="37"/>
      <c r="AA521" s="18"/>
      <c r="AB521" s="18"/>
      <c r="AC521" s="18"/>
    </row>
    <row r="522" spans="23:29" customFormat="1" x14ac:dyDescent="0.25">
      <c r="W522" s="37"/>
      <c r="X522" s="52"/>
      <c r="Y522" s="52"/>
      <c r="Z522" s="37"/>
      <c r="AA522" s="18"/>
      <c r="AB522" s="18"/>
      <c r="AC522" s="18"/>
    </row>
    <row r="523" spans="23:29" customFormat="1" x14ac:dyDescent="0.25">
      <c r="W523" s="37"/>
      <c r="X523" s="52"/>
      <c r="Y523" s="52"/>
      <c r="Z523" s="37"/>
      <c r="AA523" s="18"/>
      <c r="AB523" s="18"/>
      <c r="AC523" s="18"/>
    </row>
    <row r="524" spans="23:29" customFormat="1" x14ac:dyDescent="0.25">
      <c r="W524" s="37"/>
      <c r="X524" s="52"/>
      <c r="Y524" s="52"/>
      <c r="Z524" s="37"/>
      <c r="AA524" s="18"/>
      <c r="AB524" s="18"/>
      <c r="AC524" s="18"/>
    </row>
    <row r="525" spans="23:29" customFormat="1" x14ac:dyDescent="0.25">
      <c r="W525" s="37"/>
      <c r="X525" s="52"/>
      <c r="Y525" s="52"/>
      <c r="Z525" s="37"/>
      <c r="AA525" s="18"/>
      <c r="AB525" s="18"/>
      <c r="AC525" s="18"/>
    </row>
    <row r="526" spans="23:29" customFormat="1" x14ac:dyDescent="0.25">
      <c r="W526" s="37"/>
      <c r="X526" s="52"/>
      <c r="Y526" s="52"/>
      <c r="Z526" s="37"/>
      <c r="AA526" s="18"/>
      <c r="AB526" s="18"/>
      <c r="AC526" s="18"/>
    </row>
    <row r="527" spans="23:29" customFormat="1" x14ac:dyDescent="0.25">
      <c r="W527" s="37"/>
      <c r="X527" s="52"/>
      <c r="Y527" s="52"/>
      <c r="Z527" s="37"/>
      <c r="AA527" s="18"/>
      <c r="AB527" s="18"/>
      <c r="AC527" s="18"/>
    </row>
    <row r="528" spans="23:29" customFormat="1" x14ac:dyDescent="0.25">
      <c r="W528" s="37"/>
      <c r="X528" s="52"/>
      <c r="Y528" s="52"/>
      <c r="Z528" s="37"/>
      <c r="AA528" s="18"/>
      <c r="AB528" s="18"/>
      <c r="AC528" s="18"/>
    </row>
    <row r="529" spans="23:29" customFormat="1" x14ac:dyDescent="0.25">
      <c r="W529" s="37"/>
      <c r="X529" s="52"/>
      <c r="Y529" s="52"/>
      <c r="Z529" s="37"/>
      <c r="AA529" s="18"/>
      <c r="AB529" s="18"/>
      <c r="AC529" s="18"/>
    </row>
    <row r="530" spans="23:29" customFormat="1" x14ac:dyDescent="0.25">
      <c r="W530" s="37"/>
      <c r="X530" s="52"/>
      <c r="Y530" s="52"/>
      <c r="Z530" s="37"/>
      <c r="AA530" s="18"/>
      <c r="AB530" s="18"/>
      <c r="AC530" s="18"/>
    </row>
    <row r="531" spans="23:29" customFormat="1" x14ac:dyDescent="0.25">
      <c r="W531" s="37"/>
      <c r="X531" s="52"/>
      <c r="Y531" s="52"/>
      <c r="Z531" s="37"/>
      <c r="AA531" s="18"/>
      <c r="AB531" s="18"/>
      <c r="AC531" s="18"/>
    </row>
    <row r="532" spans="23:29" customFormat="1" x14ac:dyDescent="0.25">
      <c r="W532" s="37"/>
      <c r="X532" s="52"/>
      <c r="Y532" s="52"/>
      <c r="Z532" s="37"/>
      <c r="AA532" s="18"/>
      <c r="AB532" s="18"/>
      <c r="AC532" s="18"/>
    </row>
    <row r="533" spans="23:29" customFormat="1" x14ac:dyDescent="0.25">
      <c r="W533" s="37"/>
      <c r="X533" s="52"/>
      <c r="Y533" s="52"/>
      <c r="Z533" s="37"/>
      <c r="AA533" s="18"/>
      <c r="AB533" s="18"/>
      <c r="AC533" s="18"/>
    </row>
    <row r="534" spans="23:29" customFormat="1" x14ac:dyDescent="0.25">
      <c r="W534" s="37"/>
      <c r="X534" s="52"/>
      <c r="Y534" s="52"/>
      <c r="Z534" s="37"/>
      <c r="AA534" s="18"/>
      <c r="AB534" s="18"/>
      <c r="AC534" s="18"/>
    </row>
    <row r="535" spans="23:29" customFormat="1" x14ac:dyDescent="0.25">
      <c r="W535" s="37"/>
      <c r="X535" s="52"/>
      <c r="Y535" s="52"/>
      <c r="Z535" s="37"/>
      <c r="AA535" s="18"/>
      <c r="AB535" s="18"/>
      <c r="AC535" s="18"/>
    </row>
    <row r="536" spans="23:29" customFormat="1" x14ac:dyDescent="0.25">
      <c r="W536" s="37"/>
      <c r="X536" s="52"/>
      <c r="Y536" s="52"/>
      <c r="Z536" s="37"/>
      <c r="AA536" s="18"/>
      <c r="AB536" s="18"/>
      <c r="AC536" s="18"/>
    </row>
    <row r="537" spans="23:29" customFormat="1" x14ac:dyDescent="0.25">
      <c r="W537" s="37"/>
      <c r="X537" s="52"/>
      <c r="Y537" s="52"/>
      <c r="Z537" s="37"/>
      <c r="AA537" s="18"/>
      <c r="AB537" s="18"/>
      <c r="AC537" s="18"/>
    </row>
    <row r="538" spans="23:29" customFormat="1" x14ac:dyDescent="0.25">
      <c r="W538" s="37"/>
      <c r="X538" s="52"/>
      <c r="Y538" s="52"/>
      <c r="Z538" s="37"/>
      <c r="AA538" s="18"/>
      <c r="AB538" s="18"/>
      <c r="AC538" s="18"/>
    </row>
    <row r="539" spans="23:29" customFormat="1" x14ac:dyDescent="0.25">
      <c r="W539" s="37"/>
      <c r="X539" s="52"/>
      <c r="Y539" s="52"/>
      <c r="Z539" s="37"/>
      <c r="AA539" s="18"/>
      <c r="AB539" s="18"/>
      <c r="AC539" s="18"/>
    </row>
    <row r="540" spans="23:29" customFormat="1" x14ac:dyDescent="0.25">
      <c r="W540" s="37"/>
      <c r="X540" s="52"/>
      <c r="Y540" s="52"/>
      <c r="Z540" s="37"/>
      <c r="AA540" s="18"/>
      <c r="AB540" s="18"/>
      <c r="AC540" s="18"/>
    </row>
    <row r="541" spans="23:29" customFormat="1" x14ac:dyDescent="0.25">
      <c r="W541" s="37"/>
      <c r="X541" s="52"/>
      <c r="Y541" s="52"/>
      <c r="Z541" s="37"/>
      <c r="AA541" s="18"/>
      <c r="AB541" s="18"/>
      <c r="AC541" s="18"/>
    </row>
    <row r="542" spans="23:29" customFormat="1" x14ac:dyDescent="0.25">
      <c r="W542" s="37"/>
      <c r="X542" s="52"/>
      <c r="Y542" s="52"/>
      <c r="Z542" s="37"/>
      <c r="AA542" s="18"/>
      <c r="AB542" s="18"/>
      <c r="AC542" s="18"/>
    </row>
    <row r="543" spans="23:29" customFormat="1" x14ac:dyDescent="0.25">
      <c r="W543" s="37"/>
      <c r="X543" s="52"/>
      <c r="Y543" s="52"/>
      <c r="Z543" s="37"/>
      <c r="AA543" s="18"/>
      <c r="AB543" s="18"/>
      <c r="AC543" s="18"/>
    </row>
    <row r="544" spans="23:29" customFormat="1" x14ac:dyDescent="0.25">
      <c r="W544" s="37"/>
      <c r="X544" s="52"/>
      <c r="Y544" s="52"/>
      <c r="Z544" s="37"/>
      <c r="AA544" s="18"/>
      <c r="AB544" s="18"/>
      <c r="AC544" s="18"/>
    </row>
    <row r="545" spans="23:29" customFormat="1" x14ac:dyDescent="0.25">
      <c r="W545" s="37"/>
      <c r="X545" s="52"/>
      <c r="Y545" s="52"/>
      <c r="Z545" s="37"/>
      <c r="AA545" s="18"/>
      <c r="AB545" s="18"/>
      <c r="AC545" s="18"/>
    </row>
    <row r="546" spans="23:29" customFormat="1" x14ac:dyDescent="0.25">
      <c r="W546" s="37"/>
      <c r="X546" s="52"/>
      <c r="Y546" s="52"/>
      <c r="Z546" s="37"/>
      <c r="AA546" s="18"/>
      <c r="AB546" s="18"/>
      <c r="AC546" s="18"/>
    </row>
    <row r="547" spans="23:29" customFormat="1" x14ac:dyDescent="0.25">
      <c r="W547" s="37"/>
      <c r="X547" s="52"/>
      <c r="Y547" s="52"/>
      <c r="Z547" s="37"/>
      <c r="AA547" s="18"/>
      <c r="AB547" s="18"/>
      <c r="AC547" s="18"/>
    </row>
    <row r="548" spans="23:29" customFormat="1" x14ac:dyDescent="0.25">
      <c r="W548" s="37"/>
      <c r="X548" s="52"/>
      <c r="Y548" s="52"/>
      <c r="Z548" s="37"/>
      <c r="AA548" s="18"/>
      <c r="AB548" s="18"/>
      <c r="AC548" s="18"/>
    </row>
    <row r="549" spans="23:29" customFormat="1" x14ac:dyDescent="0.25">
      <c r="W549" s="37"/>
      <c r="X549" s="52"/>
      <c r="Y549" s="52"/>
      <c r="Z549" s="37"/>
      <c r="AA549" s="18"/>
      <c r="AB549" s="18"/>
      <c r="AC549" s="18"/>
    </row>
    <row r="550" spans="23:29" customFormat="1" x14ac:dyDescent="0.25">
      <c r="W550" s="37"/>
      <c r="X550" s="52"/>
      <c r="Y550" s="52"/>
      <c r="Z550" s="37"/>
      <c r="AA550" s="18"/>
      <c r="AB550" s="18"/>
      <c r="AC550" s="18"/>
    </row>
    <row r="551" spans="23:29" customFormat="1" x14ac:dyDescent="0.25">
      <c r="W551" s="37"/>
      <c r="X551" s="52"/>
      <c r="Y551" s="52"/>
      <c r="Z551" s="37"/>
      <c r="AA551" s="18"/>
      <c r="AB551" s="18"/>
      <c r="AC551" s="18"/>
    </row>
    <row r="552" spans="23:29" customFormat="1" x14ac:dyDescent="0.25">
      <c r="W552" s="37"/>
      <c r="X552" s="52"/>
      <c r="Y552" s="52"/>
      <c r="Z552" s="37"/>
      <c r="AA552" s="18"/>
      <c r="AB552" s="18"/>
      <c r="AC552" s="18"/>
    </row>
    <row r="553" spans="23:29" customFormat="1" x14ac:dyDescent="0.25">
      <c r="W553" s="37"/>
      <c r="X553" s="52"/>
      <c r="Y553" s="52"/>
      <c r="Z553" s="37"/>
      <c r="AA553" s="18"/>
      <c r="AB553" s="18"/>
      <c r="AC553" s="18"/>
    </row>
    <row r="554" spans="23:29" customFormat="1" x14ac:dyDescent="0.25">
      <c r="W554" s="37"/>
      <c r="X554" s="52"/>
      <c r="Y554" s="52"/>
      <c r="Z554" s="37"/>
      <c r="AA554" s="18"/>
      <c r="AB554" s="18"/>
      <c r="AC554" s="18"/>
    </row>
    <row r="555" spans="23:29" customFormat="1" x14ac:dyDescent="0.25">
      <c r="W555" s="37"/>
      <c r="X555" s="52"/>
      <c r="Y555" s="52"/>
      <c r="Z555" s="37"/>
      <c r="AA555" s="18"/>
      <c r="AB555" s="18"/>
      <c r="AC555" s="18"/>
    </row>
    <row r="556" spans="23:29" customFormat="1" x14ac:dyDescent="0.25">
      <c r="W556" s="37"/>
      <c r="X556" s="52"/>
      <c r="Y556" s="52"/>
      <c r="Z556" s="37"/>
      <c r="AA556" s="18"/>
      <c r="AB556" s="18"/>
      <c r="AC556" s="18"/>
    </row>
    <row r="557" spans="23:29" customFormat="1" x14ac:dyDescent="0.25">
      <c r="W557" s="37"/>
      <c r="X557" s="52"/>
      <c r="Y557" s="52"/>
      <c r="Z557" s="37"/>
      <c r="AA557" s="18"/>
      <c r="AB557" s="18"/>
      <c r="AC557" s="18"/>
    </row>
    <row r="558" spans="23:29" customFormat="1" x14ac:dyDescent="0.25">
      <c r="W558" s="37"/>
      <c r="X558" s="52"/>
      <c r="Y558" s="52"/>
      <c r="Z558" s="37"/>
      <c r="AA558" s="18"/>
      <c r="AB558" s="18"/>
      <c r="AC558" s="18"/>
    </row>
    <row r="559" spans="23:29" customFormat="1" x14ac:dyDescent="0.25">
      <c r="W559" s="37"/>
      <c r="X559" s="52"/>
      <c r="Y559" s="52"/>
      <c r="Z559" s="37"/>
      <c r="AA559" s="18"/>
      <c r="AB559" s="18"/>
      <c r="AC559" s="18"/>
    </row>
    <row r="560" spans="23:29" customFormat="1" x14ac:dyDescent="0.25">
      <c r="W560" s="37"/>
      <c r="X560" s="52"/>
      <c r="Y560" s="52"/>
      <c r="Z560" s="37"/>
      <c r="AA560" s="18"/>
      <c r="AB560" s="18"/>
      <c r="AC560" s="18"/>
    </row>
    <row r="561" spans="23:29" customFormat="1" x14ac:dyDescent="0.25">
      <c r="W561" s="37"/>
      <c r="X561" s="52"/>
      <c r="Y561" s="52"/>
      <c r="Z561" s="37"/>
      <c r="AA561" s="18"/>
      <c r="AB561" s="18"/>
      <c r="AC561" s="18"/>
    </row>
    <row r="562" spans="23:29" customFormat="1" x14ac:dyDescent="0.25">
      <c r="W562" s="37"/>
      <c r="X562" s="52"/>
      <c r="Y562" s="52"/>
      <c r="Z562" s="37"/>
      <c r="AA562" s="18"/>
      <c r="AB562" s="18"/>
      <c r="AC562" s="18"/>
    </row>
    <row r="563" spans="23:29" customFormat="1" x14ac:dyDescent="0.25">
      <c r="W563" s="37"/>
      <c r="X563" s="52"/>
      <c r="Y563" s="52"/>
      <c r="Z563" s="37"/>
      <c r="AA563" s="18"/>
      <c r="AB563" s="18"/>
      <c r="AC563" s="18"/>
    </row>
    <row r="564" spans="23:29" customFormat="1" x14ac:dyDescent="0.25">
      <c r="W564" s="37"/>
      <c r="X564" s="52"/>
      <c r="Y564" s="52"/>
      <c r="Z564" s="37"/>
      <c r="AA564" s="18"/>
      <c r="AB564" s="18"/>
      <c r="AC564" s="18"/>
    </row>
    <row r="565" spans="23:29" customFormat="1" x14ac:dyDescent="0.25">
      <c r="W565" s="37"/>
      <c r="X565" s="52"/>
      <c r="Y565" s="52"/>
      <c r="Z565" s="37"/>
      <c r="AA565" s="18"/>
      <c r="AB565" s="18"/>
      <c r="AC565" s="18"/>
    </row>
    <row r="566" spans="23:29" customFormat="1" x14ac:dyDescent="0.25">
      <c r="W566" s="37"/>
      <c r="X566" s="52"/>
      <c r="Y566" s="52"/>
      <c r="Z566" s="37"/>
      <c r="AA566" s="18"/>
      <c r="AB566" s="18"/>
      <c r="AC566" s="18"/>
    </row>
    <row r="567" spans="23:29" customFormat="1" x14ac:dyDescent="0.25">
      <c r="W567" s="37"/>
      <c r="X567" s="52"/>
      <c r="Y567" s="52"/>
      <c r="Z567" s="37"/>
      <c r="AA567" s="18"/>
      <c r="AB567" s="18"/>
      <c r="AC567" s="18"/>
    </row>
    <row r="568" spans="23:29" customFormat="1" x14ac:dyDescent="0.25">
      <c r="W568" s="37"/>
      <c r="X568" s="52"/>
      <c r="Y568" s="52"/>
      <c r="Z568" s="37"/>
      <c r="AA568" s="18"/>
      <c r="AB568" s="18"/>
      <c r="AC568" s="18"/>
    </row>
    <row r="569" spans="23:29" customFormat="1" x14ac:dyDescent="0.25">
      <c r="W569" s="37"/>
      <c r="X569" s="52"/>
      <c r="Y569" s="52"/>
      <c r="Z569" s="37"/>
      <c r="AA569" s="18"/>
      <c r="AB569" s="18"/>
      <c r="AC569" s="18"/>
    </row>
    <row r="570" spans="23:29" customFormat="1" x14ac:dyDescent="0.25">
      <c r="W570" s="37"/>
      <c r="X570" s="52"/>
      <c r="Y570" s="52"/>
      <c r="Z570" s="37"/>
      <c r="AA570" s="18"/>
      <c r="AB570" s="18"/>
      <c r="AC570" s="18"/>
    </row>
    <row r="571" spans="23:29" customFormat="1" x14ac:dyDescent="0.25">
      <c r="W571" s="37"/>
      <c r="X571" s="52"/>
      <c r="Y571" s="52"/>
      <c r="Z571" s="37"/>
      <c r="AA571" s="18"/>
      <c r="AB571" s="18"/>
      <c r="AC571" s="18"/>
    </row>
    <row r="572" spans="23:29" customFormat="1" x14ac:dyDescent="0.25">
      <c r="W572" s="37"/>
      <c r="X572" s="52"/>
      <c r="Y572" s="52"/>
      <c r="Z572" s="37"/>
      <c r="AA572" s="18"/>
      <c r="AB572" s="18"/>
      <c r="AC572" s="18"/>
    </row>
    <row r="573" spans="23:29" customFormat="1" x14ac:dyDescent="0.25">
      <c r="W573" s="37"/>
      <c r="X573" s="52"/>
      <c r="Y573" s="52"/>
      <c r="Z573" s="37"/>
      <c r="AA573" s="18"/>
      <c r="AB573" s="18"/>
      <c r="AC573" s="18"/>
    </row>
    <row r="574" spans="23:29" customFormat="1" x14ac:dyDescent="0.25">
      <c r="W574" s="37"/>
      <c r="X574" s="52"/>
      <c r="Y574" s="52"/>
      <c r="Z574" s="37"/>
      <c r="AA574" s="18"/>
      <c r="AB574" s="18"/>
      <c r="AC574" s="18"/>
    </row>
    <row r="575" spans="23:29" customFormat="1" x14ac:dyDescent="0.25">
      <c r="W575" s="37"/>
      <c r="X575" s="52"/>
      <c r="Y575" s="52"/>
      <c r="Z575" s="37"/>
      <c r="AA575" s="18"/>
      <c r="AB575" s="18"/>
      <c r="AC575" s="18"/>
    </row>
    <row r="576" spans="23:29" customFormat="1" x14ac:dyDescent="0.25">
      <c r="W576" s="37"/>
      <c r="X576" s="52"/>
      <c r="Y576" s="52"/>
      <c r="Z576" s="37"/>
      <c r="AA576" s="18"/>
      <c r="AB576" s="18"/>
      <c r="AC576" s="18"/>
    </row>
    <row r="577" spans="23:29" customFormat="1" x14ac:dyDescent="0.25">
      <c r="W577" s="37"/>
      <c r="X577" s="52"/>
      <c r="Y577" s="52"/>
      <c r="Z577" s="37"/>
      <c r="AA577" s="18"/>
      <c r="AB577" s="18"/>
      <c r="AC577" s="18"/>
    </row>
    <row r="578" spans="23:29" customFormat="1" x14ac:dyDescent="0.25">
      <c r="W578" s="37"/>
      <c r="X578" s="52"/>
      <c r="Y578" s="52"/>
      <c r="Z578" s="37"/>
      <c r="AA578" s="18"/>
      <c r="AB578" s="18"/>
      <c r="AC578" s="18"/>
    </row>
    <row r="579" spans="23:29" customFormat="1" x14ac:dyDescent="0.25">
      <c r="W579" s="37"/>
      <c r="X579" s="52"/>
      <c r="Y579" s="52"/>
      <c r="Z579" s="37"/>
      <c r="AA579" s="18"/>
      <c r="AB579" s="18"/>
      <c r="AC579" s="18"/>
    </row>
    <row r="580" spans="23:29" customFormat="1" x14ac:dyDescent="0.25">
      <c r="W580" s="37"/>
      <c r="X580" s="52"/>
      <c r="Y580" s="52"/>
      <c r="Z580" s="37"/>
      <c r="AA580" s="18"/>
      <c r="AB580" s="18"/>
      <c r="AC580" s="18"/>
    </row>
    <row r="581" spans="23:29" customFormat="1" x14ac:dyDescent="0.25">
      <c r="W581" s="37"/>
      <c r="X581" s="52"/>
      <c r="Y581" s="52"/>
      <c r="Z581" s="37"/>
      <c r="AA581" s="18"/>
      <c r="AB581" s="18"/>
      <c r="AC581" s="18"/>
    </row>
    <row r="582" spans="23:29" customFormat="1" x14ac:dyDescent="0.25">
      <c r="W582" s="37"/>
      <c r="X582" s="52"/>
      <c r="Y582" s="52"/>
      <c r="Z582" s="37"/>
      <c r="AA582" s="18"/>
      <c r="AB582" s="18"/>
      <c r="AC582" s="18"/>
    </row>
    <row r="583" spans="23:29" customFormat="1" x14ac:dyDescent="0.25">
      <c r="W583" s="37"/>
      <c r="X583" s="52"/>
      <c r="Y583" s="52"/>
      <c r="Z583" s="37"/>
      <c r="AA583" s="18"/>
      <c r="AB583" s="18"/>
      <c r="AC583" s="18"/>
    </row>
    <row r="584" spans="23:29" customFormat="1" x14ac:dyDescent="0.25">
      <c r="W584" s="37"/>
      <c r="X584" s="52"/>
      <c r="Y584" s="52"/>
      <c r="Z584" s="37"/>
      <c r="AA584" s="18"/>
      <c r="AB584" s="18"/>
      <c r="AC584" s="18"/>
    </row>
    <row r="585" spans="23:29" customFormat="1" x14ac:dyDescent="0.25">
      <c r="W585" s="37"/>
      <c r="X585" s="52"/>
      <c r="Y585" s="52"/>
      <c r="Z585" s="37"/>
      <c r="AA585" s="18"/>
      <c r="AB585" s="18"/>
      <c r="AC585" s="18"/>
    </row>
    <row r="586" spans="23:29" customFormat="1" x14ac:dyDescent="0.25">
      <c r="W586" s="37"/>
      <c r="X586" s="52"/>
      <c r="Y586" s="52"/>
      <c r="Z586" s="37"/>
      <c r="AA586" s="18"/>
      <c r="AB586" s="18"/>
      <c r="AC586" s="18"/>
    </row>
    <row r="587" spans="23:29" customFormat="1" x14ac:dyDescent="0.25">
      <c r="W587" s="37"/>
      <c r="X587" s="52"/>
      <c r="Y587" s="52"/>
      <c r="Z587" s="37"/>
      <c r="AA587" s="18"/>
      <c r="AB587" s="18"/>
      <c r="AC587" s="18"/>
    </row>
    <row r="588" spans="23:29" customFormat="1" x14ac:dyDescent="0.25">
      <c r="W588" s="37"/>
      <c r="X588" s="52"/>
      <c r="Y588" s="52"/>
      <c r="Z588" s="37"/>
      <c r="AA588" s="18"/>
      <c r="AB588" s="18"/>
      <c r="AC588" s="18"/>
    </row>
    <row r="589" spans="23:29" customFormat="1" x14ac:dyDescent="0.25">
      <c r="W589" s="37"/>
      <c r="X589" s="52"/>
      <c r="Y589" s="52"/>
      <c r="Z589" s="37"/>
      <c r="AA589" s="18"/>
      <c r="AB589" s="18"/>
      <c r="AC589" s="18"/>
    </row>
    <row r="590" spans="23:29" customFormat="1" x14ac:dyDescent="0.25">
      <c r="W590" s="37"/>
      <c r="X590" s="52"/>
      <c r="Y590" s="52"/>
      <c r="Z590" s="37"/>
      <c r="AA590" s="18"/>
      <c r="AB590" s="18"/>
      <c r="AC590" s="18"/>
    </row>
    <row r="591" spans="23:29" customFormat="1" x14ac:dyDescent="0.25">
      <c r="W591" s="37"/>
      <c r="X591" s="52"/>
      <c r="Y591" s="52"/>
      <c r="Z591" s="37"/>
      <c r="AA591" s="18"/>
      <c r="AB591" s="18"/>
      <c r="AC591" s="18"/>
    </row>
    <row r="592" spans="23:29" customFormat="1" x14ac:dyDescent="0.25">
      <c r="W592" s="37"/>
      <c r="X592" s="52"/>
      <c r="Y592" s="52"/>
      <c r="Z592" s="37"/>
      <c r="AA592" s="18"/>
      <c r="AB592" s="18"/>
      <c r="AC592" s="18"/>
    </row>
    <row r="593" spans="23:29" customFormat="1" x14ac:dyDescent="0.25">
      <c r="W593" s="37"/>
      <c r="X593" s="52"/>
      <c r="Y593" s="52"/>
      <c r="Z593" s="37"/>
      <c r="AA593" s="18"/>
      <c r="AB593" s="18"/>
      <c r="AC593" s="18"/>
    </row>
    <row r="594" spans="23:29" customFormat="1" x14ac:dyDescent="0.25">
      <c r="W594" s="37"/>
      <c r="X594" s="52"/>
      <c r="Y594" s="52"/>
      <c r="Z594" s="37"/>
      <c r="AA594" s="18"/>
      <c r="AB594" s="18"/>
      <c r="AC594" s="18"/>
    </row>
    <row r="595" spans="23:29" customFormat="1" x14ac:dyDescent="0.25">
      <c r="W595" s="37"/>
      <c r="X595" s="52"/>
      <c r="Y595" s="52"/>
      <c r="Z595" s="37"/>
      <c r="AA595" s="18"/>
      <c r="AB595" s="18"/>
      <c r="AC595" s="18"/>
    </row>
    <row r="596" spans="23:29" customFormat="1" x14ac:dyDescent="0.25">
      <c r="W596" s="37"/>
      <c r="X596" s="52"/>
      <c r="Y596" s="52"/>
      <c r="Z596" s="37"/>
      <c r="AA596" s="18"/>
      <c r="AB596" s="18"/>
      <c r="AC596" s="18"/>
    </row>
    <row r="597" spans="23:29" customFormat="1" x14ac:dyDescent="0.25">
      <c r="W597" s="37"/>
      <c r="X597" s="52"/>
      <c r="Y597" s="52"/>
      <c r="Z597" s="37"/>
      <c r="AA597" s="18"/>
      <c r="AB597" s="18"/>
      <c r="AC597" s="18"/>
    </row>
    <row r="598" spans="23:29" customFormat="1" x14ac:dyDescent="0.25">
      <c r="W598" s="37"/>
      <c r="X598" s="52"/>
      <c r="Y598" s="52"/>
      <c r="Z598" s="37"/>
      <c r="AA598" s="18"/>
      <c r="AB598" s="18"/>
      <c r="AC598" s="18"/>
    </row>
    <row r="599" spans="23:29" customFormat="1" x14ac:dyDescent="0.25">
      <c r="W599" s="37"/>
      <c r="X599" s="52"/>
      <c r="Y599" s="52"/>
      <c r="Z599" s="37"/>
      <c r="AA599" s="18"/>
      <c r="AB599" s="18"/>
      <c r="AC599" s="18"/>
    </row>
    <row r="600" spans="23:29" customFormat="1" x14ac:dyDescent="0.25">
      <c r="W600" s="37"/>
      <c r="X600" s="52"/>
      <c r="Y600" s="52"/>
      <c r="Z600" s="37"/>
      <c r="AA600" s="18"/>
      <c r="AB600" s="18"/>
      <c r="AC600" s="18"/>
    </row>
    <row r="601" spans="23:29" customFormat="1" x14ac:dyDescent="0.25">
      <c r="W601" s="37"/>
      <c r="X601" s="52"/>
      <c r="Y601" s="52"/>
      <c r="Z601" s="37"/>
      <c r="AA601" s="18"/>
      <c r="AB601" s="18"/>
      <c r="AC601" s="18"/>
    </row>
    <row r="602" spans="23:29" customFormat="1" x14ac:dyDescent="0.25">
      <c r="W602" s="37"/>
      <c r="X602" s="52"/>
      <c r="Y602" s="52"/>
      <c r="Z602" s="37"/>
      <c r="AA602" s="18"/>
      <c r="AB602" s="18"/>
      <c r="AC602" s="18"/>
    </row>
    <row r="603" spans="23:29" customFormat="1" x14ac:dyDescent="0.25">
      <c r="W603" s="37"/>
      <c r="X603" s="52"/>
      <c r="Y603" s="52"/>
      <c r="Z603" s="37"/>
      <c r="AA603" s="18"/>
      <c r="AB603" s="18"/>
      <c r="AC603" s="18"/>
    </row>
    <row r="604" spans="23:29" customFormat="1" x14ac:dyDescent="0.25">
      <c r="W604" s="37"/>
      <c r="X604" s="52"/>
      <c r="Y604" s="52"/>
      <c r="Z604" s="37"/>
      <c r="AA604" s="18"/>
      <c r="AB604" s="18"/>
      <c r="AC604" s="18"/>
    </row>
    <row r="605" spans="23:29" customFormat="1" x14ac:dyDescent="0.25">
      <c r="W605" s="37"/>
      <c r="X605" s="52"/>
      <c r="Y605" s="52"/>
      <c r="Z605" s="37"/>
      <c r="AA605" s="18"/>
      <c r="AB605" s="18"/>
      <c r="AC605" s="18"/>
    </row>
    <row r="606" spans="23:29" customFormat="1" x14ac:dyDescent="0.25">
      <c r="W606" s="37"/>
      <c r="X606" s="52"/>
      <c r="Y606" s="52"/>
      <c r="Z606" s="37"/>
      <c r="AA606" s="18"/>
      <c r="AB606" s="18"/>
      <c r="AC606" s="18"/>
    </row>
    <row r="607" spans="23:29" customFormat="1" x14ac:dyDescent="0.25">
      <c r="W607" s="37"/>
      <c r="X607" s="52"/>
      <c r="Y607" s="52"/>
      <c r="Z607" s="37"/>
      <c r="AA607" s="18"/>
      <c r="AB607" s="18"/>
      <c r="AC607" s="18"/>
    </row>
    <row r="608" spans="23:29" customFormat="1" x14ac:dyDescent="0.25">
      <c r="W608" s="37"/>
      <c r="X608" s="52"/>
      <c r="Y608" s="52"/>
      <c r="Z608" s="37"/>
      <c r="AA608" s="18"/>
      <c r="AB608" s="18"/>
      <c r="AC608" s="18"/>
    </row>
    <row r="609" spans="23:29" customFormat="1" x14ac:dyDescent="0.25">
      <c r="W609" s="37"/>
      <c r="X609" s="52"/>
      <c r="Y609" s="52"/>
      <c r="Z609" s="37"/>
      <c r="AA609" s="18"/>
      <c r="AB609" s="18"/>
      <c r="AC609" s="18"/>
    </row>
    <row r="610" spans="23:29" customFormat="1" x14ac:dyDescent="0.25">
      <c r="W610" s="37"/>
      <c r="X610" s="52"/>
      <c r="Y610" s="52"/>
      <c r="Z610" s="37"/>
      <c r="AA610" s="18"/>
      <c r="AB610" s="18"/>
      <c r="AC610" s="18"/>
    </row>
    <row r="611" spans="23:29" customFormat="1" x14ac:dyDescent="0.25">
      <c r="W611" s="37"/>
      <c r="X611" s="52"/>
      <c r="Y611" s="52"/>
      <c r="Z611" s="37"/>
      <c r="AA611" s="18"/>
      <c r="AB611" s="18"/>
      <c r="AC611" s="18"/>
    </row>
    <row r="612" spans="23:29" customFormat="1" x14ac:dyDescent="0.25">
      <c r="W612" s="37"/>
      <c r="X612" s="52"/>
      <c r="Y612" s="52"/>
      <c r="Z612" s="37"/>
      <c r="AA612" s="18"/>
      <c r="AB612" s="18"/>
      <c r="AC612" s="18"/>
    </row>
    <row r="613" spans="23:29" customFormat="1" x14ac:dyDescent="0.25">
      <c r="W613" s="37"/>
      <c r="X613" s="52"/>
      <c r="Y613" s="52"/>
      <c r="Z613" s="37"/>
      <c r="AA613" s="18"/>
      <c r="AB613" s="18"/>
      <c r="AC613" s="18"/>
    </row>
    <row r="614" spans="23:29" customFormat="1" x14ac:dyDescent="0.25">
      <c r="W614" s="37"/>
      <c r="X614" s="52"/>
      <c r="Y614" s="52"/>
      <c r="Z614" s="37"/>
      <c r="AA614" s="18"/>
      <c r="AB614" s="18"/>
      <c r="AC614" s="18"/>
    </row>
    <row r="615" spans="23:29" customFormat="1" x14ac:dyDescent="0.25">
      <c r="W615" s="37"/>
      <c r="X615" s="52"/>
      <c r="Y615" s="52"/>
      <c r="Z615" s="37"/>
      <c r="AA615" s="18"/>
      <c r="AB615" s="18"/>
      <c r="AC615" s="18"/>
    </row>
    <row r="616" spans="23:29" customFormat="1" x14ac:dyDescent="0.25">
      <c r="W616" s="37"/>
      <c r="X616" s="52"/>
      <c r="Y616" s="52"/>
      <c r="Z616" s="37"/>
      <c r="AA616" s="18"/>
      <c r="AB616" s="18"/>
      <c r="AC616" s="18"/>
    </row>
    <row r="617" spans="23:29" customFormat="1" x14ac:dyDescent="0.25">
      <c r="W617" s="37"/>
      <c r="X617" s="52"/>
      <c r="Y617" s="52"/>
      <c r="Z617" s="37"/>
      <c r="AA617" s="18"/>
      <c r="AB617" s="18"/>
      <c r="AC617" s="18"/>
    </row>
    <row r="618" spans="23:29" customFormat="1" x14ac:dyDescent="0.25">
      <c r="W618" s="37"/>
      <c r="X618" s="52"/>
      <c r="Y618" s="52"/>
      <c r="Z618" s="37"/>
      <c r="AA618" s="18"/>
      <c r="AB618" s="18"/>
      <c r="AC618" s="18"/>
    </row>
    <row r="619" spans="23:29" customFormat="1" x14ac:dyDescent="0.25">
      <c r="W619" s="37"/>
      <c r="X619" s="52"/>
      <c r="Y619" s="52"/>
      <c r="Z619" s="37"/>
      <c r="AA619" s="18"/>
      <c r="AB619" s="18"/>
      <c r="AC619" s="18"/>
    </row>
    <row r="620" spans="23:29" customFormat="1" x14ac:dyDescent="0.25">
      <c r="W620" s="37"/>
      <c r="X620" s="52"/>
      <c r="Y620" s="52"/>
      <c r="Z620" s="37"/>
      <c r="AA620" s="18"/>
      <c r="AB620" s="18"/>
      <c r="AC620" s="18"/>
    </row>
    <row r="621" spans="23:29" customFormat="1" x14ac:dyDescent="0.25">
      <c r="W621" s="37"/>
      <c r="X621" s="52"/>
      <c r="Y621" s="52"/>
      <c r="Z621" s="37"/>
      <c r="AA621" s="18"/>
      <c r="AB621" s="18"/>
      <c r="AC621" s="18"/>
    </row>
    <row r="622" spans="23:29" customFormat="1" x14ac:dyDescent="0.25">
      <c r="W622" s="37"/>
      <c r="X622" s="52"/>
      <c r="Y622" s="52"/>
      <c r="Z622" s="37"/>
      <c r="AA622" s="18"/>
      <c r="AB622" s="18"/>
      <c r="AC622" s="18"/>
    </row>
    <row r="623" spans="23:29" customFormat="1" x14ac:dyDescent="0.25">
      <c r="W623" s="37"/>
      <c r="X623" s="52"/>
      <c r="Y623" s="52"/>
      <c r="Z623" s="37"/>
      <c r="AA623" s="18"/>
      <c r="AB623" s="18"/>
      <c r="AC623" s="18"/>
    </row>
    <row r="624" spans="23:29" customFormat="1" x14ac:dyDescent="0.25">
      <c r="W624" s="37"/>
      <c r="X624" s="52"/>
      <c r="Y624" s="52"/>
      <c r="Z624" s="37"/>
      <c r="AA624" s="18"/>
      <c r="AB624" s="18"/>
      <c r="AC624" s="18"/>
    </row>
    <row r="625" spans="23:29" customFormat="1" x14ac:dyDescent="0.25">
      <c r="W625" s="37"/>
      <c r="X625" s="52"/>
      <c r="Y625" s="52"/>
      <c r="Z625" s="37"/>
      <c r="AA625" s="18"/>
      <c r="AB625" s="18"/>
      <c r="AC625" s="18"/>
    </row>
    <row r="626" spans="23:29" customFormat="1" x14ac:dyDescent="0.25">
      <c r="W626" s="37"/>
      <c r="X626" s="52"/>
      <c r="Y626" s="52"/>
      <c r="Z626" s="37"/>
      <c r="AA626" s="18"/>
      <c r="AB626" s="18"/>
      <c r="AC626" s="18"/>
    </row>
    <row r="627" spans="23:29" customFormat="1" x14ac:dyDescent="0.25">
      <c r="W627" s="37"/>
      <c r="X627" s="52"/>
      <c r="Y627" s="52"/>
      <c r="Z627" s="37"/>
      <c r="AA627" s="18"/>
      <c r="AB627" s="18"/>
      <c r="AC627" s="18"/>
    </row>
    <row r="628" spans="23:29" customFormat="1" x14ac:dyDescent="0.25">
      <c r="W628" s="37"/>
      <c r="X628" s="52"/>
      <c r="Y628" s="52"/>
      <c r="Z628" s="37"/>
      <c r="AA628" s="18"/>
      <c r="AB628" s="18"/>
      <c r="AC628" s="18"/>
    </row>
    <row r="629" spans="23:29" customFormat="1" x14ac:dyDescent="0.25">
      <c r="W629" s="37"/>
      <c r="X629" s="52"/>
      <c r="Y629" s="52"/>
      <c r="Z629" s="37"/>
      <c r="AA629" s="18"/>
      <c r="AB629" s="18"/>
      <c r="AC629" s="18"/>
    </row>
    <row r="630" spans="23:29" customFormat="1" x14ac:dyDescent="0.25">
      <c r="W630" s="37"/>
      <c r="X630" s="52"/>
      <c r="Y630" s="52"/>
      <c r="Z630" s="37"/>
      <c r="AA630" s="18"/>
      <c r="AB630" s="18"/>
      <c r="AC630" s="18"/>
    </row>
    <row r="631" spans="23:29" customFormat="1" x14ac:dyDescent="0.25">
      <c r="W631" s="37"/>
      <c r="X631" s="52"/>
      <c r="Y631" s="52"/>
      <c r="Z631" s="37"/>
      <c r="AA631" s="18"/>
      <c r="AB631" s="18"/>
      <c r="AC631" s="18"/>
    </row>
    <row r="632" spans="23:29" customFormat="1" x14ac:dyDescent="0.25">
      <c r="W632" s="37"/>
      <c r="X632" s="52"/>
      <c r="Y632" s="52"/>
      <c r="Z632" s="37"/>
      <c r="AA632" s="18"/>
      <c r="AB632" s="18"/>
      <c r="AC632" s="18"/>
    </row>
    <row r="633" spans="23:29" customFormat="1" x14ac:dyDescent="0.25">
      <c r="W633" s="37"/>
      <c r="X633" s="52"/>
      <c r="Y633" s="52"/>
      <c r="Z633" s="37"/>
      <c r="AA633" s="18"/>
      <c r="AB633" s="18"/>
      <c r="AC633" s="18"/>
    </row>
    <row r="634" spans="23:29" customFormat="1" x14ac:dyDescent="0.25">
      <c r="W634" s="37"/>
      <c r="X634" s="52"/>
      <c r="Y634" s="52"/>
      <c r="Z634" s="37"/>
      <c r="AA634" s="18"/>
      <c r="AB634" s="18"/>
      <c r="AC634" s="18"/>
    </row>
    <row r="635" spans="23:29" customFormat="1" x14ac:dyDescent="0.25">
      <c r="W635" s="37"/>
      <c r="X635" s="52"/>
      <c r="Y635" s="52"/>
      <c r="Z635" s="37"/>
      <c r="AA635" s="18"/>
      <c r="AB635" s="18"/>
      <c r="AC635" s="18"/>
    </row>
    <row r="636" spans="23:29" customFormat="1" x14ac:dyDescent="0.25">
      <c r="W636" s="37"/>
      <c r="X636" s="52"/>
      <c r="Y636" s="52"/>
      <c r="Z636" s="37"/>
      <c r="AA636" s="18"/>
      <c r="AB636" s="18"/>
      <c r="AC636" s="18"/>
    </row>
    <row r="637" spans="23:29" customFormat="1" x14ac:dyDescent="0.25">
      <c r="W637" s="37"/>
      <c r="X637" s="52"/>
      <c r="Y637" s="52"/>
      <c r="Z637" s="37"/>
      <c r="AA637" s="18"/>
      <c r="AB637" s="18"/>
      <c r="AC637" s="18"/>
    </row>
    <row r="638" spans="23:29" customFormat="1" x14ac:dyDescent="0.25">
      <c r="W638" s="37"/>
      <c r="X638" s="52"/>
      <c r="Y638" s="52"/>
      <c r="Z638" s="37"/>
      <c r="AA638" s="18"/>
      <c r="AB638" s="18"/>
      <c r="AC638" s="18"/>
    </row>
    <row r="639" spans="23:29" customFormat="1" x14ac:dyDescent="0.25">
      <c r="W639" s="37"/>
      <c r="X639" s="52"/>
      <c r="Y639" s="52"/>
      <c r="Z639" s="37"/>
      <c r="AA639" s="18"/>
      <c r="AB639" s="18"/>
      <c r="AC639" s="18"/>
    </row>
    <row r="640" spans="23:29" customFormat="1" x14ac:dyDescent="0.25">
      <c r="W640" s="37"/>
      <c r="X640" s="52"/>
      <c r="Y640" s="52"/>
      <c r="Z640" s="37"/>
      <c r="AA640" s="18"/>
      <c r="AB640" s="18"/>
      <c r="AC640" s="18"/>
    </row>
    <row r="641" spans="23:29" customFormat="1" x14ac:dyDescent="0.25">
      <c r="W641" s="37"/>
      <c r="X641" s="52"/>
      <c r="Y641" s="52"/>
      <c r="Z641" s="37"/>
      <c r="AA641" s="18"/>
      <c r="AB641" s="18"/>
      <c r="AC641" s="18"/>
    </row>
    <row r="642" spans="23:29" customFormat="1" x14ac:dyDescent="0.25">
      <c r="W642" s="37"/>
      <c r="X642" s="52"/>
      <c r="Y642" s="52"/>
      <c r="Z642" s="37"/>
      <c r="AA642" s="18"/>
      <c r="AB642" s="18"/>
      <c r="AC642" s="18"/>
    </row>
    <row r="643" spans="23:29" customFormat="1" x14ac:dyDescent="0.25">
      <c r="W643" s="37"/>
      <c r="X643" s="52"/>
      <c r="Y643" s="52"/>
      <c r="Z643" s="37"/>
      <c r="AA643" s="18"/>
      <c r="AB643" s="18"/>
      <c r="AC643" s="18"/>
    </row>
    <row r="644" spans="23:29" customFormat="1" x14ac:dyDescent="0.25">
      <c r="W644" s="37"/>
      <c r="X644" s="52"/>
      <c r="Y644" s="52"/>
      <c r="Z644" s="37"/>
      <c r="AA644" s="18"/>
      <c r="AB644" s="18"/>
      <c r="AC644" s="18"/>
    </row>
    <row r="645" spans="23:29" customFormat="1" x14ac:dyDescent="0.25">
      <c r="W645" s="37"/>
      <c r="X645" s="52"/>
      <c r="Y645" s="52"/>
      <c r="Z645" s="37"/>
      <c r="AA645" s="18"/>
      <c r="AB645" s="18"/>
      <c r="AC645" s="18"/>
    </row>
    <row r="646" spans="23:29" customFormat="1" x14ac:dyDescent="0.25">
      <c r="W646" s="37"/>
      <c r="X646" s="52"/>
      <c r="Y646" s="52"/>
      <c r="Z646" s="37"/>
      <c r="AA646" s="18"/>
      <c r="AB646" s="18"/>
      <c r="AC646" s="18"/>
    </row>
    <row r="647" spans="23:29" customFormat="1" x14ac:dyDescent="0.25">
      <c r="W647" s="37"/>
      <c r="X647" s="52"/>
      <c r="Y647" s="52"/>
      <c r="Z647" s="37"/>
      <c r="AA647" s="18"/>
      <c r="AB647" s="18"/>
      <c r="AC647" s="18"/>
    </row>
    <row r="648" spans="23:29" customFormat="1" x14ac:dyDescent="0.25">
      <c r="W648" s="37"/>
      <c r="X648" s="52"/>
      <c r="Y648" s="52"/>
      <c r="Z648" s="37"/>
      <c r="AA648" s="18"/>
      <c r="AB648" s="18"/>
      <c r="AC648" s="18"/>
    </row>
    <row r="649" spans="23:29" customFormat="1" x14ac:dyDescent="0.25">
      <c r="W649" s="37"/>
      <c r="X649" s="52"/>
      <c r="Y649" s="52"/>
      <c r="Z649" s="37"/>
      <c r="AA649" s="18"/>
      <c r="AB649" s="18"/>
      <c r="AC649" s="18"/>
    </row>
    <row r="650" spans="23:29" customFormat="1" x14ac:dyDescent="0.25">
      <c r="W650" s="37"/>
      <c r="X650" s="52"/>
      <c r="Y650" s="52"/>
      <c r="Z650" s="37"/>
      <c r="AA650" s="18"/>
      <c r="AB650" s="18"/>
      <c r="AC650" s="18"/>
    </row>
    <row r="651" spans="23:29" customFormat="1" x14ac:dyDescent="0.25">
      <c r="W651" s="37"/>
      <c r="X651" s="52"/>
      <c r="Y651" s="52"/>
      <c r="Z651" s="37"/>
      <c r="AA651" s="18"/>
      <c r="AB651" s="18"/>
      <c r="AC651" s="18"/>
    </row>
    <row r="652" spans="23:29" customFormat="1" x14ac:dyDescent="0.25">
      <c r="W652" s="37"/>
      <c r="X652" s="52"/>
      <c r="Y652" s="52"/>
      <c r="Z652" s="37"/>
      <c r="AA652" s="18"/>
      <c r="AB652" s="18"/>
      <c r="AC652" s="18"/>
    </row>
    <row r="653" spans="23:29" customFormat="1" x14ac:dyDescent="0.25">
      <c r="W653" s="37"/>
      <c r="X653" s="52"/>
      <c r="Y653" s="52"/>
      <c r="Z653" s="37"/>
      <c r="AA653" s="18"/>
      <c r="AB653" s="18"/>
      <c r="AC653" s="18"/>
    </row>
    <row r="654" spans="23:29" customFormat="1" x14ac:dyDescent="0.25">
      <c r="W654" s="37"/>
      <c r="X654" s="52"/>
      <c r="Y654" s="52"/>
      <c r="Z654" s="37"/>
      <c r="AA654" s="18"/>
      <c r="AB654" s="18"/>
      <c r="AC654" s="18"/>
    </row>
    <row r="655" spans="23:29" customFormat="1" x14ac:dyDescent="0.25">
      <c r="W655" s="37"/>
      <c r="X655" s="52"/>
      <c r="Y655" s="52"/>
      <c r="Z655" s="37"/>
      <c r="AA655" s="18"/>
      <c r="AB655" s="18"/>
      <c r="AC655" s="18"/>
    </row>
    <row r="656" spans="23:29" customFormat="1" x14ac:dyDescent="0.25">
      <c r="W656" s="37"/>
      <c r="X656" s="52"/>
      <c r="Y656" s="52"/>
      <c r="Z656" s="37"/>
      <c r="AA656" s="18"/>
      <c r="AB656" s="18"/>
      <c r="AC656" s="18"/>
    </row>
    <row r="657" spans="23:29" customFormat="1" x14ac:dyDescent="0.25">
      <c r="W657" s="37"/>
      <c r="X657" s="52"/>
      <c r="Y657" s="52"/>
      <c r="Z657" s="37"/>
      <c r="AA657" s="18"/>
      <c r="AB657" s="18"/>
      <c r="AC657" s="18"/>
    </row>
    <row r="658" spans="23:29" customFormat="1" x14ac:dyDescent="0.25">
      <c r="W658" s="37"/>
      <c r="X658" s="52"/>
      <c r="Y658" s="52"/>
      <c r="Z658" s="37"/>
      <c r="AA658" s="18"/>
      <c r="AB658" s="18"/>
      <c r="AC658" s="18"/>
    </row>
    <row r="659" spans="23:29" customFormat="1" x14ac:dyDescent="0.25">
      <c r="W659" s="37"/>
      <c r="X659" s="52"/>
      <c r="Y659" s="52"/>
      <c r="Z659" s="37"/>
      <c r="AA659" s="18"/>
      <c r="AB659" s="18"/>
      <c r="AC659" s="18"/>
    </row>
    <row r="660" spans="23:29" customFormat="1" x14ac:dyDescent="0.25">
      <c r="W660" s="37"/>
      <c r="X660" s="52"/>
      <c r="Y660" s="52"/>
      <c r="Z660" s="37"/>
      <c r="AA660" s="18"/>
      <c r="AB660" s="18"/>
      <c r="AC660" s="18"/>
    </row>
    <row r="661" spans="23:29" customFormat="1" x14ac:dyDescent="0.25">
      <c r="W661" s="37"/>
      <c r="X661" s="52"/>
      <c r="Y661" s="52"/>
      <c r="Z661" s="37"/>
      <c r="AA661" s="18"/>
      <c r="AB661" s="18"/>
      <c r="AC661" s="18"/>
    </row>
    <row r="662" spans="23:29" customFormat="1" x14ac:dyDescent="0.25">
      <c r="W662" s="37"/>
      <c r="X662" s="52"/>
      <c r="Y662" s="52"/>
      <c r="Z662" s="37"/>
      <c r="AA662" s="18"/>
      <c r="AB662" s="18"/>
      <c r="AC662" s="18"/>
    </row>
    <row r="663" spans="23:29" customFormat="1" x14ac:dyDescent="0.25">
      <c r="W663" s="37"/>
      <c r="X663" s="52"/>
      <c r="Y663" s="52"/>
      <c r="Z663" s="37"/>
      <c r="AA663" s="18"/>
      <c r="AB663" s="18"/>
      <c r="AC663" s="18"/>
    </row>
    <row r="664" spans="23:29" customFormat="1" x14ac:dyDescent="0.25">
      <c r="W664" s="37"/>
      <c r="X664" s="52"/>
      <c r="Y664" s="52"/>
      <c r="Z664" s="37"/>
      <c r="AA664" s="18"/>
      <c r="AB664" s="18"/>
      <c r="AC664" s="18"/>
    </row>
    <row r="665" spans="23:29" customFormat="1" x14ac:dyDescent="0.25">
      <c r="W665" s="37"/>
      <c r="X665" s="52"/>
      <c r="Y665" s="52"/>
      <c r="Z665" s="37"/>
      <c r="AA665" s="18"/>
      <c r="AB665" s="18"/>
      <c r="AC665" s="18"/>
    </row>
    <row r="666" spans="23:29" customFormat="1" x14ac:dyDescent="0.25">
      <c r="W666" s="37"/>
      <c r="X666" s="52"/>
      <c r="Y666" s="52"/>
      <c r="Z666" s="37"/>
      <c r="AA666" s="18"/>
      <c r="AB666" s="18"/>
      <c r="AC666" s="18"/>
    </row>
    <row r="667" spans="23:29" customFormat="1" x14ac:dyDescent="0.25">
      <c r="W667" s="37"/>
      <c r="X667" s="52"/>
      <c r="Y667" s="52"/>
      <c r="Z667" s="37"/>
      <c r="AA667" s="18"/>
      <c r="AB667" s="18"/>
      <c r="AC667" s="18"/>
    </row>
    <row r="668" spans="23:29" customFormat="1" x14ac:dyDescent="0.25">
      <c r="W668" s="37"/>
      <c r="X668" s="52"/>
      <c r="Y668" s="52"/>
      <c r="Z668" s="37"/>
      <c r="AA668" s="18"/>
      <c r="AB668" s="18"/>
      <c r="AC668" s="18"/>
    </row>
    <row r="669" spans="23:29" customFormat="1" x14ac:dyDescent="0.25">
      <c r="W669" s="37"/>
      <c r="X669" s="52"/>
      <c r="Y669" s="52"/>
      <c r="Z669" s="37"/>
      <c r="AA669" s="18"/>
      <c r="AB669" s="18"/>
      <c r="AC669" s="18"/>
    </row>
    <row r="670" spans="23:29" customFormat="1" x14ac:dyDescent="0.25">
      <c r="W670" s="37"/>
      <c r="X670" s="52"/>
      <c r="Y670" s="52"/>
      <c r="Z670" s="37"/>
      <c r="AA670" s="18"/>
      <c r="AB670" s="18"/>
      <c r="AC670" s="18"/>
    </row>
    <row r="671" spans="23:29" customFormat="1" x14ac:dyDescent="0.25">
      <c r="W671" s="37"/>
      <c r="X671" s="52"/>
      <c r="Y671" s="52"/>
      <c r="Z671" s="37"/>
      <c r="AA671" s="18"/>
      <c r="AB671" s="18"/>
      <c r="AC671" s="18"/>
    </row>
    <row r="672" spans="23:29" customFormat="1" x14ac:dyDescent="0.25">
      <c r="W672" s="37"/>
      <c r="X672" s="52"/>
      <c r="Y672" s="52"/>
      <c r="Z672" s="37"/>
      <c r="AA672" s="18"/>
      <c r="AB672" s="18"/>
      <c r="AC672" s="18"/>
    </row>
    <row r="673" spans="23:29" customFormat="1" x14ac:dyDescent="0.25">
      <c r="W673" s="37"/>
      <c r="X673" s="52"/>
      <c r="Y673" s="52"/>
      <c r="Z673" s="37"/>
      <c r="AA673" s="18"/>
      <c r="AB673" s="18"/>
      <c r="AC673" s="18"/>
    </row>
    <row r="674" spans="23:29" customFormat="1" x14ac:dyDescent="0.25">
      <c r="W674" s="37"/>
      <c r="X674" s="52"/>
      <c r="Y674" s="52"/>
      <c r="Z674" s="37"/>
      <c r="AA674" s="18"/>
      <c r="AB674" s="18"/>
      <c r="AC674" s="18"/>
    </row>
    <row r="675" spans="23:29" customFormat="1" x14ac:dyDescent="0.25">
      <c r="W675" s="37"/>
      <c r="X675" s="52"/>
      <c r="Y675" s="52"/>
      <c r="Z675" s="37"/>
      <c r="AA675" s="18"/>
      <c r="AB675" s="18"/>
      <c r="AC675" s="18"/>
    </row>
    <row r="676" spans="23:29" customFormat="1" x14ac:dyDescent="0.25">
      <c r="W676" s="37"/>
      <c r="X676" s="52"/>
      <c r="Y676" s="52"/>
      <c r="Z676" s="37"/>
      <c r="AA676" s="18"/>
      <c r="AB676" s="18"/>
      <c r="AC676" s="18"/>
    </row>
    <row r="677" spans="23:29" customFormat="1" x14ac:dyDescent="0.25">
      <c r="W677" s="37"/>
      <c r="X677" s="52"/>
      <c r="Y677" s="52"/>
      <c r="Z677" s="37"/>
      <c r="AA677" s="18"/>
      <c r="AB677" s="18"/>
      <c r="AC677" s="18"/>
    </row>
    <row r="678" spans="23:29" customFormat="1" x14ac:dyDescent="0.25">
      <c r="W678" s="37"/>
      <c r="X678" s="52"/>
      <c r="Y678" s="52"/>
      <c r="Z678" s="37"/>
      <c r="AA678" s="18"/>
      <c r="AB678" s="18"/>
      <c r="AC678" s="18"/>
    </row>
    <row r="679" spans="23:29" customFormat="1" x14ac:dyDescent="0.25">
      <c r="W679" s="37"/>
      <c r="X679" s="52"/>
      <c r="Y679" s="52"/>
      <c r="Z679" s="37"/>
      <c r="AA679" s="18"/>
      <c r="AB679" s="18"/>
      <c r="AC679" s="18"/>
    </row>
    <row r="680" spans="23:29" customFormat="1" x14ac:dyDescent="0.25">
      <c r="W680" s="37"/>
      <c r="X680" s="52"/>
      <c r="Y680" s="52"/>
      <c r="Z680" s="37"/>
      <c r="AA680" s="18"/>
      <c r="AB680" s="18"/>
      <c r="AC680" s="18"/>
    </row>
    <row r="681" spans="23:29" customFormat="1" x14ac:dyDescent="0.25">
      <c r="W681" s="37"/>
      <c r="X681" s="52"/>
      <c r="Y681" s="52"/>
      <c r="Z681" s="37"/>
      <c r="AA681" s="18"/>
      <c r="AB681" s="18"/>
      <c r="AC681" s="18"/>
    </row>
    <row r="682" spans="23:29" customFormat="1" x14ac:dyDescent="0.25">
      <c r="W682" s="37"/>
      <c r="X682" s="52"/>
      <c r="Y682" s="52"/>
      <c r="Z682" s="37"/>
      <c r="AA682" s="18"/>
      <c r="AB682" s="18"/>
      <c r="AC682" s="18"/>
    </row>
    <row r="683" spans="23:29" customFormat="1" x14ac:dyDescent="0.25">
      <c r="W683" s="37"/>
      <c r="X683" s="52"/>
      <c r="Y683" s="52"/>
      <c r="Z683" s="37"/>
      <c r="AA683" s="18"/>
      <c r="AB683" s="18"/>
      <c r="AC683" s="18"/>
    </row>
    <row r="684" spans="23:29" customFormat="1" x14ac:dyDescent="0.25">
      <c r="W684" s="37"/>
      <c r="X684" s="52"/>
      <c r="Y684" s="52"/>
      <c r="Z684" s="37"/>
      <c r="AA684" s="18"/>
      <c r="AB684" s="18"/>
      <c r="AC684" s="18"/>
    </row>
    <row r="685" spans="23:29" customFormat="1" x14ac:dyDescent="0.25">
      <c r="W685" s="37"/>
      <c r="X685" s="52"/>
      <c r="Y685" s="52"/>
      <c r="Z685" s="37"/>
      <c r="AA685" s="18"/>
      <c r="AB685" s="18"/>
      <c r="AC685" s="18"/>
    </row>
    <row r="686" spans="23:29" customFormat="1" x14ac:dyDescent="0.25">
      <c r="W686" s="37"/>
      <c r="X686" s="52"/>
      <c r="Y686" s="52"/>
      <c r="Z686" s="37"/>
      <c r="AA686" s="18"/>
      <c r="AB686" s="18"/>
      <c r="AC686" s="18"/>
    </row>
    <row r="687" spans="23:29" customFormat="1" x14ac:dyDescent="0.25">
      <c r="W687" s="37"/>
      <c r="X687" s="52"/>
      <c r="Y687" s="52"/>
      <c r="Z687" s="37"/>
      <c r="AA687" s="18"/>
      <c r="AB687" s="18"/>
      <c r="AC687" s="18"/>
    </row>
    <row r="688" spans="23:29" customFormat="1" x14ac:dyDescent="0.25">
      <c r="W688" s="37"/>
      <c r="X688" s="52"/>
      <c r="Y688" s="52"/>
      <c r="Z688" s="37"/>
      <c r="AA688" s="18"/>
      <c r="AB688" s="18"/>
      <c r="AC688" s="18"/>
    </row>
    <row r="689" spans="23:29" customFormat="1" x14ac:dyDescent="0.25">
      <c r="W689" s="37"/>
      <c r="X689" s="52"/>
      <c r="Y689" s="52"/>
      <c r="Z689" s="37"/>
      <c r="AA689" s="18"/>
      <c r="AB689" s="18"/>
      <c r="AC689" s="18"/>
    </row>
    <row r="690" spans="23:29" customFormat="1" x14ac:dyDescent="0.25">
      <c r="W690" s="37"/>
      <c r="X690" s="52"/>
      <c r="Y690" s="52"/>
      <c r="Z690" s="37"/>
      <c r="AA690" s="18"/>
      <c r="AB690" s="18"/>
      <c r="AC690" s="18"/>
    </row>
    <row r="691" spans="23:29" customFormat="1" x14ac:dyDescent="0.25">
      <c r="W691" s="37"/>
      <c r="X691" s="52"/>
      <c r="Y691" s="52"/>
      <c r="Z691" s="37"/>
      <c r="AA691" s="18"/>
      <c r="AB691" s="18"/>
      <c r="AC691" s="18"/>
    </row>
    <row r="692" spans="23:29" customFormat="1" x14ac:dyDescent="0.25">
      <c r="W692" s="37"/>
      <c r="X692" s="52"/>
      <c r="Y692" s="52"/>
      <c r="Z692" s="37"/>
      <c r="AA692" s="18"/>
      <c r="AB692" s="18"/>
      <c r="AC692" s="18"/>
    </row>
    <row r="693" spans="23:29" customFormat="1" x14ac:dyDescent="0.25">
      <c r="W693" s="37"/>
      <c r="X693" s="52"/>
      <c r="Y693" s="52"/>
      <c r="Z693" s="37"/>
      <c r="AA693" s="18"/>
      <c r="AB693" s="18"/>
      <c r="AC693" s="18"/>
    </row>
    <row r="694" spans="23:29" customFormat="1" x14ac:dyDescent="0.25">
      <c r="W694" s="37"/>
      <c r="X694" s="52"/>
      <c r="Y694" s="52"/>
      <c r="Z694" s="37"/>
      <c r="AA694" s="18"/>
      <c r="AB694" s="18"/>
      <c r="AC694" s="18"/>
    </row>
    <row r="695" spans="23:29" customFormat="1" x14ac:dyDescent="0.25">
      <c r="W695" s="37"/>
      <c r="X695" s="52"/>
      <c r="Y695" s="52"/>
      <c r="Z695" s="37"/>
      <c r="AA695" s="18"/>
      <c r="AB695" s="18"/>
      <c r="AC695" s="18"/>
    </row>
    <row r="696" spans="23:29" customFormat="1" x14ac:dyDescent="0.25">
      <c r="W696" s="37"/>
      <c r="X696" s="52"/>
      <c r="Y696" s="52"/>
      <c r="Z696" s="37"/>
      <c r="AA696" s="18"/>
      <c r="AB696" s="18"/>
      <c r="AC696" s="18"/>
    </row>
    <row r="697" spans="23:29" customFormat="1" x14ac:dyDescent="0.25">
      <c r="W697" s="37"/>
      <c r="X697" s="52"/>
      <c r="Y697" s="52"/>
      <c r="Z697" s="37"/>
      <c r="AA697" s="18"/>
      <c r="AB697" s="18"/>
      <c r="AC697" s="18"/>
    </row>
    <row r="698" spans="23:29" customFormat="1" x14ac:dyDescent="0.25">
      <c r="W698" s="37"/>
      <c r="X698" s="52"/>
      <c r="Y698" s="52"/>
      <c r="Z698" s="37"/>
      <c r="AA698" s="18"/>
      <c r="AB698" s="18"/>
      <c r="AC698" s="18"/>
    </row>
    <row r="699" spans="23:29" customFormat="1" x14ac:dyDescent="0.25">
      <c r="W699" s="37"/>
      <c r="X699" s="52"/>
      <c r="Y699" s="52"/>
      <c r="Z699" s="37"/>
      <c r="AA699" s="18"/>
      <c r="AB699" s="18"/>
      <c r="AC699" s="18"/>
    </row>
    <row r="700" spans="23:29" customFormat="1" x14ac:dyDescent="0.25">
      <c r="W700" s="37"/>
      <c r="X700" s="52"/>
      <c r="Y700" s="52"/>
      <c r="Z700" s="37"/>
      <c r="AA700" s="18"/>
      <c r="AB700" s="18"/>
      <c r="AC700" s="18"/>
    </row>
    <row r="701" spans="23:29" customFormat="1" x14ac:dyDescent="0.25">
      <c r="W701" s="37"/>
      <c r="X701" s="52"/>
      <c r="Y701" s="52"/>
      <c r="Z701" s="37"/>
      <c r="AA701" s="18"/>
      <c r="AB701" s="18"/>
      <c r="AC701" s="18"/>
    </row>
    <row r="702" spans="23:29" customFormat="1" x14ac:dyDescent="0.25">
      <c r="W702" s="37"/>
      <c r="X702" s="52"/>
      <c r="Y702" s="52"/>
      <c r="Z702" s="37"/>
      <c r="AA702" s="18"/>
      <c r="AB702" s="18"/>
      <c r="AC702" s="18"/>
    </row>
    <row r="703" spans="23:29" customFormat="1" x14ac:dyDescent="0.25">
      <c r="W703" s="37"/>
      <c r="X703" s="52"/>
      <c r="Y703" s="52"/>
      <c r="Z703" s="37"/>
      <c r="AA703" s="18"/>
      <c r="AB703" s="18"/>
      <c r="AC703" s="18"/>
    </row>
    <row r="704" spans="23:29" customFormat="1" x14ac:dyDescent="0.25">
      <c r="W704" s="37"/>
      <c r="X704" s="52"/>
      <c r="Y704" s="52"/>
      <c r="Z704" s="37"/>
      <c r="AA704" s="18"/>
      <c r="AB704" s="18"/>
      <c r="AC704" s="18"/>
    </row>
    <row r="705" spans="23:29" customFormat="1" x14ac:dyDescent="0.25">
      <c r="W705" s="37"/>
      <c r="X705" s="52"/>
      <c r="Y705" s="52"/>
      <c r="Z705" s="37"/>
      <c r="AA705" s="18"/>
      <c r="AB705" s="18"/>
      <c r="AC705" s="18"/>
    </row>
    <row r="706" spans="23:29" customFormat="1" x14ac:dyDescent="0.25">
      <c r="W706" s="37"/>
      <c r="X706" s="52"/>
      <c r="Y706" s="52"/>
      <c r="Z706" s="37"/>
      <c r="AA706" s="18"/>
      <c r="AB706" s="18"/>
      <c r="AC706" s="18"/>
    </row>
    <row r="707" spans="23:29" customFormat="1" x14ac:dyDescent="0.25">
      <c r="W707" s="37"/>
      <c r="X707" s="52"/>
      <c r="Y707" s="52"/>
      <c r="Z707" s="37"/>
      <c r="AA707" s="18"/>
      <c r="AB707" s="18"/>
      <c r="AC707" s="18"/>
    </row>
    <row r="708" spans="23:29" customFormat="1" x14ac:dyDescent="0.25">
      <c r="W708" s="37"/>
      <c r="X708" s="52"/>
      <c r="Y708" s="52"/>
      <c r="Z708" s="37"/>
      <c r="AA708" s="18"/>
      <c r="AB708" s="18"/>
      <c r="AC708" s="18"/>
    </row>
    <row r="709" spans="23:29" customFormat="1" x14ac:dyDescent="0.25">
      <c r="W709" s="37"/>
      <c r="X709" s="52"/>
      <c r="Y709" s="52"/>
      <c r="Z709" s="37"/>
      <c r="AA709" s="18"/>
      <c r="AB709" s="18"/>
      <c r="AC709" s="18"/>
    </row>
    <row r="710" spans="23:29" customFormat="1" x14ac:dyDescent="0.25">
      <c r="W710" s="37"/>
      <c r="X710" s="52"/>
      <c r="Y710" s="52"/>
      <c r="Z710" s="37"/>
      <c r="AA710" s="18"/>
      <c r="AB710" s="18"/>
      <c r="AC710" s="18"/>
    </row>
    <row r="711" spans="23:29" customFormat="1" x14ac:dyDescent="0.25">
      <c r="W711" s="37"/>
      <c r="X711" s="52"/>
      <c r="Y711" s="52"/>
      <c r="Z711" s="37"/>
      <c r="AA711" s="18"/>
      <c r="AB711" s="18"/>
      <c r="AC711" s="18"/>
    </row>
    <row r="712" spans="23:29" customFormat="1" x14ac:dyDescent="0.25">
      <c r="W712" s="37"/>
      <c r="X712" s="52"/>
      <c r="Y712" s="52"/>
      <c r="Z712" s="37"/>
      <c r="AA712" s="18"/>
      <c r="AB712" s="18"/>
      <c r="AC712" s="18"/>
    </row>
    <row r="713" spans="23:29" customFormat="1" x14ac:dyDescent="0.25">
      <c r="W713" s="37"/>
      <c r="X713" s="52"/>
      <c r="Y713" s="52"/>
      <c r="Z713" s="37"/>
      <c r="AA713" s="18"/>
      <c r="AB713" s="18"/>
      <c r="AC713" s="18"/>
    </row>
    <row r="714" spans="23:29" customFormat="1" x14ac:dyDescent="0.25">
      <c r="W714" s="37"/>
      <c r="X714" s="52"/>
      <c r="Y714" s="52"/>
      <c r="Z714" s="37"/>
      <c r="AA714" s="18"/>
      <c r="AB714" s="18"/>
      <c r="AC714" s="18"/>
    </row>
    <row r="715" spans="23:29" customFormat="1" x14ac:dyDescent="0.25">
      <c r="W715" s="37"/>
      <c r="X715" s="52"/>
      <c r="Y715" s="52"/>
      <c r="Z715" s="37"/>
      <c r="AA715" s="18"/>
      <c r="AB715" s="18"/>
      <c r="AC715" s="18"/>
    </row>
    <row r="716" spans="23:29" customFormat="1" x14ac:dyDescent="0.25">
      <c r="W716" s="37"/>
      <c r="X716" s="52"/>
      <c r="Y716" s="52"/>
      <c r="Z716" s="37"/>
      <c r="AA716" s="18"/>
      <c r="AB716" s="18"/>
      <c r="AC716" s="18"/>
    </row>
    <row r="717" spans="23:29" customFormat="1" x14ac:dyDescent="0.25">
      <c r="W717" s="37"/>
      <c r="X717" s="52"/>
      <c r="Y717" s="52"/>
      <c r="Z717" s="37"/>
      <c r="AA717" s="18"/>
      <c r="AB717" s="18"/>
      <c r="AC717" s="18"/>
    </row>
    <row r="718" spans="23:29" customFormat="1" x14ac:dyDescent="0.25">
      <c r="W718" s="37"/>
      <c r="X718" s="52"/>
      <c r="Y718" s="52"/>
      <c r="Z718" s="37"/>
      <c r="AA718" s="18"/>
      <c r="AB718" s="18"/>
      <c r="AC718" s="18"/>
    </row>
    <row r="719" spans="23:29" customFormat="1" x14ac:dyDescent="0.25">
      <c r="W719" s="37"/>
      <c r="X719" s="52"/>
      <c r="Y719" s="52"/>
      <c r="Z719" s="37"/>
      <c r="AA719" s="18"/>
      <c r="AB719" s="18"/>
      <c r="AC719" s="18"/>
    </row>
    <row r="720" spans="23:29" customFormat="1" x14ac:dyDescent="0.25">
      <c r="W720" s="37"/>
      <c r="X720" s="52"/>
      <c r="Y720" s="52"/>
      <c r="Z720" s="37"/>
      <c r="AA720" s="18"/>
      <c r="AB720" s="18"/>
      <c r="AC720" s="18"/>
    </row>
    <row r="721" spans="23:29" customFormat="1" x14ac:dyDescent="0.25">
      <c r="W721" s="37"/>
      <c r="X721" s="52"/>
      <c r="Y721" s="52"/>
      <c r="Z721" s="37"/>
      <c r="AA721" s="18"/>
      <c r="AB721" s="18"/>
      <c r="AC721" s="18"/>
    </row>
    <row r="722" spans="23:29" customFormat="1" x14ac:dyDescent="0.25">
      <c r="W722" s="37"/>
      <c r="X722" s="52"/>
      <c r="Y722" s="52"/>
      <c r="Z722" s="37"/>
      <c r="AA722" s="18"/>
      <c r="AB722" s="18"/>
      <c r="AC722" s="18"/>
    </row>
    <row r="723" spans="23:29" customFormat="1" x14ac:dyDescent="0.25">
      <c r="W723" s="37"/>
      <c r="X723" s="52"/>
      <c r="Y723" s="52"/>
      <c r="Z723" s="37"/>
      <c r="AA723" s="18"/>
      <c r="AB723" s="18"/>
      <c r="AC723" s="18"/>
    </row>
    <row r="724" spans="23:29" customFormat="1" x14ac:dyDescent="0.25">
      <c r="W724" s="37"/>
      <c r="X724" s="52"/>
      <c r="Y724" s="52"/>
      <c r="Z724" s="37"/>
      <c r="AA724" s="18"/>
      <c r="AB724" s="18"/>
      <c r="AC724" s="18"/>
    </row>
    <row r="725" spans="23:29" customFormat="1" x14ac:dyDescent="0.25">
      <c r="W725" s="37"/>
      <c r="X725" s="52"/>
      <c r="Y725" s="52"/>
      <c r="Z725" s="37"/>
      <c r="AA725" s="18"/>
      <c r="AB725" s="18"/>
      <c r="AC725" s="18"/>
    </row>
    <row r="726" spans="23:29" customFormat="1" x14ac:dyDescent="0.25">
      <c r="W726" s="37"/>
      <c r="X726" s="52"/>
      <c r="Y726" s="52"/>
      <c r="Z726" s="37"/>
      <c r="AA726" s="18"/>
      <c r="AB726" s="18"/>
      <c r="AC726" s="18"/>
    </row>
    <row r="727" spans="23:29" customFormat="1" x14ac:dyDescent="0.25">
      <c r="W727" s="37"/>
      <c r="X727" s="52"/>
      <c r="Y727" s="52"/>
      <c r="Z727" s="37"/>
      <c r="AA727" s="18"/>
      <c r="AB727" s="18"/>
      <c r="AC727" s="18"/>
    </row>
    <row r="728" spans="23:29" customFormat="1" x14ac:dyDescent="0.25">
      <c r="W728" s="37"/>
      <c r="X728" s="52"/>
      <c r="Y728" s="52"/>
      <c r="Z728" s="37"/>
      <c r="AA728" s="18"/>
      <c r="AB728" s="18"/>
      <c r="AC728" s="18"/>
    </row>
    <row r="729" spans="23:29" customFormat="1" x14ac:dyDescent="0.25">
      <c r="W729" s="37"/>
      <c r="X729" s="52"/>
      <c r="Y729" s="52"/>
      <c r="Z729" s="37"/>
      <c r="AA729" s="18"/>
      <c r="AB729" s="18"/>
      <c r="AC729" s="18"/>
    </row>
    <row r="730" spans="23:29" customFormat="1" x14ac:dyDescent="0.25">
      <c r="W730" s="37"/>
      <c r="X730" s="52"/>
      <c r="Y730" s="52"/>
      <c r="Z730" s="37"/>
      <c r="AA730" s="18"/>
      <c r="AB730" s="18"/>
      <c r="AC730" s="18"/>
    </row>
    <row r="731" spans="23:29" customFormat="1" x14ac:dyDescent="0.25">
      <c r="W731" s="37"/>
      <c r="X731" s="52"/>
      <c r="Y731" s="52"/>
      <c r="Z731" s="37"/>
      <c r="AA731" s="18"/>
      <c r="AB731" s="18"/>
      <c r="AC731" s="18"/>
    </row>
    <row r="732" spans="23:29" customFormat="1" x14ac:dyDescent="0.25">
      <c r="W732" s="37"/>
      <c r="X732" s="52"/>
      <c r="Y732" s="52"/>
      <c r="Z732" s="37"/>
      <c r="AA732" s="18"/>
      <c r="AB732" s="18"/>
      <c r="AC732" s="18"/>
    </row>
    <row r="733" spans="23:29" customFormat="1" x14ac:dyDescent="0.25">
      <c r="W733" s="37"/>
      <c r="X733" s="52"/>
      <c r="Y733" s="52"/>
      <c r="Z733" s="37"/>
      <c r="AA733" s="18"/>
      <c r="AB733" s="18"/>
      <c r="AC733" s="18"/>
    </row>
    <row r="734" spans="23:29" customFormat="1" x14ac:dyDescent="0.25">
      <c r="W734" s="37"/>
      <c r="X734" s="52"/>
      <c r="Y734" s="52"/>
      <c r="Z734" s="37"/>
      <c r="AA734" s="18"/>
      <c r="AB734" s="18"/>
      <c r="AC734" s="18"/>
    </row>
    <row r="735" spans="23:29" customFormat="1" x14ac:dyDescent="0.25">
      <c r="W735" s="37"/>
      <c r="X735" s="52"/>
      <c r="Y735" s="52"/>
      <c r="Z735" s="37"/>
      <c r="AA735" s="18"/>
      <c r="AB735" s="18"/>
      <c r="AC735" s="18"/>
    </row>
    <row r="736" spans="23:29" customFormat="1" x14ac:dyDescent="0.25">
      <c r="W736" s="37"/>
      <c r="X736" s="52"/>
      <c r="Y736" s="52"/>
      <c r="Z736" s="37"/>
      <c r="AA736" s="18"/>
      <c r="AB736" s="18"/>
      <c r="AC736" s="18"/>
    </row>
    <row r="737" spans="23:29" customFormat="1" x14ac:dyDescent="0.25">
      <c r="W737" s="37"/>
      <c r="X737" s="52"/>
      <c r="Y737" s="52"/>
      <c r="Z737" s="37"/>
      <c r="AA737" s="18"/>
      <c r="AB737" s="18"/>
      <c r="AC737" s="18"/>
    </row>
    <row r="738" spans="23:29" customFormat="1" x14ac:dyDescent="0.25">
      <c r="W738" s="37"/>
      <c r="X738" s="52"/>
      <c r="Y738" s="52"/>
      <c r="Z738" s="37"/>
      <c r="AA738" s="18"/>
      <c r="AB738" s="18"/>
      <c r="AC738" s="18"/>
    </row>
    <row r="739" spans="23:29" customFormat="1" x14ac:dyDescent="0.25">
      <c r="W739" s="37"/>
      <c r="X739" s="52"/>
      <c r="Y739" s="52"/>
      <c r="Z739" s="37"/>
      <c r="AA739" s="18"/>
      <c r="AB739" s="18"/>
      <c r="AC739" s="18"/>
    </row>
    <row r="740" spans="23:29" customFormat="1" x14ac:dyDescent="0.25">
      <c r="W740" s="37"/>
      <c r="X740" s="52"/>
      <c r="Y740" s="52"/>
      <c r="Z740" s="37"/>
      <c r="AA740" s="18"/>
      <c r="AB740" s="18"/>
      <c r="AC740" s="18"/>
    </row>
    <row r="741" spans="23:29" customFormat="1" x14ac:dyDescent="0.25">
      <c r="W741" s="37"/>
      <c r="X741" s="52"/>
      <c r="Y741" s="52"/>
      <c r="Z741" s="37"/>
      <c r="AA741" s="18"/>
      <c r="AB741" s="18"/>
      <c r="AC741" s="18"/>
    </row>
    <row r="742" spans="23:29" customFormat="1" x14ac:dyDescent="0.25">
      <c r="W742" s="37"/>
      <c r="X742" s="52"/>
      <c r="Y742" s="52"/>
      <c r="Z742" s="37"/>
      <c r="AA742" s="18"/>
      <c r="AB742" s="18"/>
      <c r="AC742" s="18"/>
    </row>
    <row r="743" spans="23:29" customFormat="1" x14ac:dyDescent="0.25">
      <c r="W743" s="37"/>
      <c r="X743" s="52"/>
      <c r="Y743" s="52"/>
      <c r="Z743" s="37"/>
      <c r="AA743" s="18"/>
      <c r="AB743" s="18"/>
      <c r="AC743" s="18"/>
    </row>
    <row r="744" spans="23:29" customFormat="1" x14ac:dyDescent="0.25">
      <c r="W744" s="37"/>
      <c r="X744" s="52"/>
      <c r="Y744" s="52"/>
      <c r="Z744" s="37"/>
      <c r="AA744" s="18"/>
      <c r="AB744" s="18"/>
      <c r="AC744" s="18"/>
    </row>
    <row r="745" spans="23:29" customFormat="1" x14ac:dyDescent="0.25">
      <c r="W745" s="37"/>
      <c r="X745" s="52"/>
      <c r="Y745" s="52"/>
      <c r="Z745" s="37"/>
      <c r="AA745" s="18"/>
      <c r="AB745" s="18"/>
      <c r="AC745" s="18"/>
    </row>
    <row r="746" spans="23:29" customFormat="1" x14ac:dyDescent="0.25">
      <c r="W746" s="37"/>
      <c r="X746" s="52"/>
      <c r="Y746" s="52"/>
      <c r="Z746" s="37"/>
      <c r="AA746" s="18"/>
      <c r="AB746" s="18"/>
      <c r="AC746" s="18"/>
    </row>
    <row r="747" spans="23:29" customFormat="1" x14ac:dyDescent="0.25">
      <c r="W747" s="37"/>
      <c r="X747" s="52"/>
      <c r="Y747" s="52"/>
      <c r="Z747" s="37"/>
      <c r="AA747" s="18"/>
      <c r="AB747" s="18"/>
      <c r="AC747" s="18"/>
    </row>
    <row r="748" spans="23:29" customFormat="1" x14ac:dyDescent="0.25">
      <c r="W748" s="37"/>
      <c r="X748" s="52"/>
      <c r="Y748" s="52"/>
      <c r="Z748" s="37"/>
      <c r="AA748" s="18"/>
      <c r="AB748" s="18"/>
      <c r="AC748" s="18"/>
    </row>
    <row r="749" spans="23:29" customFormat="1" x14ac:dyDescent="0.25">
      <c r="W749" s="37"/>
      <c r="X749" s="52"/>
      <c r="Y749" s="52"/>
      <c r="Z749" s="37"/>
      <c r="AA749" s="18"/>
      <c r="AB749" s="18"/>
      <c r="AC749" s="18"/>
    </row>
    <row r="750" spans="23:29" customFormat="1" x14ac:dyDescent="0.25">
      <c r="W750" s="37"/>
      <c r="X750" s="52"/>
      <c r="Y750" s="52"/>
      <c r="Z750" s="37"/>
      <c r="AA750" s="18"/>
      <c r="AB750" s="18"/>
      <c r="AC750" s="18"/>
    </row>
    <row r="751" spans="23:29" customFormat="1" x14ac:dyDescent="0.25">
      <c r="W751" s="37"/>
      <c r="X751" s="52"/>
      <c r="Y751" s="52"/>
      <c r="Z751" s="37"/>
      <c r="AA751" s="18"/>
      <c r="AB751" s="18"/>
      <c r="AC751" s="18"/>
    </row>
    <row r="752" spans="23:29" customFormat="1" x14ac:dyDescent="0.25">
      <c r="W752" s="37"/>
      <c r="X752" s="52"/>
      <c r="Y752" s="52"/>
      <c r="Z752" s="37"/>
      <c r="AA752" s="18"/>
      <c r="AB752" s="18"/>
      <c r="AC752" s="18"/>
    </row>
    <row r="753" spans="23:29" customFormat="1" x14ac:dyDescent="0.25">
      <c r="W753" s="37"/>
      <c r="X753" s="52"/>
      <c r="Y753" s="52"/>
      <c r="Z753" s="37"/>
      <c r="AA753" s="18"/>
      <c r="AB753" s="18"/>
      <c r="AC753" s="18"/>
    </row>
    <row r="754" spans="23:29" customFormat="1" x14ac:dyDescent="0.25">
      <c r="W754" s="37"/>
      <c r="X754" s="52"/>
      <c r="Y754" s="52"/>
      <c r="Z754" s="37"/>
      <c r="AA754" s="18"/>
      <c r="AB754" s="18"/>
      <c r="AC754" s="18"/>
    </row>
    <row r="755" spans="23:29" customFormat="1" x14ac:dyDescent="0.25">
      <c r="W755" s="37"/>
      <c r="X755" s="52"/>
      <c r="Y755" s="52"/>
      <c r="Z755" s="37"/>
      <c r="AA755" s="18"/>
      <c r="AB755" s="18"/>
      <c r="AC755" s="18"/>
    </row>
    <row r="756" spans="23:29" customFormat="1" x14ac:dyDescent="0.25">
      <c r="W756" s="37"/>
      <c r="X756" s="52"/>
      <c r="Y756" s="52"/>
      <c r="Z756" s="37"/>
      <c r="AA756" s="18"/>
      <c r="AB756" s="18"/>
      <c r="AC756" s="18"/>
    </row>
    <row r="757" spans="23:29" customFormat="1" x14ac:dyDescent="0.25">
      <c r="W757" s="37"/>
      <c r="X757" s="52"/>
      <c r="Y757" s="52"/>
      <c r="Z757" s="37"/>
      <c r="AA757" s="18"/>
      <c r="AB757" s="18"/>
      <c r="AC757" s="18"/>
    </row>
    <row r="758" spans="23:29" customFormat="1" x14ac:dyDescent="0.25">
      <c r="W758" s="37"/>
      <c r="X758" s="52"/>
      <c r="Y758" s="52"/>
      <c r="Z758" s="37"/>
      <c r="AA758" s="18"/>
      <c r="AB758" s="18"/>
      <c r="AC758" s="18"/>
    </row>
    <row r="759" spans="23:29" customFormat="1" x14ac:dyDescent="0.25">
      <c r="W759" s="37"/>
      <c r="X759" s="52"/>
      <c r="Y759" s="52"/>
      <c r="Z759" s="37"/>
      <c r="AA759" s="18"/>
      <c r="AB759" s="18"/>
      <c r="AC759" s="18"/>
    </row>
    <row r="760" spans="23:29" customFormat="1" x14ac:dyDescent="0.25">
      <c r="W760" s="37"/>
      <c r="X760" s="52"/>
      <c r="Y760" s="52"/>
      <c r="Z760" s="37"/>
      <c r="AA760" s="18"/>
      <c r="AB760" s="18"/>
      <c r="AC760" s="18"/>
    </row>
    <row r="761" spans="23:29" customFormat="1" x14ac:dyDescent="0.25">
      <c r="W761" s="37"/>
      <c r="X761" s="52"/>
      <c r="Y761" s="52"/>
      <c r="Z761" s="37"/>
      <c r="AA761" s="18"/>
      <c r="AB761" s="18"/>
      <c r="AC761" s="18"/>
    </row>
    <row r="762" spans="23:29" customFormat="1" x14ac:dyDescent="0.25">
      <c r="W762" s="37"/>
      <c r="X762" s="52"/>
      <c r="Y762" s="52"/>
      <c r="Z762" s="37"/>
      <c r="AA762" s="18"/>
      <c r="AB762" s="18"/>
      <c r="AC762" s="18"/>
    </row>
    <row r="763" spans="23:29" customFormat="1" x14ac:dyDescent="0.25">
      <c r="W763" s="37"/>
      <c r="X763" s="52"/>
      <c r="Y763" s="52"/>
      <c r="Z763" s="37"/>
      <c r="AA763" s="18"/>
      <c r="AB763" s="18"/>
      <c r="AC763" s="18"/>
    </row>
    <row r="764" spans="23:29" customFormat="1" x14ac:dyDescent="0.25">
      <c r="W764" s="37"/>
      <c r="X764" s="52"/>
      <c r="Y764" s="52"/>
      <c r="Z764" s="37"/>
      <c r="AA764" s="18"/>
      <c r="AB764" s="18"/>
      <c r="AC764" s="18"/>
    </row>
    <row r="765" spans="23:29" customFormat="1" x14ac:dyDescent="0.25">
      <c r="W765" s="37"/>
      <c r="X765" s="52"/>
      <c r="Y765" s="52"/>
      <c r="Z765" s="37"/>
      <c r="AA765" s="18"/>
      <c r="AB765" s="18"/>
      <c r="AC765" s="18"/>
    </row>
    <row r="766" spans="23:29" customFormat="1" x14ac:dyDescent="0.25">
      <c r="W766" s="37"/>
      <c r="X766" s="52"/>
      <c r="Y766" s="52"/>
      <c r="Z766" s="37"/>
      <c r="AA766" s="18"/>
      <c r="AB766" s="18"/>
      <c r="AC766" s="18"/>
    </row>
    <row r="767" spans="23:29" customFormat="1" x14ac:dyDescent="0.25">
      <c r="W767" s="37"/>
      <c r="X767" s="52"/>
      <c r="Y767" s="52"/>
      <c r="Z767" s="37"/>
      <c r="AA767" s="18"/>
      <c r="AB767" s="18"/>
      <c r="AC767" s="18"/>
    </row>
    <row r="768" spans="23:29" customFormat="1" x14ac:dyDescent="0.25">
      <c r="W768" s="37"/>
      <c r="X768" s="52"/>
      <c r="Y768" s="52"/>
      <c r="Z768" s="37"/>
      <c r="AA768" s="18"/>
      <c r="AB768" s="18"/>
      <c r="AC768" s="18"/>
    </row>
    <row r="769" spans="23:29" customFormat="1" x14ac:dyDescent="0.25">
      <c r="W769" s="37"/>
      <c r="X769" s="52"/>
      <c r="Y769" s="52"/>
      <c r="Z769" s="37"/>
      <c r="AA769" s="18"/>
      <c r="AB769" s="18"/>
      <c r="AC769" s="18"/>
    </row>
    <row r="770" spans="23:29" customFormat="1" x14ac:dyDescent="0.25">
      <c r="W770" s="37"/>
      <c r="X770" s="52"/>
      <c r="Y770" s="52"/>
      <c r="Z770" s="37"/>
      <c r="AA770" s="18"/>
      <c r="AB770" s="18"/>
      <c r="AC770" s="18"/>
    </row>
    <row r="771" spans="23:29" customFormat="1" x14ac:dyDescent="0.25">
      <c r="W771" s="37"/>
      <c r="X771" s="52"/>
      <c r="Y771" s="52"/>
      <c r="Z771" s="37"/>
      <c r="AA771" s="18"/>
      <c r="AB771" s="18"/>
      <c r="AC771" s="18"/>
    </row>
    <row r="772" spans="23:29" customFormat="1" x14ac:dyDescent="0.25">
      <c r="W772" s="37"/>
      <c r="X772" s="52"/>
      <c r="Y772" s="52"/>
      <c r="Z772" s="37"/>
      <c r="AA772" s="18"/>
      <c r="AB772" s="18"/>
      <c r="AC772" s="18"/>
    </row>
    <row r="773" spans="23:29" customFormat="1" x14ac:dyDescent="0.25">
      <c r="W773" s="37"/>
      <c r="X773" s="52"/>
      <c r="Y773" s="52"/>
      <c r="Z773" s="37"/>
      <c r="AA773" s="18"/>
      <c r="AB773" s="18"/>
      <c r="AC773" s="18"/>
    </row>
    <row r="774" spans="23:29" customFormat="1" x14ac:dyDescent="0.25">
      <c r="W774" s="37"/>
      <c r="X774" s="52"/>
      <c r="Y774" s="52"/>
      <c r="Z774" s="37"/>
      <c r="AA774" s="18"/>
      <c r="AB774" s="18"/>
      <c r="AC774" s="18"/>
    </row>
    <row r="775" spans="23:29" customFormat="1" x14ac:dyDescent="0.25">
      <c r="W775" s="37"/>
      <c r="X775" s="52"/>
      <c r="Y775" s="52"/>
      <c r="Z775" s="37"/>
      <c r="AA775" s="18"/>
      <c r="AB775" s="18"/>
      <c r="AC775" s="18"/>
    </row>
    <row r="776" spans="23:29" customFormat="1" x14ac:dyDescent="0.25">
      <c r="W776" s="37"/>
      <c r="X776" s="52"/>
      <c r="Y776" s="52"/>
      <c r="Z776" s="37"/>
      <c r="AA776" s="18"/>
      <c r="AB776" s="18"/>
      <c r="AC776" s="18"/>
    </row>
    <row r="777" spans="23:29" customFormat="1" x14ac:dyDescent="0.25">
      <c r="W777" s="37"/>
      <c r="X777" s="52"/>
      <c r="Y777" s="52"/>
      <c r="Z777" s="37"/>
      <c r="AA777" s="18"/>
      <c r="AB777" s="18"/>
      <c r="AC777" s="18"/>
    </row>
    <row r="778" spans="23:29" customFormat="1" x14ac:dyDescent="0.25">
      <c r="W778" s="37"/>
      <c r="X778" s="52"/>
      <c r="Y778" s="52"/>
      <c r="Z778" s="37"/>
      <c r="AA778" s="18"/>
      <c r="AB778" s="18"/>
      <c r="AC778" s="18"/>
    </row>
    <row r="779" spans="23:29" customFormat="1" x14ac:dyDescent="0.25">
      <c r="W779" s="37"/>
      <c r="X779" s="52"/>
      <c r="Y779" s="52"/>
      <c r="Z779" s="37"/>
      <c r="AA779" s="18"/>
      <c r="AB779" s="18"/>
      <c r="AC779" s="18"/>
    </row>
    <row r="780" spans="23:29" customFormat="1" x14ac:dyDescent="0.25">
      <c r="W780" s="37"/>
      <c r="X780" s="52"/>
      <c r="Y780" s="52"/>
      <c r="Z780" s="37"/>
      <c r="AA780" s="18"/>
      <c r="AB780" s="18"/>
      <c r="AC780" s="18"/>
    </row>
    <row r="781" spans="23:29" customFormat="1" x14ac:dyDescent="0.25">
      <c r="W781" s="37"/>
      <c r="X781" s="52"/>
      <c r="Y781" s="52"/>
      <c r="Z781" s="37"/>
      <c r="AA781" s="18"/>
      <c r="AB781" s="18"/>
      <c r="AC781" s="18"/>
    </row>
    <row r="782" spans="23:29" customFormat="1" x14ac:dyDescent="0.25">
      <c r="W782" s="37"/>
      <c r="X782" s="52"/>
      <c r="Y782" s="52"/>
      <c r="Z782" s="37"/>
      <c r="AA782" s="18"/>
      <c r="AB782" s="18"/>
      <c r="AC782" s="18"/>
    </row>
    <row r="783" spans="23:29" customFormat="1" x14ac:dyDescent="0.25">
      <c r="W783" s="37"/>
      <c r="X783" s="52"/>
      <c r="Y783" s="52"/>
      <c r="Z783" s="37"/>
      <c r="AA783" s="18"/>
      <c r="AB783" s="18"/>
      <c r="AC783" s="18"/>
    </row>
    <row r="784" spans="23:29" customFormat="1" x14ac:dyDescent="0.25">
      <c r="W784" s="37"/>
      <c r="X784" s="52"/>
      <c r="Y784" s="52"/>
      <c r="Z784" s="37"/>
      <c r="AA784" s="18"/>
      <c r="AB784" s="18"/>
      <c r="AC784" s="18"/>
    </row>
    <row r="785" spans="23:29" customFormat="1" x14ac:dyDescent="0.25">
      <c r="W785" s="37"/>
      <c r="X785" s="52"/>
      <c r="Y785" s="52"/>
      <c r="Z785" s="37"/>
      <c r="AA785" s="18"/>
      <c r="AB785" s="18"/>
      <c r="AC785" s="18"/>
    </row>
    <row r="786" spans="23:29" customFormat="1" x14ac:dyDescent="0.25">
      <c r="W786" s="37"/>
      <c r="X786" s="52"/>
      <c r="Y786" s="52"/>
      <c r="Z786" s="37"/>
      <c r="AA786" s="18"/>
      <c r="AB786" s="18"/>
      <c r="AC786" s="18"/>
    </row>
    <row r="787" spans="23:29" customFormat="1" x14ac:dyDescent="0.25">
      <c r="W787" s="37"/>
      <c r="X787" s="52"/>
      <c r="Y787" s="52"/>
      <c r="Z787" s="37"/>
      <c r="AA787" s="18"/>
      <c r="AB787" s="18"/>
      <c r="AC787" s="18"/>
    </row>
    <row r="788" spans="23:29" customFormat="1" x14ac:dyDescent="0.25">
      <c r="W788" s="37"/>
      <c r="X788" s="52"/>
      <c r="Y788" s="52"/>
      <c r="Z788" s="37"/>
      <c r="AA788" s="18"/>
      <c r="AB788" s="18"/>
      <c r="AC788" s="18"/>
    </row>
    <row r="789" spans="23:29" customFormat="1" x14ac:dyDescent="0.25">
      <c r="W789" s="37"/>
      <c r="X789" s="52"/>
      <c r="Y789" s="52"/>
      <c r="Z789" s="37"/>
      <c r="AA789" s="18"/>
      <c r="AB789" s="18"/>
      <c r="AC789" s="18"/>
    </row>
    <row r="790" spans="23:29" customFormat="1" x14ac:dyDescent="0.25">
      <c r="W790" s="37"/>
      <c r="X790" s="52"/>
      <c r="Y790" s="52"/>
      <c r="Z790" s="37"/>
      <c r="AA790" s="18"/>
      <c r="AB790" s="18"/>
      <c r="AC790" s="18"/>
    </row>
    <row r="791" spans="23:29" customFormat="1" x14ac:dyDescent="0.25">
      <c r="W791" s="37"/>
      <c r="X791" s="52"/>
      <c r="Y791" s="52"/>
      <c r="Z791" s="37"/>
      <c r="AA791" s="18"/>
      <c r="AB791" s="18"/>
      <c r="AC791" s="18"/>
    </row>
    <row r="792" spans="23:29" customFormat="1" x14ac:dyDescent="0.25">
      <c r="W792" s="37"/>
      <c r="X792" s="52"/>
      <c r="Y792" s="52"/>
      <c r="Z792" s="37"/>
      <c r="AA792" s="18"/>
      <c r="AB792" s="18"/>
      <c r="AC792" s="18"/>
    </row>
    <row r="793" spans="23:29" customFormat="1" x14ac:dyDescent="0.25">
      <c r="W793" s="37"/>
      <c r="X793" s="52"/>
      <c r="Y793" s="52"/>
      <c r="Z793" s="37"/>
      <c r="AA793" s="18"/>
      <c r="AB793" s="18"/>
      <c r="AC793" s="18"/>
    </row>
    <row r="794" spans="23:29" customFormat="1" x14ac:dyDescent="0.25">
      <c r="W794" s="37"/>
      <c r="X794" s="52"/>
      <c r="Y794" s="52"/>
      <c r="Z794" s="37"/>
      <c r="AA794" s="18"/>
      <c r="AB794" s="18"/>
      <c r="AC794" s="18"/>
    </row>
    <row r="795" spans="23:29" customFormat="1" x14ac:dyDescent="0.25">
      <c r="W795" s="37"/>
      <c r="X795" s="52"/>
      <c r="Y795" s="52"/>
      <c r="Z795" s="37"/>
      <c r="AA795" s="18"/>
      <c r="AB795" s="18"/>
      <c r="AC795" s="18"/>
    </row>
    <row r="796" spans="23:29" customFormat="1" x14ac:dyDescent="0.25">
      <c r="W796" s="37"/>
      <c r="X796" s="52"/>
      <c r="Y796" s="52"/>
      <c r="Z796" s="37"/>
      <c r="AA796" s="18"/>
      <c r="AB796" s="18"/>
      <c r="AC796" s="18"/>
    </row>
    <row r="797" spans="23:29" customFormat="1" x14ac:dyDescent="0.25">
      <c r="W797" s="37"/>
      <c r="X797" s="52"/>
      <c r="Y797" s="52"/>
      <c r="Z797" s="37"/>
      <c r="AA797" s="18"/>
      <c r="AB797" s="18"/>
      <c r="AC797" s="18"/>
    </row>
    <row r="798" spans="23:29" customFormat="1" x14ac:dyDescent="0.25">
      <c r="W798" s="37"/>
      <c r="X798" s="52"/>
      <c r="Y798" s="52"/>
      <c r="Z798" s="37"/>
      <c r="AA798" s="18"/>
      <c r="AB798" s="18"/>
      <c r="AC798" s="18"/>
    </row>
    <row r="799" spans="23:29" customFormat="1" x14ac:dyDescent="0.25">
      <c r="W799" s="37"/>
      <c r="X799" s="52"/>
      <c r="Y799" s="52"/>
      <c r="Z799" s="37"/>
      <c r="AA799" s="18"/>
      <c r="AB799" s="18"/>
      <c r="AC799" s="18"/>
    </row>
    <row r="800" spans="23:29" customFormat="1" x14ac:dyDescent="0.25">
      <c r="W800" s="37"/>
      <c r="X800" s="52"/>
      <c r="Y800" s="52"/>
      <c r="Z800" s="37"/>
      <c r="AA800" s="18"/>
      <c r="AB800" s="18"/>
      <c r="AC800" s="18"/>
    </row>
    <row r="801" spans="23:29" customFormat="1" x14ac:dyDescent="0.25">
      <c r="W801" s="37"/>
      <c r="X801" s="52"/>
      <c r="Y801" s="52"/>
      <c r="Z801" s="37"/>
      <c r="AA801" s="18"/>
      <c r="AB801" s="18"/>
      <c r="AC801" s="18"/>
    </row>
    <row r="802" spans="23:29" customFormat="1" x14ac:dyDescent="0.25">
      <c r="W802" s="37"/>
      <c r="X802" s="52"/>
      <c r="Y802" s="52"/>
      <c r="Z802" s="37"/>
      <c r="AA802" s="18"/>
      <c r="AB802" s="18"/>
      <c r="AC802" s="18"/>
    </row>
    <row r="803" spans="23:29" customFormat="1" x14ac:dyDescent="0.25">
      <c r="W803" s="37"/>
      <c r="X803" s="52"/>
      <c r="Y803" s="52"/>
      <c r="Z803" s="37"/>
      <c r="AA803" s="18"/>
      <c r="AB803" s="18"/>
      <c r="AC803" s="18"/>
    </row>
    <row r="804" spans="23:29" customFormat="1" x14ac:dyDescent="0.25">
      <c r="W804" s="37"/>
      <c r="X804" s="52"/>
      <c r="Y804" s="52"/>
      <c r="Z804" s="37"/>
      <c r="AA804" s="18"/>
      <c r="AB804" s="18"/>
      <c r="AC804" s="18"/>
    </row>
    <row r="805" spans="23:29" customFormat="1" x14ac:dyDescent="0.25">
      <c r="W805" s="37"/>
      <c r="X805" s="52"/>
      <c r="Y805" s="52"/>
      <c r="Z805" s="37"/>
      <c r="AA805" s="18"/>
      <c r="AB805" s="18"/>
      <c r="AC805" s="18"/>
    </row>
    <row r="806" spans="23:29" customFormat="1" x14ac:dyDescent="0.25">
      <c r="W806" s="37"/>
      <c r="X806" s="52"/>
      <c r="Y806" s="52"/>
      <c r="Z806" s="37"/>
      <c r="AA806" s="18"/>
      <c r="AB806" s="18"/>
      <c r="AC806" s="18"/>
    </row>
    <row r="807" spans="23:29" customFormat="1" x14ac:dyDescent="0.25">
      <c r="W807" s="37"/>
      <c r="X807" s="52"/>
      <c r="Y807" s="52"/>
      <c r="Z807" s="37"/>
      <c r="AA807" s="18"/>
      <c r="AB807" s="18"/>
      <c r="AC807" s="18"/>
    </row>
    <row r="808" spans="23:29" customFormat="1" x14ac:dyDescent="0.25">
      <c r="W808" s="37"/>
      <c r="X808" s="52"/>
      <c r="Y808" s="52"/>
      <c r="Z808" s="37"/>
      <c r="AA808" s="18"/>
      <c r="AB808" s="18"/>
      <c r="AC808" s="18"/>
    </row>
    <row r="809" spans="23:29" customFormat="1" x14ac:dyDescent="0.25">
      <c r="W809" s="37"/>
      <c r="X809" s="52"/>
      <c r="Y809" s="52"/>
      <c r="Z809" s="37"/>
      <c r="AA809" s="18"/>
      <c r="AB809" s="18"/>
      <c r="AC809" s="18"/>
    </row>
    <row r="810" spans="23:29" customFormat="1" x14ac:dyDescent="0.25">
      <c r="W810" s="37"/>
      <c r="X810" s="52"/>
      <c r="Y810" s="52"/>
      <c r="Z810" s="37"/>
      <c r="AA810" s="18"/>
      <c r="AB810" s="18"/>
      <c r="AC810" s="18"/>
    </row>
    <row r="811" spans="23:29" customFormat="1" x14ac:dyDescent="0.25">
      <c r="W811" s="37"/>
      <c r="X811" s="52"/>
      <c r="Y811" s="52"/>
      <c r="Z811" s="37"/>
      <c r="AA811" s="18"/>
      <c r="AB811" s="18"/>
      <c r="AC811" s="18"/>
    </row>
    <row r="812" spans="23:29" customFormat="1" x14ac:dyDescent="0.25">
      <c r="W812" s="37"/>
      <c r="X812" s="52"/>
      <c r="Y812" s="52"/>
      <c r="Z812" s="37"/>
      <c r="AA812" s="18"/>
      <c r="AB812" s="18"/>
      <c r="AC812" s="18"/>
    </row>
    <row r="813" spans="23:29" customFormat="1" x14ac:dyDescent="0.25">
      <c r="W813" s="37"/>
      <c r="X813" s="52"/>
      <c r="Y813" s="52"/>
      <c r="Z813" s="37"/>
      <c r="AA813" s="18"/>
      <c r="AB813" s="18"/>
      <c r="AC813" s="18"/>
    </row>
    <row r="814" spans="23:29" customFormat="1" x14ac:dyDescent="0.25">
      <c r="W814" s="37"/>
      <c r="X814" s="52"/>
      <c r="Y814" s="52"/>
      <c r="Z814" s="37"/>
      <c r="AA814" s="18"/>
      <c r="AB814" s="18"/>
      <c r="AC814" s="18"/>
    </row>
    <row r="815" spans="23:29" customFormat="1" x14ac:dyDescent="0.25">
      <c r="W815" s="37"/>
      <c r="X815" s="52"/>
      <c r="Y815" s="52"/>
      <c r="Z815" s="37"/>
      <c r="AA815" s="18"/>
      <c r="AB815" s="18"/>
      <c r="AC815" s="18"/>
    </row>
    <row r="816" spans="23:29" customFormat="1" x14ac:dyDescent="0.25">
      <c r="W816" s="37"/>
      <c r="X816" s="52"/>
      <c r="Y816" s="52"/>
      <c r="Z816" s="37"/>
      <c r="AA816" s="18"/>
      <c r="AB816" s="18"/>
      <c r="AC816" s="18"/>
    </row>
    <row r="817" spans="23:29" customFormat="1" x14ac:dyDescent="0.25">
      <c r="W817" s="37"/>
      <c r="X817" s="52"/>
      <c r="Y817" s="52"/>
      <c r="Z817" s="37"/>
      <c r="AA817" s="18"/>
      <c r="AB817" s="18"/>
      <c r="AC817" s="18"/>
    </row>
    <row r="818" spans="23:29" customFormat="1" x14ac:dyDescent="0.25">
      <c r="W818" s="37"/>
      <c r="X818" s="52"/>
      <c r="Y818" s="52"/>
      <c r="Z818" s="37"/>
      <c r="AA818" s="18"/>
      <c r="AB818" s="18"/>
      <c r="AC818" s="18"/>
    </row>
    <row r="819" spans="23:29" customFormat="1" x14ac:dyDescent="0.25">
      <c r="W819" s="37"/>
      <c r="X819" s="52"/>
      <c r="Y819" s="52"/>
      <c r="Z819" s="37"/>
      <c r="AA819" s="18"/>
      <c r="AB819" s="18"/>
      <c r="AC819" s="18"/>
    </row>
    <row r="820" spans="23:29" customFormat="1" x14ac:dyDescent="0.25">
      <c r="W820" s="37"/>
      <c r="X820" s="52"/>
      <c r="Y820" s="52"/>
      <c r="Z820" s="37"/>
      <c r="AA820" s="18"/>
      <c r="AB820" s="18"/>
      <c r="AC820" s="18"/>
    </row>
    <row r="821" spans="23:29" customFormat="1" x14ac:dyDescent="0.25">
      <c r="W821" s="37"/>
      <c r="X821" s="52"/>
      <c r="Y821" s="52"/>
      <c r="Z821" s="37"/>
      <c r="AA821" s="18"/>
      <c r="AB821" s="18"/>
      <c r="AC821" s="18"/>
    </row>
    <row r="822" spans="23:29" customFormat="1" x14ac:dyDescent="0.25">
      <c r="W822" s="37"/>
      <c r="X822" s="52"/>
      <c r="Y822" s="52"/>
      <c r="Z822" s="37"/>
      <c r="AA822" s="18"/>
      <c r="AB822" s="18"/>
      <c r="AC822" s="18"/>
    </row>
    <row r="823" spans="23:29" customFormat="1" x14ac:dyDescent="0.25">
      <c r="W823" s="37"/>
      <c r="X823" s="52"/>
      <c r="Y823" s="52"/>
      <c r="Z823" s="37"/>
      <c r="AA823" s="18"/>
      <c r="AB823" s="18"/>
      <c r="AC823" s="18"/>
    </row>
    <row r="824" spans="23:29" customFormat="1" x14ac:dyDescent="0.25">
      <c r="W824" s="37"/>
      <c r="X824" s="52"/>
      <c r="Y824" s="52"/>
      <c r="Z824" s="37"/>
      <c r="AA824" s="18"/>
      <c r="AB824" s="18"/>
      <c r="AC824" s="18"/>
    </row>
    <row r="825" spans="23:29" customFormat="1" x14ac:dyDescent="0.25">
      <c r="W825" s="37"/>
      <c r="X825" s="52"/>
      <c r="Y825" s="52"/>
      <c r="Z825" s="37"/>
      <c r="AA825" s="18"/>
      <c r="AB825" s="18"/>
      <c r="AC825" s="18"/>
    </row>
    <row r="826" spans="23:29" customFormat="1" x14ac:dyDescent="0.25">
      <c r="W826" s="37"/>
      <c r="X826" s="52"/>
      <c r="Y826" s="52"/>
      <c r="Z826" s="37"/>
      <c r="AA826" s="18"/>
      <c r="AB826" s="18"/>
      <c r="AC826" s="18"/>
    </row>
    <row r="827" spans="23:29" customFormat="1" x14ac:dyDescent="0.25">
      <c r="W827" s="37"/>
      <c r="X827" s="52"/>
      <c r="Y827" s="52"/>
      <c r="Z827" s="37"/>
      <c r="AA827" s="18"/>
      <c r="AB827" s="18"/>
      <c r="AC827" s="18"/>
    </row>
    <row r="828" spans="23:29" customFormat="1" x14ac:dyDescent="0.25">
      <c r="W828" s="37"/>
      <c r="X828" s="52"/>
      <c r="Y828" s="52"/>
      <c r="Z828" s="37"/>
      <c r="AA828" s="18"/>
      <c r="AB828" s="18"/>
      <c r="AC828" s="18"/>
    </row>
    <row r="829" spans="23:29" customFormat="1" x14ac:dyDescent="0.25">
      <c r="W829" s="37"/>
      <c r="X829" s="52"/>
      <c r="Y829" s="52"/>
      <c r="Z829" s="37"/>
      <c r="AA829" s="18"/>
      <c r="AB829" s="18"/>
      <c r="AC829" s="18"/>
    </row>
    <row r="830" spans="23:29" customFormat="1" x14ac:dyDescent="0.25">
      <c r="W830" s="37"/>
      <c r="X830" s="52"/>
      <c r="Y830" s="52"/>
      <c r="Z830" s="37"/>
      <c r="AA830" s="18"/>
      <c r="AB830" s="18"/>
      <c r="AC830" s="18"/>
    </row>
    <row r="831" spans="23:29" customFormat="1" x14ac:dyDescent="0.25">
      <c r="W831" s="37"/>
      <c r="X831" s="52"/>
      <c r="Y831" s="52"/>
      <c r="Z831" s="37"/>
      <c r="AA831" s="18"/>
      <c r="AB831" s="18"/>
      <c r="AC831" s="18"/>
    </row>
    <row r="832" spans="23:29" customFormat="1" x14ac:dyDescent="0.25">
      <c r="W832" s="37"/>
      <c r="X832" s="52"/>
      <c r="Y832" s="52"/>
      <c r="Z832" s="37"/>
      <c r="AA832" s="18"/>
      <c r="AB832" s="18"/>
      <c r="AC832" s="18"/>
    </row>
    <row r="833" spans="23:29" customFormat="1" x14ac:dyDescent="0.25">
      <c r="W833" s="37"/>
      <c r="X833" s="52"/>
      <c r="Y833" s="52"/>
      <c r="Z833" s="37"/>
      <c r="AA833" s="18"/>
      <c r="AB833" s="18"/>
      <c r="AC833" s="18"/>
    </row>
    <row r="834" spans="23:29" customFormat="1" x14ac:dyDescent="0.25">
      <c r="W834" s="37"/>
      <c r="X834" s="52"/>
      <c r="Y834" s="52"/>
      <c r="Z834" s="37"/>
      <c r="AA834" s="18"/>
      <c r="AB834" s="18"/>
      <c r="AC834" s="18"/>
    </row>
    <row r="835" spans="23:29" customFormat="1" x14ac:dyDescent="0.25">
      <c r="W835" s="37"/>
      <c r="X835" s="52"/>
      <c r="Y835" s="52"/>
      <c r="Z835" s="37"/>
      <c r="AA835" s="18"/>
      <c r="AB835" s="18"/>
      <c r="AC835" s="18"/>
    </row>
    <row r="836" spans="23:29" customFormat="1" x14ac:dyDescent="0.25">
      <c r="W836" s="37"/>
      <c r="X836" s="52"/>
      <c r="Y836" s="52"/>
      <c r="Z836" s="37"/>
      <c r="AA836" s="18"/>
      <c r="AB836" s="18"/>
      <c r="AC836" s="18"/>
    </row>
    <row r="837" spans="23:29" customFormat="1" x14ac:dyDescent="0.25">
      <c r="W837" s="37"/>
      <c r="X837" s="52"/>
      <c r="Y837" s="52"/>
      <c r="Z837" s="37"/>
      <c r="AA837" s="18"/>
      <c r="AB837" s="18"/>
      <c r="AC837" s="18"/>
    </row>
    <row r="838" spans="23:29" customFormat="1" x14ac:dyDescent="0.25">
      <c r="W838" s="37"/>
      <c r="X838" s="52"/>
      <c r="Y838" s="52"/>
      <c r="Z838" s="37"/>
      <c r="AA838" s="18"/>
      <c r="AB838" s="18"/>
      <c r="AC838" s="18"/>
    </row>
    <row r="839" spans="23:29" customFormat="1" x14ac:dyDescent="0.25">
      <c r="W839" s="37"/>
      <c r="X839" s="52"/>
      <c r="Y839" s="52"/>
      <c r="Z839" s="37"/>
      <c r="AA839" s="18"/>
      <c r="AB839" s="18"/>
      <c r="AC839" s="18"/>
    </row>
    <row r="840" spans="23:29" customFormat="1" x14ac:dyDescent="0.25">
      <c r="W840" s="37"/>
      <c r="X840" s="52"/>
      <c r="Y840" s="52"/>
      <c r="Z840" s="37"/>
      <c r="AA840" s="18"/>
      <c r="AB840" s="18"/>
      <c r="AC840" s="18"/>
    </row>
    <row r="841" spans="23:29" customFormat="1" x14ac:dyDescent="0.25">
      <c r="W841" s="37"/>
      <c r="X841" s="52"/>
      <c r="Y841" s="52"/>
      <c r="Z841" s="37"/>
      <c r="AA841" s="18"/>
      <c r="AB841" s="18"/>
      <c r="AC841" s="18"/>
    </row>
    <row r="842" spans="23:29" customFormat="1" x14ac:dyDescent="0.25">
      <c r="W842" s="37"/>
      <c r="X842" s="52"/>
      <c r="Y842" s="52"/>
      <c r="Z842" s="37"/>
      <c r="AA842" s="18"/>
      <c r="AB842" s="18"/>
      <c r="AC842" s="18"/>
    </row>
    <row r="843" spans="23:29" customFormat="1" x14ac:dyDescent="0.25">
      <c r="W843" s="37"/>
      <c r="X843" s="52"/>
      <c r="Y843" s="52"/>
      <c r="Z843" s="37"/>
      <c r="AA843" s="18"/>
      <c r="AB843" s="18"/>
      <c r="AC843" s="18"/>
    </row>
    <row r="844" spans="23:29" customFormat="1" x14ac:dyDescent="0.25">
      <c r="W844" s="37"/>
      <c r="X844" s="52"/>
      <c r="Y844" s="52"/>
      <c r="Z844" s="37"/>
      <c r="AA844" s="18"/>
      <c r="AB844" s="18"/>
      <c r="AC844" s="18"/>
    </row>
    <row r="845" spans="23:29" customFormat="1" x14ac:dyDescent="0.25">
      <c r="W845" s="37"/>
      <c r="X845" s="52"/>
      <c r="Y845" s="52"/>
      <c r="Z845" s="37"/>
      <c r="AA845" s="18"/>
      <c r="AB845" s="18"/>
      <c r="AC845" s="18"/>
    </row>
    <row r="846" spans="23:29" customFormat="1" x14ac:dyDescent="0.25">
      <c r="W846" s="37"/>
      <c r="X846" s="52"/>
      <c r="Y846" s="52"/>
      <c r="Z846" s="37"/>
      <c r="AA846" s="18"/>
      <c r="AB846" s="18"/>
      <c r="AC846" s="18"/>
    </row>
    <row r="847" spans="23:29" customFormat="1" x14ac:dyDescent="0.25">
      <c r="W847" s="37"/>
      <c r="X847" s="52"/>
      <c r="Y847" s="52"/>
      <c r="Z847" s="37"/>
      <c r="AA847" s="18"/>
      <c r="AB847" s="18"/>
      <c r="AC847" s="18"/>
    </row>
    <row r="848" spans="23:29" customFormat="1" x14ac:dyDescent="0.25">
      <c r="W848" s="37"/>
      <c r="X848" s="52"/>
      <c r="Y848" s="52"/>
      <c r="Z848" s="37"/>
      <c r="AA848" s="18"/>
      <c r="AB848" s="18"/>
      <c r="AC848" s="18"/>
    </row>
    <row r="849" spans="23:29" customFormat="1" x14ac:dyDescent="0.25">
      <c r="W849" s="37"/>
      <c r="X849" s="52"/>
      <c r="Y849" s="52"/>
      <c r="Z849" s="37"/>
      <c r="AA849" s="18"/>
      <c r="AB849" s="18"/>
      <c r="AC849" s="18"/>
    </row>
    <row r="850" spans="23:29" customFormat="1" x14ac:dyDescent="0.25">
      <c r="W850" s="37"/>
      <c r="X850" s="52"/>
      <c r="Y850" s="52"/>
      <c r="Z850" s="37"/>
      <c r="AA850" s="18"/>
      <c r="AB850" s="18"/>
      <c r="AC850" s="18"/>
    </row>
    <row r="851" spans="23:29" customFormat="1" x14ac:dyDescent="0.25">
      <c r="W851" s="37"/>
      <c r="X851" s="52"/>
      <c r="Y851" s="52"/>
      <c r="Z851" s="37"/>
      <c r="AA851" s="18"/>
      <c r="AB851" s="18"/>
      <c r="AC851" s="18"/>
    </row>
    <row r="852" spans="23:29" customFormat="1" x14ac:dyDescent="0.25">
      <c r="W852" s="37"/>
      <c r="X852" s="52"/>
      <c r="Y852" s="52"/>
      <c r="Z852" s="37"/>
      <c r="AA852" s="18"/>
      <c r="AB852" s="18"/>
      <c r="AC852" s="18"/>
    </row>
    <row r="853" spans="23:29" customFormat="1" x14ac:dyDescent="0.25">
      <c r="W853" s="37"/>
      <c r="X853" s="52"/>
      <c r="Y853" s="52"/>
      <c r="Z853" s="37"/>
      <c r="AA853" s="18"/>
      <c r="AB853" s="18"/>
      <c r="AC853" s="18"/>
    </row>
    <row r="854" spans="23:29" customFormat="1" x14ac:dyDescent="0.25">
      <c r="W854" s="37"/>
      <c r="X854" s="52"/>
      <c r="Y854" s="52"/>
      <c r="Z854" s="37"/>
      <c r="AA854" s="18"/>
      <c r="AB854" s="18"/>
      <c r="AC854" s="18"/>
    </row>
    <row r="855" spans="23:29" customFormat="1" x14ac:dyDescent="0.25">
      <c r="W855" s="37"/>
      <c r="X855" s="52"/>
      <c r="Y855" s="52"/>
      <c r="Z855" s="37"/>
      <c r="AA855" s="18"/>
      <c r="AB855" s="18"/>
      <c r="AC855" s="18"/>
    </row>
    <row r="856" spans="23:29" customFormat="1" x14ac:dyDescent="0.25">
      <c r="W856" s="37"/>
      <c r="X856" s="52"/>
      <c r="Y856" s="52"/>
      <c r="Z856" s="37"/>
      <c r="AA856" s="18"/>
      <c r="AB856" s="18"/>
      <c r="AC856" s="18"/>
    </row>
    <row r="857" spans="23:29" customFormat="1" x14ac:dyDescent="0.25">
      <c r="W857" s="37"/>
      <c r="X857" s="52"/>
      <c r="Y857" s="52"/>
      <c r="Z857" s="37"/>
      <c r="AA857" s="18"/>
      <c r="AB857" s="18"/>
      <c r="AC857" s="18"/>
    </row>
    <row r="858" spans="23:29" customFormat="1" x14ac:dyDescent="0.25">
      <c r="W858" s="37"/>
      <c r="X858" s="52"/>
      <c r="Y858" s="52"/>
      <c r="Z858" s="37"/>
      <c r="AA858" s="18"/>
      <c r="AB858" s="18"/>
      <c r="AC858" s="18"/>
    </row>
    <row r="859" spans="23:29" customFormat="1" x14ac:dyDescent="0.25">
      <c r="W859" s="37"/>
      <c r="X859" s="52"/>
      <c r="Y859" s="52"/>
      <c r="Z859" s="37"/>
      <c r="AA859" s="18"/>
      <c r="AB859" s="18"/>
      <c r="AC859" s="18"/>
    </row>
    <row r="860" spans="23:29" customFormat="1" x14ac:dyDescent="0.25">
      <c r="W860" s="37"/>
      <c r="X860" s="52"/>
      <c r="Y860" s="52"/>
      <c r="Z860" s="37"/>
      <c r="AA860" s="18"/>
      <c r="AB860" s="18"/>
      <c r="AC860" s="18"/>
    </row>
    <row r="861" spans="23:29" customFormat="1" x14ac:dyDescent="0.25">
      <c r="W861" s="37"/>
      <c r="X861" s="52"/>
      <c r="Y861" s="52"/>
      <c r="Z861" s="37"/>
      <c r="AA861" s="18"/>
      <c r="AB861" s="18"/>
      <c r="AC861" s="18"/>
    </row>
    <row r="862" spans="23:29" customFormat="1" x14ac:dyDescent="0.25">
      <c r="W862" s="37"/>
      <c r="X862" s="52"/>
      <c r="Y862" s="52"/>
      <c r="Z862" s="37"/>
      <c r="AA862" s="18"/>
      <c r="AB862" s="18"/>
      <c r="AC862" s="18"/>
    </row>
    <row r="863" spans="23:29" customFormat="1" x14ac:dyDescent="0.25">
      <c r="W863" s="37"/>
      <c r="X863" s="52"/>
      <c r="Y863" s="52"/>
      <c r="Z863" s="37"/>
      <c r="AA863" s="18"/>
      <c r="AB863" s="18"/>
      <c r="AC863" s="18"/>
    </row>
    <row r="864" spans="23:29" customFormat="1" x14ac:dyDescent="0.25">
      <c r="W864" s="37"/>
      <c r="X864" s="52"/>
      <c r="Y864" s="52"/>
      <c r="Z864" s="37"/>
      <c r="AA864" s="18"/>
      <c r="AB864" s="18"/>
      <c r="AC864" s="18"/>
    </row>
    <row r="865" spans="23:29" customFormat="1" x14ac:dyDescent="0.25">
      <c r="W865" s="37"/>
      <c r="X865" s="52"/>
      <c r="Y865" s="52"/>
      <c r="Z865" s="37"/>
      <c r="AA865" s="18"/>
      <c r="AB865" s="18"/>
      <c r="AC865" s="18"/>
    </row>
    <row r="866" spans="23:29" customFormat="1" x14ac:dyDescent="0.25">
      <c r="W866" s="37"/>
      <c r="X866" s="52"/>
      <c r="Y866" s="52"/>
      <c r="Z866" s="37"/>
      <c r="AA866" s="18"/>
      <c r="AB866" s="18"/>
      <c r="AC866" s="18"/>
    </row>
    <row r="867" spans="23:29" customFormat="1" x14ac:dyDescent="0.25">
      <c r="W867" s="37"/>
      <c r="X867" s="52"/>
      <c r="Y867" s="52"/>
      <c r="Z867" s="37"/>
      <c r="AA867" s="18"/>
      <c r="AB867" s="18"/>
      <c r="AC867" s="18"/>
    </row>
    <row r="868" spans="23:29" customFormat="1" x14ac:dyDescent="0.25">
      <c r="W868" s="37"/>
      <c r="X868" s="52"/>
      <c r="Y868" s="52"/>
      <c r="Z868" s="37"/>
      <c r="AA868" s="18"/>
      <c r="AB868" s="18"/>
      <c r="AC868" s="18"/>
    </row>
    <row r="869" spans="23:29" customFormat="1" x14ac:dyDescent="0.25">
      <c r="W869" s="37"/>
      <c r="X869" s="52"/>
      <c r="Y869" s="52"/>
      <c r="Z869" s="37"/>
      <c r="AA869" s="18"/>
      <c r="AB869" s="18"/>
      <c r="AC869" s="18"/>
    </row>
    <row r="870" spans="23:29" customFormat="1" x14ac:dyDescent="0.25">
      <c r="W870" s="37"/>
      <c r="X870" s="52"/>
      <c r="Y870" s="52"/>
      <c r="Z870" s="37"/>
      <c r="AA870" s="18"/>
      <c r="AB870" s="18"/>
      <c r="AC870" s="18"/>
    </row>
    <row r="871" spans="23:29" customFormat="1" x14ac:dyDescent="0.25">
      <c r="W871" s="37"/>
      <c r="X871" s="52"/>
      <c r="Y871" s="52"/>
      <c r="Z871" s="37"/>
      <c r="AA871" s="18"/>
      <c r="AB871" s="18"/>
      <c r="AC871" s="18"/>
    </row>
    <row r="872" spans="23:29" customFormat="1" x14ac:dyDescent="0.25">
      <c r="W872" s="37"/>
      <c r="X872" s="52"/>
      <c r="Y872" s="52"/>
      <c r="Z872" s="37"/>
      <c r="AA872" s="18"/>
      <c r="AB872" s="18"/>
      <c r="AC872" s="18"/>
    </row>
    <row r="873" spans="23:29" customFormat="1" x14ac:dyDescent="0.25">
      <c r="W873" s="37"/>
      <c r="X873" s="52"/>
      <c r="Y873" s="52"/>
      <c r="Z873" s="37"/>
      <c r="AA873" s="18"/>
      <c r="AB873" s="18"/>
      <c r="AC873" s="18"/>
    </row>
    <row r="874" spans="23:29" customFormat="1" x14ac:dyDescent="0.25">
      <c r="W874" s="37"/>
      <c r="X874" s="52"/>
      <c r="Y874" s="52"/>
      <c r="Z874" s="37"/>
      <c r="AA874" s="18"/>
      <c r="AB874" s="18"/>
      <c r="AC874" s="18"/>
    </row>
  </sheetData>
  <mergeCells count="6">
    <mergeCell ref="W32:Z32"/>
    <mergeCell ref="A1:AI1"/>
    <mergeCell ref="BS2:BU2"/>
    <mergeCell ref="AA18:AC18"/>
    <mergeCell ref="A28:B28"/>
    <mergeCell ref="W31:Y3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HB874"/>
  <sheetViews>
    <sheetView topLeftCell="FV2" zoomScale="70" zoomScaleNormal="70" workbookViewId="0">
      <selection activeCell="HA3" sqref="HA3:HA11"/>
    </sheetView>
  </sheetViews>
  <sheetFormatPr defaultRowHeight="15" x14ac:dyDescent="0.25"/>
  <cols>
    <col min="1" max="1" width="6.5703125" customWidth="1"/>
    <col min="2" max="2" width="39.28515625" customWidth="1"/>
    <col min="3" max="3" width="4" style="1" customWidth="1"/>
    <col min="4" max="4" width="5.28515625" style="6" customWidth="1"/>
    <col min="5" max="5" width="7.28515625" customWidth="1"/>
    <col min="6" max="6" width="8.140625" customWidth="1"/>
    <col min="7" max="7" width="4" style="1" customWidth="1"/>
    <col min="8" max="8" width="5.28515625" style="6" customWidth="1"/>
    <col min="9" max="9" width="7.28515625" style="2" customWidth="1"/>
    <col min="10" max="10" width="8.42578125" style="2" customWidth="1"/>
    <col min="11" max="11" width="4" style="1" customWidth="1"/>
    <col min="12" max="12" width="5.28515625" style="6" customWidth="1"/>
    <col min="13" max="13" width="7.85546875" style="2" customWidth="1"/>
    <col min="14" max="14" width="9" style="2" customWidth="1"/>
    <col min="15" max="15" width="4.28515625" style="2" customWidth="1"/>
    <col min="16" max="16" width="4.5703125" style="2" customWidth="1"/>
    <col min="17" max="17" width="7.7109375" style="2" customWidth="1"/>
    <col min="18" max="18" width="8.28515625" style="2" customWidth="1"/>
    <col min="19" max="19" width="4" style="1" customWidth="1"/>
    <col min="20" max="20" width="5.28515625" style="6" customWidth="1"/>
    <col min="21" max="21" width="8" style="2" customWidth="1"/>
    <col min="22" max="22" width="8.140625" style="2" customWidth="1"/>
    <col min="23" max="23" width="3.85546875" customWidth="1"/>
    <col min="24" max="24" width="4.28515625" style="11" customWidth="1"/>
    <col min="25" max="25" width="8" style="11" customWidth="1"/>
    <col min="26" max="26" width="8.28515625" customWidth="1"/>
    <col min="27" max="27" width="4.28515625" style="2" customWidth="1"/>
    <col min="28" max="28" width="5" style="2" customWidth="1"/>
    <col min="29" max="30" width="8.42578125" style="2" customWidth="1"/>
    <col min="31" max="31" width="4" customWidth="1"/>
    <col min="32" max="32" width="5.42578125" customWidth="1"/>
    <col min="33" max="33" width="8" customWidth="1"/>
    <col min="34" max="34" width="7.140625" customWidth="1"/>
    <col min="35" max="35" width="5" customWidth="1"/>
    <col min="36" max="36" width="5.140625" customWidth="1"/>
    <col min="37" max="37" width="7.42578125" customWidth="1"/>
    <col min="38" max="38" width="8.5703125" customWidth="1"/>
    <col min="39" max="40" width="4.7109375" customWidth="1"/>
    <col min="41" max="41" width="7.85546875" customWidth="1"/>
    <col min="42" max="42" width="7.5703125" customWidth="1"/>
    <col min="43" max="43" width="4" customWidth="1"/>
    <col min="44" max="44" width="5.5703125" customWidth="1"/>
    <col min="45" max="45" width="8.42578125" customWidth="1"/>
    <col min="46" max="46" width="8.5703125" customWidth="1"/>
    <col min="47" max="47" width="4.140625" customWidth="1"/>
    <col min="48" max="48" width="4.7109375" customWidth="1"/>
    <col min="49" max="49" width="7.5703125" customWidth="1"/>
    <col min="50" max="50" width="8.42578125" customWidth="1"/>
    <col min="51" max="51" width="4.7109375" customWidth="1"/>
    <col min="52" max="52" width="4.85546875" customWidth="1"/>
    <col min="53" max="53" width="7.28515625" customWidth="1"/>
    <col min="54" max="54" width="7.5703125" customWidth="1"/>
    <col min="55" max="55" width="4.42578125" customWidth="1"/>
    <col min="56" max="56" width="4.85546875" customWidth="1"/>
    <col min="57" max="57" width="7.5703125" customWidth="1"/>
    <col min="58" max="58" width="8" customWidth="1"/>
    <col min="59" max="59" width="4.5703125" customWidth="1"/>
    <col min="60" max="60" width="4.85546875" customWidth="1"/>
    <col min="61" max="61" width="7.5703125" customWidth="1"/>
    <col min="62" max="62" width="8.140625" customWidth="1"/>
    <col min="63" max="63" width="4.7109375" customWidth="1"/>
    <col min="64" max="64" width="4.85546875" customWidth="1"/>
    <col min="65" max="65" width="7.7109375" customWidth="1"/>
    <col min="66" max="66" width="8.28515625" customWidth="1"/>
    <col min="67" max="67" width="5.5703125" customWidth="1"/>
    <col min="68" max="68" width="5.42578125" customWidth="1"/>
    <col min="69" max="69" width="8" customWidth="1"/>
    <col min="70" max="70" width="8.28515625" customWidth="1"/>
    <col min="71" max="71" width="4.42578125" customWidth="1"/>
    <col min="72" max="72" width="4.7109375" customWidth="1"/>
    <col min="73" max="73" width="7.7109375" customWidth="1"/>
    <col min="74" max="74" width="9.5703125" customWidth="1"/>
    <col min="75" max="75" width="5" customWidth="1"/>
    <col min="76" max="76" width="5.42578125" customWidth="1"/>
    <col min="77" max="77" width="7.5703125" customWidth="1"/>
    <col min="78" max="78" width="8" customWidth="1"/>
    <col min="79" max="79" width="4.28515625" customWidth="1"/>
    <col min="80" max="80" width="5.5703125" customWidth="1"/>
    <col min="81" max="81" width="7.7109375" customWidth="1"/>
    <col min="82" max="82" width="8" customWidth="1"/>
    <col min="83" max="83" width="4" customWidth="1"/>
    <col min="84" max="84" width="4.5703125" customWidth="1"/>
    <col min="85" max="85" width="7.85546875" customWidth="1"/>
    <col min="86" max="86" width="10" customWidth="1"/>
    <col min="87" max="87" width="4.140625" customWidth="1"/>
    <col min="88" max="88" width="3.5703125" customWidth="1"/>
    <col min="89" max="89" width="8" customWidth="1"/>
    <col min="90" max="90" width="9.5703125" customWidth="1"/>
    <col min="91" max="91" width="4.85546875" customWidth="1"/>
    <col min="92" max="92" width="5.5703125" customWidth="1"/>
    <col min="93" max="93" width="7.7109375" customWidth="1"/>
    <col min="94" max="94" width="10.85546875" customWidth="1"/>
    <col min="95" max="95" width="3.7109375" customWidth="1"/>
    <col min="96" max="96" width="4" customWidth="1"/>
    <col min="97" max="97" width="8.5703125" customWidth="1"/>
    <col min="98" max="98" width="8.140625" customWidth="1"/>
    <col min="99" max="99" width="4.7109375" customWidth="1"/>
    <col min="100" max="100" width="4.140625" customWidth="1"/>
    <col min="101" max="101" width="8.28515625" customWidth="1"/>
    <col min="102" max="102" width="7.5703125" customWidth="1"/>
    <col min="103" max="103" width="4.42578125" customWidth="1"/>
    <col min="104" max="104" width="4.140625" customWidth="1"/>
    <col min="105" max="105" width="8" customWidth="1"/>
    <col min="106" max="106" width="9.140625" customWidth="1"/>
    <col min="107" max="107" width="4.42578125" customWidth="1"/>
    <col min="108" max="108" width="5" customWidth="1"/>
    <col min="109" max="109" width="8" customWidth="1"/>
    <col min="110" max="110" width="7.7109375" customWidth="1"/>
    <col min="111" max="111" width="3.85546875" customWidth="1"/>
    <col min="112" max="112" width="4.5703125" customWidth="1"/>
    <col min="113" max="114" width="7.85546875" customWidth="1"/>
    <col min="115" max="115" width="4.140625" customWidth="1"/>
    <col min="116" max="116" width="4" customWidth="1"/>
    <col min="117" max="117" width="9" customWidth="1"/>
    <col min="118" max="118" width="8.28515625" customWidth="1"/>
    <col min="119" max="119" width="3.85546875" customWidth="1"/>
    <col min="120" max="120" width="4.5703125" customWidth="1"/>
    <col min="121" max="121" width="7.5703125" customWidth="1"/>
    <col min="122" max="122" width="7.7109375" customWidth="1"/>
    <col min="123" max="123" width="4" customWidth="1"/>
    <col min="124" max="124" width="4.7109375" customWidth="1"/>
    <col min="125" max="125" width="7.5703125" customWidth="1"/>
    <col min="126" max="126" width="9" customWidth="1"/>
    <col min="127" max="128" width="4.7109375" customWidth="1"/>
    <col min="129" max="129" width="7.42578125" customWidth="1"/>
    <col min="130" max="166" width="8.42578125" customWidth="1"/>
    <col min="167" max="167" width="4.7109375" customWidth="1"/>
    <col min="168" max="168" width="5.42578125" customWidth="1"/>
    <col min="169" max="169" width="7.85546875" customWidth="1"/>
    <col min="170" max="170" width="8.42578125" customWidth="1"/>
    <col min="171" max="171" width="3.7109375" customWidth="1"/>
    <col min="172" max="172" width="4" customWidth="1"/>
    <col min="173" max="173" width="8.28515625" customWidth="1"/>
    <col min="174" max="174" width="8" customWidth="1"/>
    <col min="175" max="175" width="4.42578125" customWidth="1"/>
    <col min="176" max="176" width="5" customWidth="1"/>
    <col min="177" max="177" width="7.5703125" customWidth="1"/>
    <col min="178" max="178" width="9.5703125" customWidth="1"/>
    <col min="179" max="179" width="4.85546875" customWidth="1"/>
    <col min="180" max="180" width="4.7109375" customWidth="1"/>
    <col min="181" max="181" width="7.5703125" customWidth="1"/>
    <col min="182" max="182" width="10.28515625" customWidth="1"/>
    <col min="183" max="184" width="4.7109375" customWidth="1"/>
    <col min="185" max="185" width="8" customWidth="1"/>
    <col min="186" max="186" width="8.42578125" customWidth="1"/>
    <col min="187" max="187" width="4.5703125" customWidth="1"/>
    <col min="188" max="188" width="4.42578125" customWidth="1"/>
    <col min="189" max="189" width="7.5703125" customWidth="1"/>
    <col min="190" max="190" width="8.5703125" customWidth="1"/>
    <col min="191" max="191" width="5" customWidth="1"/>
    <col min="192" max="192" width="4.7109375" customWidth="1"/>
    <col min="193" max="193" width="7.42578125" customWidth="1"/>
    <col min="194" max="194" width="8.85546875" customWidth="1"/>
    <col min="195" max="195" width="4.85546875" customWidth="1"/>
    <col min="196" max="196" width="4.42578125" customWidth="1"/>
    <col min="197" max="197" width="8" customWidth="1"/>
    <col min="198" max="198" width="8.42578125" customWidth="1"/>
    <col min="199" max="199" width="5.140625" customWidth="1"/>
    <col min="200" max="200" width="5.5703125" customWidth="1"/>
    <col min="201" max="201" width="7.5703125" customWidth="1"/>
    <col min="202" max="202" width="8.85546875" customWidth="1"/>
    <col min="203" max="203" width="7.140625" customWidth="1"/>
    <col min="204" max="204" width="11" customWidth="1"/>
    <col min="205" max="205" width="7.140625" customWidth="1"/>
    <col min="206" max="206" width="8.42578125" customWidth="1"/>
    <col min="207" max="207" width="10.42578125" customWidth="1"/>
    <col min="208" max="209" width="7.140625" customWidth="1"/>
  </cols>
  <sheetData>
    <row r="1" spans="1:210" ht="33.75" customHeight="1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spans="1:210" ht="70.5" customHeight="1" thickBot="1" x14ac:dyDescent="0.3">
      <c r="A2" s="23" t="s">
        <v>4</v>
      </c>
      <c r="B2" s="53" t="s">
        <v>5</v>
      </c>
      <c r="C2" s="3" t="s">
        <v>0</v>
      </c>
      <c r="D2" s="9" t="s">
        <v>2</v>
      </c>
      <c r="E2" s="7" t="s">
        <v>1</v>
      </c>
      <c r="F2" s="7" t="s">
        <v>6</v>
      </c>
      <c r="G2" s="3" t="s">
        <v>0</v>
      </c>
      <c r="H2" s="9" t="s">
        <v>2</v>
      </c>
      <c r="I2" s="7" t="s">
        <v>1</v>
      </c>
      <c r="J2" s="7" t="s">
        <v>6</v>
      </c>
      <c r="K2" s="3" t="s">
        <v>0</v>
      </c>
      <c r="L2" s="9" t="s">
        <v>2</v>
      </c>
      <c r="M2" s="7" t="s">
        <v>1</v>
      </c>
      <c r="N2" s="7" t="s">
        <v>6</v>
      </c>
      <c r="O2" s="3" t="s">
        <v>0</v>
      </c>
      <c r="P2" s="9" t="s">
        <v>2</v>
      </c>
      <c r="Q2" s="7" t="s">
        <v>1</v>
      </c>
      <c r="R2" s="7" t="s">
        <v>6</v>
      </c>
      <c r="S2" s="3" t="s">
        <v>0</v>
      </c>
      <c r="T2" s="9" t="s">
        <v>2</v>
      </c>
      <c r="U2" s="7" t="s">
        <v>1</v>
      </c>
      <c r="V2" s="7" t="s">
        <v>6</v>
      </c>
      <c r="W2" s="3" t="s">
        <v>0</v>
      </c>
      <c r="X2" s="9" t="s">
        <v>2</v>
      </c>
      <c r="Y2" s="7" t="s">
        <v>1</v>
      </c>
      <c r="Z2" s="7" t="s">
        <v>6</v>
      </c>
      <c r="AA2" s="3" t="s">
        <v>0</v>
      </c>
      <c r="AB2" s="9" t="s">
        <v>2</v>
      </c>
      <c r="AC2" s="7" t="s">
        <v>1</v>
      </c>
      <c r="AD2" s="7" t="s">
        <v>6</v>
      </c>
      <c r="AE2" s="3" t="s">
        <v>0</v>
      </c>
      <c r="AF2" s="9" t="s">
        <v>2</v>
      </c>
      <c r="AG2" s="7" t="s">
        <v>1</v>
      </c>
      <c r="AH2" s="7" t="s">
        <v>6</v>
      </c>
      <c r="AI2" s="3" t="s">
        <v>0</v>
      </c>
      <c r="AJ2" s="9" t="s">
        <v>2</v>
      </c>
      <c r="AK2" s="7" t="s">
        <v>1</v>
      </c>
      <c r="AL2" s="7" t="s">
        <v>6</v>
      </c>
      <c r="AM2" s="3" t="s">
        <v>0</v>
      </c>
      <c r="AN2" s="9" t="s">
        <v>2</v>
      </c>
      <c r="AO2" s="7" t="s">
        <v>1</v>
      </c>
      <c r="AP2" s="7" t="s">
        <v>6</v>
      </c>
      <c r="AQ2" s="3" t="s">
        <v>0</v>
      </c>
      <c r="AR2" s="9" t="s">
        <v>2</v>
      </c>
      <c r="AS2" s="7" t="s">
        <v>1</v>
      </c>
      <c r="AT2" s="7" t="s">
        <v>6</v>
      </c>
      <c r="AU2" s="3" t="s">
        <v>0</v>
      </c>
      <c r="AV2" s="9" t="s">
        <v>2</v>
      </c>
      <c r="AW2" s="7" t="s">
        <v>1</v>
      </c>
      <c r="AX2" s="7" t="s">
        <v>6</v>
      </c>
      <c r="AY2" s="3" t="s">
        <v>0</v>
      </c>
      <c r="AZ2" s="9" t="s">
        <v>2</v>
      </c>
      <c r="BA2" s="7" t="s">
        <v>1</v>
      </c>
      <c r="BB2" s="7" t="s">
        <v>6</v>
      </c>
      <c r="BC2" s="3" t="s">
        <v>0</v>
      </c>
      <c r="BD2" s="9" t="s">
        <v>2</v>
      </c>
      <c r="BE2" s="7" t="s">
        <v>1</v>
      </c>
      <c r="BF2" s="7" t="s">
        <v>6</v>
      </c>
      <c r="BG2" s="3" t="s">
        <v>0</v>
      </c>
      <c r="BH2" s="9" t="s">
        <v>2</v>
      </c>
      <c r="BI2" s="7" t="s">
        <v>1</v>
      </c>
      <c r="BJ2" s="7" t="s">
        <v>6</v>
      </c>
      <c r="BK2" s="3" t="s">
        <v>0</v>
      </c>
      <c r="BL2" s="9" t="s">
        <v>2</v>
      </c>
      <c r="BM2" s="7" t="s">
        <v>1</v>
      </c>
      <c r="BN2" s="7" t="s">
        <v>6</v>
      </c>
      <c r="BO2" s="3" t="s">
        <v>0</v>
      </c>
      <c r="BP2" s="9" t="s">
        <v>2</v>
      </c>
      <c r="BQ2" s="7" t="s">
        <v>1</v>
      </c>
      <c r="BR2" s="7" t="s">
        <v>6</v>
      </c>
      <c r="BS2" s="3" t="s">
        <v>0</v>
      </c>
      <c r="BT2" s="9" t="s">
        <v>2</v>
      </c>
      <c r="BU2" s="7" t="s">
        <v>1</v>
      </c>
      <c r="BV2" s="7" t="s">
        <v>6</v>
      </c>
      <c r="BW2" s="3" t="s">
        <v>0</v>
      </c>
      <c r="BX2" s="9" t="s">
        <v>2</v>
      </c>
      <c r="BY2" s="7" t="s">
        <v>1</v>
      </c>
      <c r="BZ2" s="7" t="s">
        <v>6</v>
      </c>
      <c r="CA2" s="3" t="s">
        <v>0</v>
      </c>
      <c r="CB2" s="9" t="s">
        <v>2</v>
      </c>
      <c r="CC2" s="7" t="s">
        <v>1</v>
      </c>
      <c r="CD2" s="7" t="s">
        <v>6</v>
      </c>
      <c r="CE2" s="3" t="s">
        <v>0</v>
      </c>
      <c r="CF2" s="9" t="s">
        <v>2</v>
      </c>
      <c r="CG2" s="7" t="s">
        <v>1</v>
      </c>
      <c r="CH2" s="7" t="s">
        <v>6</v>
      </c>
      <c r="CI2" s="3" t="s">
        <v>0</v>
      </c>
      <c r="CJ2" s="9" t="s">
        <v>2</v>
      </c>
      <c r="CK2" s="7" t="s">
        <v>1</v>
      </c>
      <c r="CL2" s="7" t="s">
        <v>6</v>
      </c>
      <c r="CM2" s="3" t="s">
        <v>0</v>
      </c>
      <c r="CN2" s="9" t="s">
        <v>2</v>
      </c>
      <c r="CO2" s="7" t="s">
        <v>1</v>
      </c>
      <c r="CP2" s="7" t="s">
        <v>6</v>
      </c>
      <c r="CQ2" s="3" t="s">
        <v>0</v>
      </c>
      <c r="CR2" s="9" t="s">
        <v>2</v>
      </c>
      <c r="CS2" s="7" t="s">
        <v>1</v>
      </c>
      <c r="CT2" s="7" t="s">
        <v>6</v>
      </c>
      <c r="CU2" s="3" t="s">
        <v>0</v>
      </c>
      <c r="CV2" s="9" t="s">
        <v>2</v>
      </c>
      <c r="CW2" s="7" t="s">
        <v>1</v>
      </c>
      <c r="CX2" s="7" t="s">
        <v>6</v>
      </c>
      <c r="CY2" s="3" t="s">
        <v>0</v>
      </c>
      <c r="CZ2" s="9" t="s">
        <v>2</v>
      </c>
      <c r="DA2" s="7" t="s">
        <v>1</v>
      </c>
      <c r="DB2" s="7" t="s">
        <v>6</v>
      </c>
      <c r="DC2" s="3" t="s">
        <v>0</v>
      </c>
      <c r="DD2" s="9" t="s">
        <v>2</v>
      </c>
      <c r="DE2" s="7" t="s">
        <v>1</v>
      </c>
      <c r="DF2" s="7" t="s">
        <v>6</v>
      </c>
      <c r="DG2" s="3" t="s">
        <v>0</v>
      </c>
      <c r="DH2" s="9" t="s">
        <v>2</v>
      </c>
      <c r="DI2" s="7" t="s">
        <v>1</v>
      </c>
      <c r="DJ2" s="7" t="s">
        <v>6</v>
      </c>
      <c r="DK2" s="3" t="s">
        <v>0</v>
      </c>
      <c r="DL2" s="9" t="s">
        <v>2</v>
      </c>
      <c r="DM2" s="7" t="s">
        <v>1</v>
      </c>
      <c r="DN2" s="7" t="s">
        <v>6</v>
      </c>
      <c r="DO2" s="3" t="s">
        <v>0</v>
      </c>
      <c r="DP2" s="9" t="s">
        <v>2</v>
      </c>
      <c r="DQ2" s="7" t="s">
        <v>1</v>
      </c>
      <c r="DR2" s="7" t="s">
        <v>6</v>
      </c>
      <c r="DS2" s="3" t="s">
        <v>0</v>
      </c>
      <c r="DT2" s="9" t="s">
        <v>2</v>
      </c>
      <c r="DU2" s="7" t="s">
        <v>1</v>
      </c>
      <c r="DV2" s="7" t="s">
        <v>6</v>
      </c>
      <c r="DW2" s="3" t="s">
        <v>0</v>
      </c>
      <c r="DX2" s="9" t="s">
        <v>2</v>
      </c>
      <c r="DY2" s="7" t="s">
        <v>1</v>
      </c>
      <c r="DZ2" s="7" t="s">
        <v>6</v>
      </c>
      <c r="EA2" s="3" t="s">
        <v>0</v>
      </c>
      <c r="EB2" s="9" t="s">
        <v>2</v>
      </c>
      <c r="EC2" s="7" t="s">
        <v>1</v>
      </c>
      <c r="ED2" s="7" t="s">
        <v>6</v>
      </c>
      <c r="EE2" s="3" t="s">
        <v>0</v>
      </c>
      <c r="EF2" s="9" t="s">
        <v>2</v>
      </c>
      <c r="EG2" s="7" t="s">
        <v>1</v>
      </c>
      <c r="EH2" s="7" t="s">
        <v>6</v>
      </c>
      <c r="EI2" s="3" t="s">
        <v>0</v>
      </c>
      <c r="EJ2" s="9" t="s">
        <v>2</v>
      </c>
      <c r="EK2" s="7" t="s">
        <v>1</v>
      </c>
      <c r="EL2" s="7" t="s">
        <v>6</v>
      </c>
      <c r="EM2" s="3" t="s">
        <v>0</v>
      </c>
      <c r="EN2" s="9" t="s">
        <v>2</v>
      </c>
      <c r="EO2" s="7" t="s">
        <v>1</v>
      </c>
      <c r="EP2" s="7" t="s">
        <v>6</v>
      </c>
      <c r="EQ2" s="3" t="s">
        <v>0</v>
      </c>
      <c r="ER2" s="9" t="s">
        <v>2</v>
      </c>
      <c r="ES2" s="7" t="s">
        <v>1</v>
      </c>
      <c r="ET2" s="7" t="s">
        <v>6</v>
      </c>
      <c r="EU2" s="3" t="s">
        <v>0</v>
      </c>
      <c r="EV2" s="9" t="s">
        <v>2</v>
      </c>
      <c r="EW2" s="7" t="s">
        <v>1</v>
      </c>
      <c r="EX2" s="7" t="s">
        <v>6</v>
      </c>
      <c r="EY2" s="3" t="s">
        <v>0</v>
      </c>
      <c r="EZ2" s="9" t="s">
        <v>2</v>
      </c>
      <c r="FA2" s="7" t="s">
        <v>1</v>
      </c>
      <c r="FB2" s="7" t="s">
        <v>6</v>
      </c>
      <c r="FC2" s="3" t="s">
        <v>0</v>
      </c>
      <c r="FD2" s="9" t="s">
        <v>2</v>
      </c>
      <c r="FE2" s="7" t="s">
        <v>1</v>
      </c>
      <c r="FF2" s="7" t="s">
        <v>6</v>
      </c>
      <c r="FG2" s="3" t="s">
        <v>0</v>
      </c>
      <c r="FH2" s="9" t="s">
        <v>2</v>
      </c>
      <c r="FI2" s="7" t="s">
        <v>1</v>
      </c>
      <c r="FJ2" s="7" t="s">
        <v>6</v>
      </c>
      <c r="FK2" s="3" t="s">
        <v>0</v>
      </c>
      <c r="FL2" s="9" t="s">
        <v>2</v>
      </c>
      <c r="FM2" s="7" t="s">
        <v>1</v>
      </c>
      <c r="FN2" s="7" t="s">
        <v>6</v>
      </c>
      <c r="FO2" s="3" t="s">
        <v>0</v>
      </c>
      <c r="FP2" s="9" t="s">
        <v>2</v>
      </c>
      <c r="FQ2" s="7" t="s">
        <v>1</v>
      </c>
      <c r="FR2" s="7" t="s">
        <v>6</v>
      </c>
      <c r="FS2" s="3" t="s">
        <v>0</v>
      </c>
      <c r="FT2" s="9" t="s">
        <v>2</v>
      </c>
      <c r="FU2" s="7" t="s">
        <v>1</v>
      </c>
      <c r="FV2" s="7" t="s">
        <v>6</v>
      </c>
      <c r="FW2" s="3" t="s">
        <v>0</v>
      </c>
      <c r="FX2" s="9" t="s">
        <v>2</v>
      </c>
      <c r="FY2" s="7" t="s">
        <v>1</v>
      </c>
      <c r="FZ2" s="7" t="s">
        <v>6</v>
      </c>
      <c r="GA2" s="3" t="s">
        <v>0</v>
      </c>
      <c r="GB2" s="9" t="s">
        <v>2</v>
      </c>
      <c r="GC2" s="7" t="s">
        <v>1</v>
      </c>
      <c r="GD2" s="7" t="s">
        <v>6</v>
      </c>
      <c r="GE2" s="3" t="s">
        <v>0</v>
      </c>
      <c r="GF2" s="9" t="s">
        <v>2</v>
      </c>
      <c r="GG2" s="7" t="s">
        <v>1</v>
      </c>
      <c r="GH2" s="7" t="s">
        <v>6</v>
      </c>
      <c r="GI2" s="3" t="s">
        <v>0</v>
      </c>
      <c r="GJ2" s="9" t="s">
        <v>2</v>
      </c>
      <c r="GK2" s="7" t="s">
        <v>1</v>
      </c>
      <c r="GL2" s="7" t="s">
        <v>6</v>
      </c>
      <c r="GM2" s="3" t="s">
        <v>0</v>
      </c>
      <c r="GN2" s="9" t="s">
        <v>2</v>
      </c>
      <c r="GO2" s="7" t="s">
        <v>1</v>
      </c>
      <c r="GP2" s="7" t="s">
        <v>6</v>
      </c>
      <c r="GQ2" s="3" t="s">
        <v>0</v>
      </c>
      <c r="GR2" s="9" t="s">
        <v>2</v>
      </c>
      <c r="GS2" s="7" t="s">
        <v>1</v>
      </c>
      <c r="GT2" s="7" t="s">
        <v>6</v>
      </c>
      <c r="GU2" s="49" t="s">
        <v>19</v>
      </c>
      <c r="GV2" s="10" t="s">
        <v>20</v>
      </c>
      <c r="GW2" s="10" t="s">
        <v>21</v>
      </c>
      <c r="GX2" s="10" t="s">
        <v>22</v>
      </c>
      <c r="GY2" s="81" t="s">
        <v>23</v>
      </c>
      <c r="GZ2" s="81"/>
      <c r="HA2" s="81"/>
      <c r="HB2" s="22" t="s">
        <v>24</v>
      </c>
    </row>
    <row r="3" spans="1:210" ht="72" customHeight="1" thickBot="1" x14ac:dyDescent="0.3">
      <c r="A3" s="21">
        <v>1</v>
      </c>
      <c r="B3" s="30" t="s">
        <v>13</v>
      </c>
      <c r="C3" s="3">
        <v>10</v>
      </c>
      <c r="D3" s="3">
        <v>10</v>
      </c>
      <c r="E3" s="12">
        <f>D3/C3</f>
        <v>1</v>
      </c>
      <c r="F3" s="12">
        <f t="shared" ref="F3:F11" si="0">POWER(D3-$GW3,2)</f>
        <v>81.343792593600412</v>
      </c>
      <c r="G3" s="3">
        <v>9</v>
      </c>
      <c r="H3" s="3">
        <v>9</v>
      </c>
      <c r="I3" s="12">
        <f>H3/G3</f>
        <v>1</v>
      </c>
      <c r="J3" s="12">
        <f t="shared" ref="J3:J11" si="1">POWER(H3-$GW3,2)</f>
        <v>64.305633863441685</v>
      </c>
      <c r="K3" s="3">
        <v>7</v>
      </c>
      <c r="L3" s="3">
        <v>7</v>
      </c>
      <c r="M3" s="12">
        <f>L3/K3</f>
        <v>1</v>
      </c>
      <c r="N3" s="12">
        <f t="shared" ref="N3:N11" si="2">POWER(L3-$GW3,2)</f>
        <v>36.229316403124216</v>
      </c>
      <c r="O3" s="3">
        <v>9</v>
      </c>
      <c r="P3" s="3">
        <v>9</v>
      </c>
      <c r="Q3" s="12">
        <f>P3/O3</f>
        <v>1</v>
      </c>
      <c r="R3" s="12">
        <f t="shared" ref="R3:R11" si="3">POWER(P3-$GW3,2)</f>
        <v>64.305633863441685</v>
      </c>
      <c r="S3" s="3">
        <v>9</v>
      </c>
      <c r="T3" s="3">
        <v>9</v>
      </c>
      <c r="U3" s="12">
        <f>T3/S3</f>
        <v>1</v>
      </c>
      <c r="V3" s="12">
        <f t="shared" ref="V3:V11" si="4">POWER(T3-$GW3,2)</f>
        <v>64.305633863441685</v>
      </c>
      <c r="W3" s="3">
        <v>7</v>
      </c>
      <c r="X3" s="3">
        <v>7</v>
      </c>
      <c r="Y3" s="12">
        <f>X3/W3</f>
        <v>1</v>
      </c>
      <c r="Z3" s="12">
        <f t="shared" ref="Z3:Z11" si="5">POWER(X3-$GW3,2)</f>
        <v>36.229316403124216</v>
      </c>
      <c r="AA3" s="3">
        <v>9</v>
      </c>
      <c r="AB3" s="3">
        <v>9</v>
      </c>
      <c r="AC3" s="12">
        <f>AB3/AA3</f>
        <v>1</v>
      </c>
      <c r="AD3" s="12">
        <f t="shared" ref="AD3:AD11" si="6">POWER(AB3-$GW3,2)</f>
        <v>64.305633863441685</v>
      </c>
      <c r="AE3" s="3">
        <v>9</v>
      </c>
      <c r="AF3" s="3">
        <v>9</v>
      </c>
      <c r="AG3" s="12">
        <f>AF3/AE3</f>
        <v>1</v>
      </c>
      <c r="AH3" s="12">
        <f t="shared" ref="AH3:AH11" si="7">POWER(AF3-$GW3,2)</f>
        <v>64.305633863441685</v>
      </c>
      <c r="AI3" s="3">
        <v>10</v>
      </c>
      <c r="AJ3" s="3">
        <v>6</v>
      </c>
      <c r="AK3" s="12">
        <f>AJ3/AI3</f>
        <v>0.6</v>
      </c>
      <c r="AL3" s="12">
        <f t="shared" ref="AL3:AL11" si="8">POWER(AJ3-$GW3,2)</f>
        <v>25.191157672965485</v>
      </c>
      <c r="AM3" s="3">
        <v>9</v>
      </c>
      <c r="AN3" s="3">
        <v>9</v>
      </c>
      <c r="AO3" s="12">
        <f>AN3/AM3</f>
        <v>1</v>
      </c>
      <c r="AP3" s="12">
        <f t="shared" ref="AP3:AP11" si="9">POWER(AN3-$GW3,2)</f>
        <v>64.305633863441685</v>
      </c>
      <c r="AQ3" s="3">
        <v>10</v>
      </c>
      <c r="AR3" s="5">
        <v>10</v>
      </c>
      <c r="AS3" s="12">
        <f>AR3/AQ3</f>
        <v>1</v>
      </c>
      <c r="AT3" s="12">
        <f t="shared" ref="AT3:AT11" si="10">POWER(AR3-$GW3,2)</f>
        <v>81.343792593600412</v>
      </c>
      <c r="AU3" s="3">
        <v>9</v>
      </c>
      <c r="AV3" s="5">
        <v>9</v>
      </c>
      <c r="AW3" s="12">
        <f>AV3/AU3</f>
        <v>1</v>
      </c>
      <c r="AX3" s="12">
        <f t="shared" ref="AX3:AX11" si="11">POWER(AV3-$GW3,2)</f>
        <v>64.305633863441685</v>
      </c>
      <c r="AY3" s="3">
        <v>10</v>
      </c>
      <c r="AZ3" s="3">
        <v>10</v>
      </c>
      <c r="BA3" s="12">
        <f>AZ3/AY3</f>
        <v>1</v>
      </c>
      <c r="BB3" s="12">
        <f t="shared" ref="BB3:BB11" si="12">POWER(AZ3-$GW3,2)</f>
        <v>81.343792593600412</v>
      </c>
      <c r="BC3" s="3">
        <v>10</v>
      </c>
      <c r="BD3" s="3">
        <v>10</v>
      </c>
      <c r="BE3" s="12">
        <f>BD3/BC3</f>
        <v>1</v>
      </c>
      <c r="BF3" s="12">
        <f t="shared" ref="BF3:BF11" si="13">POWER(BD3-$GW3,2)</f>
        <v>81.343792593600412</v>
      </c>
      <c r="BG3" s="3">
        <v>10</v>
      </c>
      <c r="BH3" s="5">
        <v>9</v>
      </c>
      <c r="BI3" s="12">
        <f>BH3/BG3</f>
        <v>0.9</v>
      </c>
      <c r="BJ3" s="12">
        <f t="shared" ref="BJ3:BJ14" si="14">POWER(BH3-$GW3,2)</f>
        <v>64.305633863441685</v>
      </c>
      <c r="BK3" s="3">
        <v>9</v>
      </c>
      <c r="BL3" s="5">
        <v>9</v>
      </c>
      <c r="BM3" s="12">
        <f>BL3/BK3</f>
        <v>1</v>
      </c>
      <c r="BN3" s="12">
        <f t="shared" ref="BN3:BN11" si="15">POWER(BL3-$GW3,2)</f>
        <v>64.305633863441685</v>
      </c>
      <c r="BO3" s="3">
        <v>9</v>
      </c>
      <c r="BP3" s="5">
        <v>9</v>
      </c>
      <c r="BQ3" s="12">
        <f>BP3/BO3</f>
        <v>1</v>
      </c>
      <c r="BR3" s="12">
        <f t="shared" ref="BR3:BR11" si="16">POWER(BP3-$GW3,2)</f>
        <v>64.305633863441685</v>
      </c>
      <c r="BS3" s="3">
        <v>10</v>
      </c>
      <c r="BT3" s="3">
        <v>10</v>
      </c>
      <c r="BU3" s="12">
        <f>BT3/BS3</f>
        <v>1</v>
      </c>
      <c r="BV3" s="12">
        <f t="shared" ref="BV3:BV11" si="17">POWER(BT3-$GW3,2)</f>
        <v>81.343792593600412</v>
      </c>
      <c r="BW3" s="3">
        <v>9</v>
      </c>
      <c r="BX3" s="5">
        <v>9</v>
      </c>
      <c r="BY3" s="12">
        <f>BX3/BW3</f>
        <v>1</v>
      </c>
      <c r="BZ3" s="12">
        <f t="shared" ref="BZ3:BZ11" si="18">POWER(BX3-$GW3,2)</f>
        <v>64.305633863441685</v>
      </c>
      <c r="CA3" s="3">
        <v>10</v>
      </c>
      <c r="CB3" s="3">
        <v>9</v>
      </c>
      <c r="CC3" s="12">
        <f>CB3/CA3</f>
        <v>0.9</v>
      </c>
      <c r="CD3" s="12">
        <f t="shared" ref="CD3:CD11" si="19">POWER(CB3-$GW3,2)</f>
        <v>64.305633863441685</v>
      </c>
      <c r="CE3" s="3">
        <v>8</v>
      </c>
      <c r="CF3" s="5">
        <v>8</v>
      </c>
      <c r="CG3" s="12">
        <f>CF3/CE3</f>
        <v>1</v>
      </c>
      <c r="CH3" s="12">
        <f t="shared" ref="CH3:CH11" si="20">POWER(CF3-$GW3,2)</f>
        <v>49.26747513328295</v>
      </c>
      <c r="CI3" s="3">
        <v>9</v>
      </c>
      <c r="CJ3" s="3">
        <v>9</v>
      </c>
      <c r="CK3" s="12">
        <f>CJ3/CI3</f>
        <v>1</v>
      </c>
      <c r="CL3" s="12">
        <f t="shared" ref="CL3:CL11" si="21">POWER(CJ3-$GW3,2)</f>
        <v>64.305633863441685</v>
      </c>
      <c r="CM3" s="3">
        <v>8</v>
      </c>
      <c r="CN3" s="5">
        <v>8</v>
      </c>
      <c r="CO3" s="12">
        <f>CN3/CM3</f>
        <v>1</v>
      </c>
      <c r="CP3" s="12">
        <f t="shared" ref="CP3:CP11" si="22">POWER(CN3-$GW3,2)</f>
        <v>49.26747513328295</v>
      </c>
      <c r="CQ3" s="3">
        <v>9</v>
      </c>
      <c r="CR3" s="3">
        <v>9</v>
      </c>
      <c r="CS3" s="12">
        <f>CR3/CQ3</f>
        <v>1</v>
      </c>
      <c r="CT3" s="12">
        <f t="shared" ref="CT3:CT14" si="23">POWER(CR3-$GW3,2)</f>
        <v>64.305633863441685</v>
      </c>
      <c r="CU3" s="3">
        <v>9</v>
      </c>
      <c r="CV3" s="3">
        <v>9</v>
      </c>
      <c r="CW3" s="12">
        <f>CV3/CU3</f>
        <v>1</v>
      </c>
      <c r="CX3" s="12">
        <f t="shared" ref="CX3" si="24">POWER(CV3-$GW3,2)</f>
        <v>64.305633863441685</v>
      </c>
      <c r="CY3" s="3">
        <v>8</v>
      </c>
      <c r="CZ3" s="5">
        <v>8</v>
      </c>
      <c r="DA3" s="12">
        <f>CZ3/CY3</f>
        <v>1</v>
      </c>
      <c r="DB3" s="12">
        <f t="shared" ref="DB3" si="25">POWER(CZ3-$GW3,2)</f>
        <v>49.26747513328295</v>
      </c>
      <c r="DC3" s="3">
        <v>9</v>
      </c>
      <c r="DD3" s="3">
        <v>9</v>
      </c>
      <c r="DE3" s="12">
        <f>DD3/DC3</f>
        <v>1</v>
      </c>
      <c r="DF3" s="12">
        <f t="shared" ref="DF3" si="26">POWER(DD3-$GW3,2)</f>
        <v>64.305633863441685</v>
      </c>
      <c r="DG3" s="3">
        <v>10</v>
      </c>
      <c r="DH3" s="3">
        <v>10</v>
      </c>
      <c r="DI3" s="12">
        <f>DH3/DG3</f>
        <v>1</v>
      </c>
      <c r="DJ3" s="12">
        <f t="shared" ref="DJ3" si="27">POWER(DH3-$GW3,2)</f>
        <v>81.343792593600412</v>
      </c>
      <c r="DK3" s="3">
        <v>9</v>
      </c>
      <c r="DL3" s="3">
        <v>9</v>
      </c>
      <c r="DM3" s="12">
        <f>DL3/DK3</f>
        <v>1</v>
      </c>
      <c r="DN3" s="12">
        <f t="shared" ref="DN3" si="28">POWER(DL3-$GW3,2)</f>
        <v>64.305633863441685</v>
      </c>
      <c r="DO3" s="3">
        <v>9</v>
      </c>
      <c r="DP3" s="5">
        <v>9</v>
      </c>
      <c r="DQ3" s="12">
        <f>DP3/DO3</f>
        <v>1</v>
      </c>
      <c r="DR3" s="12">
        <f t="shared" ref="DR3" si="29">POWER(DP3-$GW3,2)</f>
        <v>64.305633863441685</v>
      </c>
      <c r="DS3" s="3">
        <v>9</v>
      </c>
      <c r="DT3" s="3">
        <v>9</v>
      </c>
      <c r="DU3" s="12">
        <f>DT3/DS3</f>
        <v>1</v>
      </c>
      <c r="DV3" s="12">
        <f t="shared" ref="DV3" si="30">POWER(DT3-$GW3,2)</f>
        <v>64.305633863441685</v>
      </c>
      <c r="DW3" s="3">
        <v>10</v>
      </c>
      <c r="DX3" s="3">
        <v>10</v>
      </c>
      <c r="DY3" s="12">
        <f>DX3/DW3</f>
        <v>1</v>
      </c>
      <c r="DZ3" s="12">
        <f t="shared" ref="DZ3" si="31">POWER(DX3-$GW3,2)</f>
        <v>81.343792593600412</v>
      </c>
      <c r="EA3" s="3">
        <v>9</v>
      </c>
      <c r="EB3" s="3">
        <v>9</v>
      </c>
      <c r="EC3" s="12">
        <f t="shared" ref="EC3:EC11" si="32">EB3/EA3</f>
        <v>1</v>
      </c>
      <c r="ED3" s="12">
        <f t="shared" ref="ED3:ED11" si="33">POWER(EB3-$GW3,2)</f>
        <v>64.305633863441685</v>
      </c>
      <c r="EE3" s="3">
        <v>10</v>
      </c>
      <c r="EF3" s="3">
        <v>10</v>
      </c>
      <c r="EG3" s="12">
        <f t="shared" ref="EG3:EG11" si="34">EF3/EE3</f>
        <v>1</v>
      </c>
      <c r="EH3" s="12">
        <f t="shared" ref="EH3:EH11" si="35">POWER(EF3-$GW3,2)</f>
        <v>81.343792593600412</v>
      </c>
      <c r="EI3" s="3">
        <v>10</v>
      </c>
      <c r="EJ3" s="3">
        <v>9</v>
      </c>
      <c r="EK3" s="12">
        <f t="shared" ref="EK3:EK11" si="36">EJ3/EI3</f>
        <v>0.9</v>
      </c>
      <c r="EL3" s="12">
        <f t="shared" ref="EL3:EL11" si="37">POWER(EJ3-$GW3,2)</f>
        <v>64.305633863441685</v>
      </c>
      <c r="EM3" s="3">
        <v>9</v>
      </c>
      <c r="EN3" s="3">
        <v>8</v>
      </c>
      <c r="EO3" s="12">
        <f t="shared" ref="EO3:EO11" si="38">EN3/EM3</f>
        <v>0.88888888888888884</v>
      </c>
      <c r="EP3" s="12">
        <f t="shared" ref="EP3:EP11" si="39">POWER(EN3-$GW3,2)</f>
        <v>49.26747513328295</v>
      </c>
      <c r="EQ3" s="3">
        <v>10</v>
      </c>
      <c r="ER3" s="3">
        <v>10</v>
      </c>
      <c r="ES3" s="12">
        <f t="shared" ref="ES3:ES11" si="40">ER3/EQ3</f>
        <v>1</v>
      </c>
      <c r="ET3" s="12">
        <f t="shared" ref="ET3:ET11" si="41">POWER(ER3-$GW3,2)</f>
        <v>81.343792593600412</v>
      </c>
      <c r="EU3" s="3">
        <v>10</v>
      </c>
      <c r="EV3" s="3">
        <v>10</v>
      </c>
      <c r="EW3" s="12">
        <f t="shared" ref="EW3:EW11" si="42">EV3/EU3</f>
        <v>1</v>
      </c>
      <c r="EX3" s="12">
        <f t="shared" ref="EX3:EX11" si="43">POWER(EV3-$GW3,2)</f>
        <v>81.343792593600412</v>
      </c>
      <c r="EY3" s="3">
        <v>10</v>
      </c>
      <c r="EZ3" s="3">
        <v>10</v>
      </c>
      <c r="FA3" s="12">
        <f t="shared" ref="FA3:FA11" si="44">EZ3/EY3</f>
        <v>1</v>
      </c>
      <c r="FB3" s="12">
        <f t="shared" ref="FB3:FB11" si="45">POWER(EZ3-$GW3,2)</f>
        <v>81.343792593600412</v>
      </c>
      <c r="FC3" s="3">
        <v>9</v>
      </c>
      <c r="FD3" s="3">
        <v>9</v>
      </c>
      <c r="FE3" s="12">
        <f t="shared" ref="FE3:FE11" si="46">FD3/FC3</f>
        <v>1</v>
      </c>
      <c r="FF3" s="12">
        <f t="shared" ref="FF3:FF11" si="47">POWER(FD3-$GW3,2)</f>
        <v>64.305633863441685</v>
      </c>
      <c r="FG3" s="3">
        <v>9</v>
      </c>
      <c r="FH3" s="3">
        <v>9</v>
      </c>
      <c r="FI3" s="12">
        <f t="shared" ref="FI3:FI11" si="48">FH3/FG3</f>
        <v>1</v>
      </c>
      <c r="FJ3" s="12">
        <f t="shared" ref="FJ3:FJ11" si="49">POWER(FH3-$GW3,2)</f>
        <v>64.305633863441685</v>
      </c>
      <c r="FK3" s="3">
        <v>6</v>
      </c>
      <c r="FL3" s="3">
        <v>6</v>
      </c>
      <c r="FM3" s="12">
        <f t="shared" ref="FM3" si="50">FL3/FK3</f>
        <v>1</v>
      </c>
      <c r="FN3" s="12">
        <f t="shared" ref="FN3" si="51">POWER(FL3-$GW3,2)</f>
        <v>25.191157672965485</v>
      </c>
      <c r="FO3" s="3">
        <v>10</v>
      </c>
      <c r="FP3" s="3">
        <v>10</v>
      </c>
      <c r="FQ3" s="12">
        <f t="shared" ref="FQ3" si="52">FP3/FO3</f>
        <v>1</v>
      </c>
      <c r="FR3" s="12">
        <f t="shared" ref="FR3" si="53">POWER(FP3-$GW3,2)</f>
        <v>81.343792593600412</v>
      </c>
      <c r="FS3" s="3">
        <v>9</v>
      </c>
      <c r="FT3" s="3">
        <v>9</v>
      </c>
      <c r="FU3" s="12">
        <f t="shared" ref="FU3" si="54">FT3/FS3</f>
        <v>1</v>
      </c>
      <c r="FV3" s="12">
        <f t="shared" ref="FV3" si="55">POWER(FT3-$GW3,2)</f>
        <v>64.305633863441685</v>
      </c>
      <c r="FW3" s="3">
        <v>7</v>
      </c>
      <c r="FX3" s="3">
        <v>7</v>
      </c>
      <c r="FY3" s="12">
        <f t="shared" ref="FY3" si="56">FX3/FW3</f>
        <v>1</v>
      </c>
      <c r="FZ3" s="12">
        <f t="shared" ref="FZ3" si="57">POWER(FX3-$GW3,2)</f>
        <v>36.229316403124216</v>
      </c>
      <c r="GA3" s="3">
        <v>8</v>
      </c>
      <c r="GB3" s="3">
        <v>8</v>
      </c>
      <c r="GC3" s="12">
        <f t="shared" ref="GC3" si="58">GB3/GA3</f>
        <v>1</v>
      </c>
      <c r="GD3" s="12">
        <f t="shared" ref="GD3" si="59">POWER(GB3-$GW3,2)</f>
        <v>49.26747513328295</v>
      </c>
      <c r="GE3" s="3">
        <v>9</v>
      </c>
      <c r="GF3" s="3">
        <v>9</v>
      </c>
      <c r="GG3" s="12">
        <f t="shared" ref="GG3" si="60">GF3/GE3</f>
        <v>1</v>
      </c>
      <c r="GH3" s="12">
        <f t="shared" ref="GH3" si="61">POWER(GF3-$GW3,2)</f>
        <v>64.305633863441685</v>
      </c>
      <c r="GI3" s="3">
        <v>7</v>
      </c>
      <c r="GJ3" s="3">
        <v>6</v>
      </c>
      <c r="GK3" s="12">
        <f t="shared" ref="GK3" si="62">GJ3/GI3</f>
        <v>0.8571428571428571</v>
      </c>
      <c r="GL3" s="12">
        <f t="shared" ref="GL3" si="63">POWER(GJ3-$GW3,2)</f>
        <v>25.191157672965485</v>
      </c>
      <c r="GM3" s="3">
        <v>10</v>
      </c>
      <c r="GN3" s="3">
        <v>10</v>
      </c>
      <c r="GO3" s="12">
        <f t="shared" ref="GO3" si="64">GN3/GM3</f>
        <v>1</v>
      </c>
      <c r="GP3" s="12">
        <f t="shared" ref="GP3" si="65">POWER(GN3-$GW3,2)</f>
        <v>81.343792593600412</v>
      </c>
      <c r="GQ3" s="3">
        <v>8</v>
      </c>
      <c r="GR3" s="5">
        <v>8</v>
      </c>
      <c r="GS3" s="12">
        <f t="shared" ref="GS3" si="66">GR3/GQ3</f>
        <v>1</v>
      </c>
      <c r="GT3" s="12">
        <f t="shared" ref="GT3" si="67">POWER(GR3-$GW3,2)</f>
        <v>49.26747513328295</v>
      </c>
      <c r="GU3" s="4">
        <f>COUNT(C3,G3,K3,O3,S3,W3,AA3,AE3,AI3,AM3,AQ3,AU3,AY3,BC3,BG3,BK3,BO3,BS3,BW3,CA3,CE3,CI3,CM3,CQ3,CU3,CY3,DC3,DG3,DK3,DO3,DS3,DW3,FK3,FO3,FS3,FW3,GA3,GE3,GI3,GM3,GQ3,EA3,EE3,EI3,EM3,EQ3,EU3,EY3,FC3,FG3)</f>
        <v>50</v>
      </c>
      <c r="GV3" s="15">
        <f>(E3+I3+M3+Q3+U3+Y3+AC3+AG3+AK3+AO3+AS3+AW3+BA3+BE3+BI3+BM3+BQ3+BU3+BY3+CC3+CG3+CK3+CO3+CS3+CW3+DA3+DE3+DI3+DM3+DQ3+DU3+DY3+FM3+FQ3+FU3+FY3+GC3+GG3+GK3+GO3+GS3+EC3+EG3+EK3+EO3+ES3+EW3+FA3+FE3+FI3)*100/GU3</f>
        <v>98.092063492063474</v>
      </c>
      <c r="GW3" s="15">
        <f>AVERAGE(E3,I3,M3,Q3,U3,Y3,AC3,AG3,AK3,AO3,AS3,AW3,BA3,BE3,BI3,BM3,BQ3,BU3,BY3,CC3,CG3,CK3,CO3,CS3,CW3,DA3,DE3,DI3,DM3,DQ3,DU3,DY3,EC3,EG3,EK3,EO3,ES3,EW3,FA3,FE3,FI3,FM3,FQ3,FU3,FY3,GC3,GG3,GK3,GO3,GS3)</f>
        <v>0.98092063492063475</v>
      </c>
      <c r="GX3" s="15">
        <f t="shared" ref="GX3:GX11" si="68">SQRT((F3+J3+N3+R3+V3+Z3+AD3+AH3+AL3+AP3+AT3+AX3+BB3+BF3+BJ3+BN3+BR3++BV3+BZ3+CD3+CH3+CL3+CP3+CT3+CX3+DB3+DF3+DJ3+DN3+DR3+DV3+DZ3+FN3+FR3+FV3+FZ3+GD3+GH3+GL3+GP3+GT3)/GU3)</f>
        <v>7.0895856611925669</v>
      </c>
      <c r="GY3" s="16">
        <f>GV3</f>
        <v>98.092063492063474</v>
      </c>
      <c r="GZ3" s="17" t="s">
        <v>3</v>
      </c>
      <c r="HA3" s="24">
        <f>GX3</f>
        <v>7.0895856611925669</v>
      </c>
      <c r="HB3" s="4" t="str">
        <f>IF(GV3&lt;40,"неудовлетворительно",IF((GV3&gt;=40)*AND(GV3&lt;60),"удовлетворительно",IF((GV3&gt;=60)*AND(GV3&lt;80),"хорошо","отлично")))</f>
        <v>отлично</v>
      </c>
    </row>
    <row r="4" spans="1:210" ht="39.75" customHeight="1" thickBot="1" x14ac:dyDescent="0.3">
      <c r="A4" s="21">
        <v>2</v>
      </c>
      <c r="B4" s="31" t="s">
        <v>14</v>
      </c>
      <c r="C4" s="3">
        <v>10</v>
      </c>
      <c r="D4" s="3">
        <v>10</v>
      </c>
      <c r="E4" s="12">
        <f t="shared" ref="E4:E14" si="69">D4/C4</f>
        <v>1</v>
      </c>
      <c r="F4" s="12">
        <f t="shared" si="0"/>
        <v>81.208562653124218</v>
      </c>
      <c r="G4" s="3">
        <v>8</v>
      </c>
      <c r="H4" s="3">
        <v>7</v>
      </c>
      <c r="I4" s="12">
        <f t="shared" ref="I4:I14" si="70">H4/G4</f>
        <v>0.875</v>
      </c>
      <c r="J4" s="12">
        <f t="shared" si="1"/>
        <v>36.139086462648024</v>
      </c>
      <c r="K4" s="3">
        <v>9</v>
      </c>
      <c r="L4" s="3">
        <v>9</v>
      </c>
      <c r="M4" s="12">
        <f t="shared" ref="M4:M14" si="71">L4/K4</f>
        <v>1</v>
      </c>
      <c r="N4" s="12">
        <f t="shared" si="2"/>
        <v>64.185403922965477</v>
      </c>
      <c r="O4" s="3">
        <v>9</v>
      </c>
      <c r="P4" s="3">
        <v>9</v>
      </c>
      <c r="Q4" s="12">
        <f t="shared" ref="Q4:Q14" si="72">P4/O4</f>
        <v>1</v>
      </c>
      <c r="R4" s="12">
        <f t="shared" si="3"/>
        <v>64.185403922965477</v>
      </c>
      <c r="S4" s="3">
        <v>9</v>
      </c>
      <c r="T4" s="3">
        <v>9</v>
      </c>
      <c r="U4" s="12">
        <f t="shared" ref="U4:U14" si="73">T4/S4</f>
        <v>1</v>
      </c>
      <c r="V4" s="12">
        <f t="shared" si="4"/>
        <v>64.185403922965477</v>
      </c>
      <c r="W4" s="3">
        <v>8</v>
      </c>
      <c r="X4" s="3">
        <v>8</v>
      </c>
      <c r="Y4" s="12">
        <f t="shared" ref="Y4:Y14" si="74">X4/W4</f>
        <v>1</v>
      </c>
      <c r="Z4" s="12">
        <f t="shared" si="5"/>
        <v>49.162245192806751</v>
      </c>
      <c r="AA4" s="3">
        <v>9</v>
      </c>
      <c r="AB4" s="3">
        <v>9</v>
      </c>
      <c r="AC4" s="12">
        <f t="shared" ref="AC4:AC14" si="75">AB4/AA4</f>
        <v>1</v>
      </c>
      <c r="AD4" s="12">
        <f t="shared" si="6"/>
        <v>64.185403922965477</v>
      </c>
      <c r="AE4" s="3">
        <v>8</v>
      </c>
      <c r="AF4" s="3">
        <v>8</v>
      </c>
      <c r="AG4" s="12">
        <f t="shared" ref="AG4:AG14" si="76">AF4/AE4</f>
        <v>1</v>
      </c>
      <c r="AH4" s="12">
        <f t="shared" si="7"/>
        <v>49.162245192806751</v>
      </c>
      <c r="AI4" s="3">
        <v>5</v>
      </c>
      <c r="AJ4" s="3">
        <v>5</v>
      </c>
      <c r="AK4" s="12">
        <f t="shared" ref="AK4:AK14" si="77">AJ4/AI4</f>
        <v>1</v>
      </c>
      <c r="AL4" s="12">
        <f t="shared" si="8"/>
        <v>16.092769002330563</v>
      </c>
      <c r="AM4" s="3">
        <v>9</v>
      </c>
      <c r="AN4" s="3">
        <v>9</v>
      </c>
      <c r="AO4" s="12">
        <f t="shared" ref="AO4:AO14" si="78">AN4/AM4</f>
        <v>1</v>
      </c>
      <c r="AP4" s="12">
        <f t="shared" si="9"/>
        <v>64.185403922965477</v>
      </c>
      <c r="AQ4" s="3">
        <v>9</v>
      </c>
      <c r="AR4" s="5">
        <v>9</v>
      </c>
      <c r="AS4" s="12">
        <f t="shared" ref="AS4:AS14" si="79">AR4/AQ4</f>
        <v>1</v>
      </c>
      <c r="AT4" s="12">
        <f t="shared" si="10"/>
        <v>64.185403922965477</v>
      </c>
      <c r="AU4" s="3">
        <v>9</v>
      </c>
      <c r="AV4" s="5">
        <v>9</v>
      </c>
      <c r="AW4" s="12">
        <f t="shared" ref="AW4:AW11" si="80">AV4/AU4</f>
        <v>1</v>
      </c>
      <c r="AX4" s="12">
        <f t="shared" si="11"/>
        <v>64.185403922965477</v>
      </c>
      <c r="AY4" s="3">
        <v>10</v>
      </c>
      <c r="AZ4" s="3">
        <v>10</v>
      </c>
      <c r="BA4" s="12">
        <f t="shared" ref="BA4:BA11" si="81">AZ4/AY4</f>
        <v>1</v>
      </c>
      <c r="BB4" s="12">
        <f t="shared" si="12"/>
        <v>81.208562653124218</v>
      </c>
      <c r="BC4" s="3">
        <v>9</v>
      </c>
      <c r="BD4" s="3">
        <v>9</v>
      </c>
      <c r="BE4" s="12">
        <f t="shared" ref="BE4:BE11" si="82">BD4/BC4</f>
        <v>1</v>
      </c>
      <c r="BF4" s="12">
        <f t="shared" si="13"/>
        <v>64.185403922965477</v>
      </c>
      <c r="BG4" s="3">
        <v>9</v>
      </c>
      <c r="BH4" s="5">
        <v>9</v>
      </c>
      <c r="BI4" s="12">
        <f t="shared" ref="BI4:BI11" si="83">BH4/BG4</f>
        <v>1</v>
      </c>
      <c r="BJ4" s="12">
        <f t="shared" si="14"/>
        <v>64.185403922965477</v>
      </c>
      <c r="BK4" s="3">
        <v>9</v>
      </c>
      <c r="BL4" s="5">
        <v>9</v>
      </c>
      <c r="BM4" s="12">
        <f t="shared" ref="BM4:BM11" si="84">BL4/BK4</f>
        <v>1</v>
      </c>
      <c r="BN4" s="12">
        <f t="shared" si="15"/>
        <v>64.185403922965477</v>
      </c>
      <c r="BO4" s="3">
        <v>8</v>
      </c>
      <c r="BP4" s="5">
        <v>8</v>
      </c>
      <c r="BQ4" s="12">
        <f t="shared" ref="BQ4:BQ11" si="85">BP4/BO4</f>
        <v>1</v>
      </c>
      <c r="BR4" s="12">
        <f t="shared" si="16"/>
        <v>49.162245192806751</v>
      </c>
      <c r="BS4" s="3">
        <v>9</v>
      </c>
      <c r="BT4" s="3">
        <v>9</v>
      </c>
      <c r="BU4" s="12">
        <f t="shared" ref="BU4:BU11" si="86">BT4/BS4</f>
        <v>1</v>
      </c>
      <c r="BV4" s="12">
        <f t="shared" si="17"/>
        <v>64.185403922965477</v>
      </c>
      <c r="BW4" s="3">
        <v>10</v>
      </c>
      <c r="BX4" s="5">
        <v>9</v>
      </c>
      <c r="BY4" s="12">
        <f t="shared" ref="BY4:BY11" si="87">BX4/BW4</f>
        <v>0.9</v>
      </c>
      <c r="BZ4" s="12">
        <f t="shared" si="18"/>
        <v>64.185403922965477</v>
      </c>
      <c r="CA4" s="3">
        <v>10</v>
      </c>
      <c r="CB4" s="3">
        <v>10</v>
      </c>
      <c r="CC4" s="12">
        <f t="shared" ref="CC4:CC11" si="88">CB4/CA4</f>
        <v>1</v>
      </c>
      <c r="CD4" s="12">
        <f t="shared" si="19"/>
        <v>81.208562653124218</v>
      </c>
      <c r="CE4" s="3">
        <v>7</v>
      </c>
      <c r="CF4" s="5">
        <v>7</v>
      </c>
      <c r="CG4" s="12">
        <f t="shared" ref="CG4:CG11" si="89">CF4/CE4</f>
        <v>1</v>
      </c>
      <c r="CH4" s="12">
        <f t="shared" si="20"/>
        <v>36.139086462648024</v>
      </c>
      <c r="CI4" s="3">
        <v>9</v>
      </c>
      <c r="CJ4" s="3">
        <v>8</v>
      </c>
      <c r="CK4" s="12">
        <f t="shared" ref="CK4:CK11" si="90">CJ4/CI4</f>
        <v>0.88888888888888884</v>
      </c>
      <c r="CL4" s="12">
        <f t="shared" si="21"/>
        <v>49.162245192806751</v>
      </c>
      <c r="CM4" s="3">
        <v>9</v>
      </c>
      <c r="CN4" s="5">
        <v>9</v>
      </c>
      <c r="CO4" s="12">
        <f t="shared" ref="CO4:CO11" si="91">CN4/CM4</f>
        <v>1</v>
      </c>
      <c r="CP4" s="12">
        <f t="shared" si="22"/>
        <v>64.185403922965477</v>
      </c>
      <c r="CQ4" s="3">
        <v>8</v>
      </c>
      <c r="CR4" s="3">
        <v>8</v>
      </c>
      <c r="CS4" s="12">
        <f t="shared" ref="CS4:CS11" si="92">CR4/CQ4</f>
        <v>1</v>
      </c>
      <c r="CT4" s="12">
        <f t="shared" si="23"/>
        <v>49.162245192806751</v>
      </c>
      <c r="CU4" s="3">
        <v>8</v>
      </c>
      <c r="CV4" s="3">
        <v>8</v>
      </c>
      <c r="CW4" s="12">
        <f t="shared" ref="CW4:CW11" si="93">CV4/CU4</f>
        <v>1</v>
      </c>
      <c r="CX4" s="12">
        <f t="shared" ref="CX4:CX11" si="94">POWER(CV4-$GW4,2)</f>
        <v>49.162245192806751</v>
      </c>
      <c r="CY4" s="3">
        <v>9</v>
      </c>
      <c r="CZ4" s="5">
        <v>9</v>
      </c>
      <c r="DA4" s="12">
        <f t="shared" ref="DA4:DA14" si="95">CZ4/CY4</f>
        <v>1</v>
      </c>
      <c r="DB4" s="12">
        <f t="shared" ref="DB4:DB14" si="96">POWER(CZ4-$GW4,2)</f>
        <v>64.185403922965477</v>
      </c>
      <c r="DC4" s="3">
        <v>9</v>
      </c>
      <c r="DD4" s="3">
        <v>9</v>
      </c>
      <c r="DE4" s="12">
        <f t="shared" ref="DE4:DE11" si="97">DD4/DC4</f>
        <v>1</v>
      </c>
      <c r="DF4" s="12">
        <f t="shared" ref="DF4:DF11" si="98">POWER(DD4-$GW4,2)</f>
        <v>64.185403922965477</v>
      </c>
      <c r="DG4" s="3">
        <v>9</v>
      </c>
      <c r="DH4" s="3">
        <v>9</v>
      </c>
      <c r="DI4" s="12">
        <f t="shared" ref="DI4:DI11" si="99">DH4/DG4</f>
        <v>1</v>
      </c>
      <c r="DJ4" s="12">
        <f t="shared" ref="DJ4:DJ11" si="100">POWER(DH4-$GW4,2)</f>
        <v>64.185403922965477</v>
      </c>
      <c r="DK4" s="3">
        <v>8</v>
      </c>
      <c r="DL4" s="3">
        <v>8</v>
      </c>
      <c r="DM4" s="12">
        <f t="shared" ref="DM4:DM11" si="101">DL4/DK4</f>
        <v>1</v>
      </c>
      <c r="DN4" s="12">
        <f t="shared" ref="DN4:DN11" si="102">POWER(DL4-$GW4,2)</f>
        <v>49.162245192806751</v>
      </c>
      <c r="DO4" s="3">
        <v>10</v>
      </c>
      <c r="DP4" s="5">
        <v>10</v>
      </c>
      <c r="DQ4" s="12">
        <f t="shared" ref="DQ4:DQ11" si="103">DP4/DO4</f>
        <v>1</v>
      </c>
      <c r="DR4" s="12">
        <f t="shared" ref="DR4:DR11" si="104">POWER(DP4-$GW4,2)</f>
        <v>81.208562653124218</v>
      </c>
      <c r="DS4" s="3">
        <v>9</v>
      </c>
      <c r="DT4" s="3">
        <v>9</v>
      </c>
      <c r="DU4" s="12">
        <f t="shared" ref="DU4:DU11" si="105">DT4/DS4</f>
        <v>1</v>
      </c>
      <c r="DV4" s="12">
        <f t="shared" ref="DV4:DV11" si="106">POWER(DT4-$GW4,2)</f>
        <v>64.185403922965477</v>
      </c>
      <c r="DW4" s="3">
        <v>10</v>
      </c>
      <c r="DX4" s="3">
        <v>9</v>
      </c>
      <c r="DY4" s="12">
        <f t="shared" ref="DY4:DY11" si="107">DX4/DW4</f>
        <v>0.9</v>
      </c>
      <c r="DZ4" s="12">
        <f t="shared" ref="DZ4:DZ11" si="108">POWER(DX4-$GW4,2)</f>
        <v>64.185403922965477</v>
      </c>
      <c r="EA4" s="3">
        <v>7</v>
      </c>
      <c r="EB4" s="3">
        <v>7</v>
      </c>
      <c r="EC4" s="12">
        <f t="shared" si="32"/>
        <v>1</v>
      </c>
      <c r="ED4" s="12">
        <f t="shared" si="33"/>
        <v>36.139086462648024</v>
      </c>
      <c r="EE4" s="3">
        <v>10</v>
      </c>
      <c r="EF4" s="3">
        <v>10</v>
      </c>
      <c r="EG4" s="12">
        <f t="shared" si="34"/>
        <v>1</v>
      </c>
      <c r="EH4" s="12">
        <f t="shared" si="35"/>
        <v>81.208562653124218</v>
      </c>
      <c r="EI4" s="3">
        <v>10</v>
      </c>
      <c r="EJ4" s="3">
        <v>10</v>
      </c>
      <c r="EK4" s="12">
        <f t="shared" si="36"/>
        <v>1</v>
      </c>
      <c r="EL4" s="12">
        <f t="shared" si="37"/>
        <v>81.208562653124218</v>
      </c>
      <c r="EM4" s="3">
        <v>10</v>
      </c>
      <c r="EN4" s="3">
        <v>10</v>
      </c>
      <c r="EO4" s="12">
        <f t="shared" si="38"/>
        <v>1</v>
      </c>
      <c r="EP4" s="12">
        <f t="shared" si="39"/>
        <v>81.208562653124218</v>
      </c>
      <c r="EQ4" s="3">
        <v>9</v>
      </c>
      <c r="ER4" s="3">
        <v>9</v>
      </c>
      <c r="ES4" s="12">
        <f t="shared" si="40"/>
        <v>1</v>
      </c>
      <c r="ET4" s="12">
        <f t="shared" si="41"/>
        <v>64.185403922965477</v>
      </c>
      <c r="EU4" s="3">
        <v>10</v>
      </c>
      <c r="EV4" s="3">
        <v>10</v>
      </c>
      <c r="EW4" s="12">
        <f t="shared" si="42"/>
        <v>1</v>
      </c>
      <c r="EX4" s="12">
        <f t="shared" si="43"/>
        <v>81.208562653124218</v>
      </c>
      <c r="EY4" s="3">
        <v>10</v>
      </c>
      <c r="EZ4" s="3">
        <v>10</v>
      </c>
      <c r="FA4" s="12">
        <f t="shared" si="44"/>
        <v>1</v>
      </c>
      <c r="FB4" s="12">
        <f t="shared" si="45"/>
        <v>81.208562653124218</v>
      </c>
      <c r="FC4" s="3">
        <v>10</v>
      </c>
      <c r="FD4" s="3">
        <v>10</v>
      </c>
      <c r="FE4" s="12">
        <f t="shared" si="46"/>
        <v>1</v>
      </c>
      <c r="FF4" s="12">
        <f t="shared" si="47"/>
        <v>81.208562653124218</v>
      </c>
      <c r="FG4" s="3">
        <v>10</v>
      </c>
      <c r="FH4" s="3">
        <v>10</v>
      </c>
      <c r="FI4" s="12">
        <f t="shared" si="48"/>
        <v>1</v>
      </c>
      <c r="FJ4" s="12">
        <f t="shared" si="49"/>
        <v>81.208562653124218</v>
      </c>
      <c r="FK4" s="3">
        <v>7</v>
      </c>
      <c r="FL4" s="3">
        <v>7</v>
      </c>
      <c r="FM4" s="12">
        <f t="shared" ref="FM4:FM11" si="109">FL4/FK4</f>
        <v>1</v>
      </c>
      <c r="FN4" s="12">
        <f t="shared" ref="FN4:FN11" si="110">POWER(FL4-$GW4,2)</f>
        <v>36.139086462648024</v>
      </c>
      <c r="FO4" s="3">
        <v>10</v>
      </c>
      <c r="FP4" s="3">
        <v>10</v>
      </c>
      <c r="FQ4" s="12">
        <f t="shared" ref="FQ4:FQ11" si="111">FP4/FO4</f>
        <v>1</v>
      </c>
      <c r="FR4" s="12">
        <f t="shared" ref="FR4:FR11" si="112">POWER(FP4-$GW4,2)</f>
        <v>81.208562653124218</v>
      </c>
      <c r="FS4" s="3">
        <v>10</v>
      </c>
      <c r="FT4" s="3">
        <v>10</v>
      </c>
      <c r="FU4" s="12">
        <f t="shared" ref="FU4:FU11" si="113">FT4/FS4</f>
        <v>1</v>
      </c>
      <c r="FV4" s="12">
        <f t="shared" ref="FV4:FV11" si="114">POWER(FT4-$GW4,2)</f>
        <v>81.208562653124218</v>
      </c>
      <c r="FW4" s="3">
        <v>7</v>
      </c>
      <c r="FX4" s="3">
        <v>7</v>
      </c>
      <c r="FY4" s="12">
        <f t="shared" ref="FY4:FY11" si="115">FX4/FW4</f>
        <v>1</v>
      </c>
      <c r="FZ4" s="12">
        <f t="shared" ref="FZ4:FZ11" si="116">POWER(FX4-$GW4,2)</f>
        <v>36.139086462648024</v>
      </c>
      <c r="GA4" s="3">
        <v>8</v>
      </c>
      <c r="GB4" s="3">
        <v>8</v>
      </c>
      <c r="GC4" s="12">
        <f t="shared" ref="GC4:GC11" si="117">GB4/GA4</f>
        <v>1</v>
      </c>
      <c r="GD4" s="12">
        <f t="shared" ref="GD4:GD11" si="118">POWER(GB4-$GW4,2)</f>
        <v>49.162245192806751</v>
      </c>
      <c r="GE4" s="3">
        <v>8</v>
      </c>
      <c r="GF4" s="3">
        <v>8</v>
      </c>
      <c r="GG4" s="12">
        <f t="shared" ref="GG4:GG11" si="119">GF4/GE4</f>
        <v>1</v>
      </c>
      <c r="GH4" s="12">
        <f t="shared" ref="GH4:GH11" si="120">POWER(GF4-$GW4,2)</f>
        <v>49.162245192806751</v>
      </c>
      <c r="GI4" s="3">
        <v>7</v>
      </c>
      <c r="GJ4" s="3">
        <v>6</v>
      </c>
      <c r="GK4" s="12">
        <f t="shared" ref="GK4:GK11" si="121">GJ4/GI4</f>
        <v>0.8571428571428571</v>
      </c>
      <c r="GL4" s="12">
        <f t="shared" ref="GL4:GL11" si="122">POWER(GJ4-$GW4,2)</f>
        <v>25.115927732489293</v>
      </c>
      <c r="GM4" s="3">
        <v>9</v>
      </c>
      <c r="GN4" s="3">
        <v>9</v>
      </c>
      <c r="GO4" s="12">
        <f t="shared" ref="GO4:GO11" si="123">GN4/GM4</f>
        <v>1</v>
      </c>
      <c r="GP4" s="12">
        <f t="shared" ref="GP4:GP11" si="124">POWER(GN4-$GW4,2)</f>
        <v>64.185403922965477</v>
      </c>
      <c r="GQ4" s="3">
        <v>9</v>
      </c>
      <c r="GR4" s="5">
        <v>9</v>
      </c>
      <c r="GS4" s="12">
        <f t="shared" ref="GS4:GS11" si="125">GR4/GQ4</f>
        <v>1</v>
      </c>
      <c r="GT4" s="12">
        <f t="shared" ref="GT4:GT11" si="126">POWER(GR4-$GW4,2)</f>
        <v>64.185403922965477</v>
      </c>
      <c r="GU4" s="4">
        <f t="shared" ref="GU4:GU11" si="127">COUNT(C4,G4,K4,O4,S4,W4,AA4,AE4,AI4,AM4,AQ4,AU4,AY4,BC4,BG4,BK4,BO4,BS4,BW4,CA4,CE4,CI4,CM4,CQ4,CU4,CY4,DC4,DG4,DK4,DO4,DS4,DW4,FK4,FO4,FS4,FW4,GA4,GE4,GI4,GM4,GQ4,EA4,EE4,EI4,EM4,EQ4,EU4,EY4,FC4,FG4)</f>
        <v>50</v>
      </c>
      <c r="GV4" s="15">
        <f t="shared" ref="GV4:GV11" si="128">(E4+I4+M4+Q4+U4+Y4+AC4+AG4+AK4+AO4+AS4+AW4+BA4+BE4+BI4+BM4+BQ4+BU4+BY4+CC4+CG4+CK4+CO4+CS4+CW4+DA4+DE4+DI4+DM4+DQ4+DU4+DY4+FM4+FQ4+FU4+FY4+GC4+GG4+GK4+GO4+GS4+EC4+EG4+EK4+EO4+ES4+EW4+FA4+FE4+FI4)*100/GU4</f>
        <v>98.842063492063474</v>
      </c>
      <c r="GW4" s="15">
        <f t="shared" ref="GW4:GW11" si="129">AVERAGE(E4,I4,M4,Q4,U4,Y4,AC4,AG4,AK4,AO4,AS4,AW4,BA4,BE4,BI4,BM4,BQ4,BU4,BY4,CC4,CG4,CK4,CO4,CS4,CW4,DA4,DE4,DI4,DM4,DQ4,DU4,DY4,EC4,EG4,EK4,EO4,ES4,EW4,FA4,FE4,FI4,FM4,FQ4,FU4,FY4,GC4,GG4,GK4,GO4,GS4)</f>
        <v>0.9884206349206347</v>
      </c>
      <c r="GX4" s="15">
        <f t="shared" si="68"/>
        <v>6.9270263514710662</v>
      </c>
      <c r="GY4" s="16">
        <f t="shared" ref="GY4:GY11" si="130">GV4</f>
        <v>98.842063492063474</v>
      </c>
      <c r="GZ4" s="17" t="s">
        <v>3</v>
      </c>
      <c r="HA4" s="24">
        <f t="shared" ref="HA4:HA11" si="131">GX4</f>
        <v>6.9270263514710662</v>
      </c>
      <c r="HB4" s="4" t="str">
        <f t="shared" ref="HB4:HB11" si="132">IF(GV4&lt;40,"неудовлетворительно",IF((GV4&gt;=40)*AND(GV4&lt;60),"удовлетворительно",IF((GV4&gt;=60)*AND(GV4&lt;80),"хорошо","отлично")))</f>
        <v>отлично</v>
      </c>
    </row>
    <row r="5" spans="1:210" ht="52.5" customHeight="1" thickBot="1" x14ac:dyDescent="0.3">
      <c r="A5" s="21">
        <v>3</v>
      </c>
      <c r="B5" s="31" t="s">
        <v>15</v>
      </c>
      <c r="C5" s="3">
        <v>10</v>
      </c>
      <c r="D5" s="3">
        <v>10</v>
      </c>
      <c r="E5" s="12">
        <f t="shared" si="69"/>
        <v>1</v>
      </c>
      <c r="F5" s="12">
        <f t="shared" si="0"/>
        <v>81.21256784889141</v>
      </c>
      <c r="G5" s="3">
        <v>8</v>
      </c>
      <c r="H5" s="3">
        <v>8</v>
      </c>
      <c r="I5" s="12">
        <f t="shared" si="70"/>
        <v>1</v>
      </c>
      <c r="J5" s="12">
        <f t="shared" si="1"/>
        <v>49.165361499685055</v>
      </c>
      <c r="K5" s="3">
        <v>10</v>
      </c>
      <c r="L5" s="3">
        <v>10</v>
      </c>
      <c r="M5" s="12">
        <f t="shared" si="71"/>
        <v>1</v>
      </c>
      <c r="N5" s="12">
        <f t="shared" si="2"/>
        <v>81.21256784889141</v>
      </c>
      <c r="O5" s="3">
        <v>10</v>
      </c>
      <c r="P5" s="3">
        <v>10</v>
      </c>
      <c r="Q5" s="12">
        <f t="shared" si="72"/>
        <v>1</v>
      </c>
      <c r="R5" s="12">
        <f t="shared" si="3"/>
        <v>81.21256784889141</v>
      </c>
      <c r="S5" s="3">
        <v>9</v>
      </c>
      <c r="T5" s="3">
        <v>9</v>
      </c>
      <c r="U5" s="12">
        <f t="shared" si="73"/>
        <v>1</v>
      </c>
      <c r="V5" s="12">
        <f t="shared" si="4"/>
        <v>64.188964674288229</v>
      </c>
      <c r="W5" s="3">
        <v>9</v>
      </c>
      <c r="X5" s="3">
        <v>9</v>
      </c>
      <c r="Y5" s="12">
        <f t="shared" si="74"/>
        <v>1</v>
      </c>
      <c r="Z5" s="12">
        <f t="shared" si="5"/>
        <v>64.188964674288229</v>
      </c>
      <c r="AA5" s="3">
        <v>10</v>
      </c>
      <c r="AB5" s="3">
        <v>10</v>
      </c>
      <c r="AC5" s="12">
        <f t="shared" si="75"/>
        <v>1</v>
      </c>
      <c r="AD5" s="12">
        <f t="shared" si="6"/>
        <v>81.21256784889141</v>
      </c>
      <c r="AE5" s="3">
        <v>10</v>
      </c>
      <c r="AF5" s="3">
        <v>10</v>
      </c>
      <c r="AG5" s="12">
        <f t="shared" si="76"/>
        <v>1</v>
      </c>
      <c r="AH5" s="12">
        <f t="shared" si="7"/>
        <v>81.21256784889141</v>
      </c>
      <c r="AI5" s="3">
        <v>8</v>
      </c>
      <c r="AJ5" s="3">
        <v>8</v>
      </c>
      <c r="AK5" s="12">
        <f t="shared" si="77"/>
        <v>1</v>
      </c>
      <c r="AL5" s="12">
        <f t="shared" si="8"/>
        <v>49.165361499685055</v>
      </c>
      <c r="AM5" s="3">
        <v>10</v>
      </c>
      <c r="AN5" s="3">
        <v>10</v>
      </c>
      <c r="AO5" s="12">
        <f t="shared" si="78"/>
        <v>1</v>
      </c>
      <c r="AP5" s="12">
        <f t="shared" si="9"/>
        <v>81.21256784889141</v>
      </c>
      <c r="AQ5" s="3">
        <v>10</v>
      </c>
      <c r="AR5" s="5">
        <v>10</v>
      </c>
      <c r="AS5" s="12">
        <f t="shared" si="79"/>
        <v>1</v>
      </c>
      <c r="AT5" s="12">
        <f t="shared" si="10"/>
        <v>81.21256784889141</v>
      </c>
      <c r="AU5" s="3">
        <v>9</v>
      </c>
      <c r="AV5" s="5">
        <v>9</v>
      </c>
      <c r="AW5" s="12">
        <f t="shared" si="80"/>
        <v>1</v>
      </c>
      <c r="AX5" s="12">
        <f t="shared" si="11"/>
        <v>64.188964674288229</v>
      </c>
      <c r="AY5" s="3">
        <v>10</v>
      </c>
      <c r="AZ5" s="3">
        <v>10</v>
      </c>
      <c r="BA5" s="12">
        <f t="shared" si="81"/>
        <v>1</v>
      </c>
      <c r="BB5" s="12">
        <f t="shared" si="12"/>
        <v>81.21256784889141</v>
      </c>
      <c r="BC5" s="3">
        <v>8</v>
      </c>
      <c r="BD5" s="3">
        <v>8</v>
      </c>
      <c r="BE5" s="12">
        <f t="shared" si="82"/>
        <v>1</v>
      </c>
      <c r="BF5" s="12">
        <f t="shared" si="13"/>
        <v>49.165361499685055</v>
      </c>
      <c r="BG5" s="3">
        <v>10</v>
      </c>
      <c r="BH5" s="5">
        <v>10</v>
      </c>
      <c r="BI5" s="12">
        <f t="shared" si="83"/>
        <v>1</v>
      </c>
      <c r="BJ5" s="12">
        <f t="shared" si="14"/>
        <v>81.21256784889141</v>
      </c>
      <c r="BK5" s="3">
        <v>9</v>
      </c>
      <c r="BL5" s="5">
        <v>9</v>
      </c>
      <c r="BM5" s="12">
        <f t="shared" si="84"/>
        <v>1</v>
      </c>
      <c r="BN5" s="12">
        <f t="shared" si="15"/>
        <v>64.188964674288229</v>
      </c>
      <c r="BO5" s="3">
        <v>8</v>
      </c>
      <c r="BP5" s="5">
        <v>8</v>
      </c>
      <c r="BQ5" s="12">
        <f t="shared" si="85"/>
        <v>1</v>
      </c>
      <c r="BR5" s="12">
        <f t="shared" si="16"/>
        <v>49.165361499685055</v>
      </c>
      <c r="BS5" s="3">
        <v>9</v>
      </c>
      <c r="BT5" s="3">
        <v>9</v>
      </c>
      <c r="BU5" s="12">
        <f t="shared" si="86"/>
        <v>1</v>
      </c>
      <c r="BV5" s="12">
        <f t="shared" si="17"/>
        <v>64.188964674288229</v>
      </c>
      <c r="BW5" s="3">
        <v>10</v>
      </c>
      <c r="BX5" s="5">
        <v>9</v>
      </c>
      <c r="BY5" s="12">
        <f t="shared" si="87"/>
        <v>0.9</v>
      </c>
      <c r="BZ5" s="12">
        <f t="shared" si="18"/>
        <v>64.188964674288229</v>
      </c>
      <c r="CA5" s="3">
        <v>8</v>
      </c>
      <c r="CB5" s="3">
        <v>8</v>
      </c>
      <c r="CC5" s="12">
        <f t="shared" si="88"/>
        <v>1</v>
      </c>
      <c r="CD5" s="12">
        <f t="shared" si="19"/>
        <v>49.165361499685055</v>
      </c>
      <c r="CE5" s="3">
        <v>7</v>
      </c>
      <c r="CF5" s="5">
        <v>7</v>
      </c>
      <c r="CG5" s="12">
        <f t="shared" si="89"/>
        <v>1</v>
      </c>
      <c r="CH5" s="12">
        <f t="shared" si="20"/>
        <v>36.141758325081881</v>
      </c>
      <c r="CI5" s="3">
        <v>9</v>
      </c>
      <c r="CJ5" s="3">
        <v>9</v>
      </c>
      <c r="CK5" s="12">
        <f t="shared" si="90"/>
        <v>1</v>
      </c>
      <c r="CL5" s="12">
        <f t="shared" si="21"/>
        <v>64.188964674288229</v>
      </c>
      <c r="CM5" s="3">
        <v>9</v>
      </c>
      <c r="CN5" s="5">
        <v>8</v>
      </c>
      <c r="CO5" s="12">
        <f t="shared" si="91"/>
        <v>0.88888888888888884</v>
      </c>
      <c r="CP5" s="12">
        <f t="shared" si="22"/>
        <v>49.165361499685055</v>
      </c>
      <c r="CQ5" s="3">
        <v>10</v>
      </c>
      <c r="CR5" s="3">
        <v>10</v>
      </c>
      <c r="CS5" s="12">
        <f t="shared" si="92"/>
        <v>1</v>
      </c>
      <c r="CT5" s="12">
        <f t="shared" si="23"/>
        <v>81.21256784889141</v>
      </c>
      <c r="CU5" s="3">
        <v>9</v>
      </c>
      <c r="CV5" s="3">
        <v>9</v>
      </c>
      <c r="CW5" s="12">
        <f t="shared" si="93"/>
        <v>1</v>
      </c>
      <c r="CX5" s="12">
        <f t="shared" si="94"/>
        <v>64.188964674288229</v>
      </c>
      <c r="CY5" s="3">
        <v>9</v>
      </c>
      <c r="CZ5" s="5">
        <v>9</v>
      </c>
      <c r="DA5" s="12">
        <f t="shared" si="95"/>
        <v>1</v>
      </c>
      <c r="DB5" s="12">
        <f t="shared" si="96"/>
        <v>64.188964674288229</v>
      </c>
      <c r="DC5" s="3">
        <v>9</v>
      </c>
      <c r="DD5" s="3">
        <v>9</v>
      </c>
      <c r="DE5" s="12">
        <f t="shared" si="97"/>
        <v>1</v>
      </c>
      <c r="DF5" s="12">
        <f t="shared" si="98"/>
        <v>64.188964674288229</v>
      </c>
      <c r="DG5" s="3">
        <v>9</v>
      </c>
      <c r="DH5" s="3">
        <v>9</v>
      </c>
      <c r="DI5" s="12">
        <f t="shared" si="99"/>
        <v>1</v>
      </c>
      <c r="DJ5" s="12">
        <f t="shared" si="100"/>
        <v>64.188964674288229</v>
      </c>
      <c r="DK5" s="3">
        <v>10</v>
      </c>
      <c r="DL5" s="3">
        <v>10</v>
      </c>
      <c r="DM5" s="12">
        <f t="shared" si="101"/>
        <v>1</v>
      </c>
      <c r="DN5" s="12">
        <f t="shared" si="102"/>
        <v>81.21256784889141</v>
      </c>
      <c r="DO5" s="3">
        <v>9</v>
      </c>
      <c r="DP5" s="5">
        <v>8</v>
      </c>
      <c r="DQ5" s="12">
        <f t="shared" si="103"/>
        <v>0.88888888888888884</v>
      </c>
      <c r="DR5" s="12">
        <f t="shared" si="104"/>
        <v>49.165361499685055</v>
      </c>
      <c r="DS5" s="3">
        <v>10</v>
      </c>
      <c r="DT5" s="3">
        <v>10</v>
      </c>
      <c r="DU5" s="12">
        <f t="shared" si="105"/>
        <v>1</v>
      </c>
      <c r="DV5" s="12">
        <f t="shared" si="106"/>
        <v>81.21256784889141</v>
      </c>
      <c r="DW5" s="3">
        <v>10</v>
      </c>
      <c r="DX5" s="3">
        <v>10</v>
      </c>
      <c r="DY5" s="12">
        <f t="shared" si="107"/>
        <v>1</v>
      </c>
      <c r="DZ5" s="12">
        <f t="shared" si="108"/>
        <v>81.21256784889141</v>
      </c>
      <c r="EA5" s="3">
        <v>8</v>
      </c>
      <c r="EB5" s="3">
        <v>8</v>
      </c>
      <c r="EC5" s="12">
        <f t="shared" si="32"/>
        <v>1</v>
      </c>
      <c r="ED5" s="12">
        <f t="shared" si="33"/>
        <v>49.165361499685055</v>
      </c>
      <c r="EE5" s="3">
        <v>9</v>
      </c>
      <c r="EF5" s="3">
        <v>9</v>
      </c>
      <c r="EG5" s="12">
        <f t="shared" si="34"/>
        <v>1</v>
      </c>
      <c r="EH5" s="12">
        <f t="shared" si="35"/>
        <v>64.188964674288229</v>
      </c>
      <c r="EI5" s="3">
        <v>9</v>
      </c>
      <c r="EJ5" s="3">
        <v>9</v>
      </c>
      <c r="EK5" s="12">
        <f t="shared" si="36"/>
        <v>1</v>
      </c>
      <c r="EL5" s="12">
        <f t="shared" si="37"/>
        <v>64.188964674288229</v>
      </c>
      <c r="EM5" s="3">
        <v>10</v>
      </c>
      <c r="EN5" s="3">
        <v>10</v>
      </c>
      <c r="EO5" s="12">
        <f t="shared" si="38"/>
        <v>1</v>
      </c>
      <c r="EP5" s="12">
        <f t="shared" si="39"/>
        <v>81.21256784889141</v>
      </c>
      <c r="EQ5" s="3">
        <v>9</v>
      </c>
      <c r="ER5" s="3">
        <v>9</v>
      </c>
      <c r="ES5" s="12">
        <f t="shared" si="40"/>
        <v>1</v>
      </c>
      <c r="ET5" s="12">
        <f t="shared" si="41"/>
        <v>64.188964674288229</v>
      </c>
      <c r="EU5" s="3">
        <v>10</v>
      </c>
      <c r="EV5" s="3">
        <v>10</v>
      </c>
      <c r="EW5" s="12">
        <f t="shared" si="42"/>
        <v>1</v>
      </c>
      <c r="EX5" s="12">
        <f t="shared" si="43"/>
        <v>81.21256784889141</v>
      </c>
      <c r="EY5" s="3">
        <v>10</v>
      </c>
      <c r="EZ5" s="3">
        <v>10</v>
      </c>
      <c r="FA5" s="12">
        <f t="shared" si="44"/>
        <v>1</v>
      </c>
      <c r="FB5" s="12">
        <f t="shared" si="45"/>
        <v>81.21256784889141</v>
      </c>
      <c r="FC5" s="3">
        <v>10</v>
      </c>
      <c r="FD5" s="3">
        <v>10</v>
      </c>
      <c r="FE5" s="12">
        <f t="shared" si="46"/>
        <v>1</v>
      </c>
      <c r="FF5" s="12">
        <f t="shared" si="47"/>
        <v>81.21256784889141</v>
      </c>
      <c r="FG5" s="3">
        <v>10</v>
      </c>
      <c r="FH5" s="3">
        <v>10</v>
      </c>
      <c r="FI5" s="12">
        <f t="shared" si="48"/>
        <v>1</v>
      </c>
      <c r="FJ5" s="12">
        <f t="shared" si="49"/>
        <v>81.21256784889141</v>
      </c>
      <c r="FK5" s="3">
        <v>7</v>
      </c>
      <c r="FL5" s="3">
        <v>7</v>
      </c>
      <c r="FM5" s="12">
        <f t="shared" si="109"/>
        <v>1</v>
      </c>
      <c r="FN5" s="12">
        <f t="shared" si="110"/>
        <v>36.141758325081881</v>
      </c>
      <c r="FO5" s="3">
        <v>10</v>
      </c>
      <c r="FP5" s="3">
        <v>10</v>
      </c>
      <c r="FQ5" s="12">
        <f t="shared" si="111"/>
        <v>1</v>
      </c>
      <c r="FR5" s="12">
        <f t="shared" si="112"/>
        <v>81.21256784889141</v>
      </c>
      <c r="FS5" s="3">
        <v>9</v>
      </c>
      <c r="FT5" s="3">
        <v>9</v>
      </c>
      <c r="FU5" s="12">
        <f t="shared" si="113"/>
        <v>1</v>
      </c>
      <c r="FV5" s="12">
        <f t="shared" si="114"/>
        <v>64.188964674288229</v>
      </c>
      <c r="FW5" s="3">
        <v>8</v>
      </c>
      <c r="FX5" s="3">
        <v>8</v>
      </c>
      <c r="FY5" s="12">
        <f t="shared" si="115"/>
        <v>1</v>
      </c>
      <c r="FZ5" s="12">
        <f t="shared" si="116"/>
        <v>49.165361499685055</v>
      </c>
      <c r="GA5" s="3">
        <v>7</v>
      </c>
      <c r="GB5" s="3">
        <v>7</v>
      </c>
      <c r="GC5" s="12">
        <f t="shared" si="117"/>
        <v>1</v>
      </c>
      <c r="GD5" s="12">
        <f t="shared" si="118"/>
        <v>36.141758325081881</v>
      </c>
      <c r="GE5" s="3">
        <v>10</v>
      </c>
      <c r="GF5" s="3">
        <v>10</v>
      </c>
      <c r="GG5" s="12">
        <f t="shared" si="119"/>
        <v>1</v>
      </c>
      <c r="GH5" s="12">
        <f t="shared" si="120"/>
        <v>81.21256784889141</v>
      </c>
      <c r="GI5" s="3">
        <v>7</v>
      </c>
      <c r="GJ5" s="3">
        <v>6</v>
      </c>
      <c r="GK5" s="12">
        <f t="shared" si="121"/>
        <v>0.8571428571428571</v>
      </c>
      <c r="GL5" s="12">
        <f t="shared" si="122"/>
        <v>25.118155150478707</v>
      </c>
      <c r="GM5" s="3">
        <v>9</v>
      </c>
      <c r="GN5" s="3">
        <v>9</v>
      </c>
      <c r="GO5" s="12">
        <f t="shared" si="123"/>
        <v>1</v>
      </c>
      <c r="GP5" s="12">
        <f t="shared" si="124"/>
        <v>64.188964674288229</v>
      </c>
      <c r="GQ5" s="3">
        <v>8</v>
      </c>
      <c r="GR5" s="5">
        <v>7</v>
      </c>
      <c r="GS5" s="12">
        <f t="shared" si="125"/>
        <v>0.875</v>
      </c>
      <c r="GT5" s="12">
        <f t="shared" si="126"/>
        <v>36.141758325081881</v>
      </c>
      <c r="GU5" s="4">
        <f t="shared" si="127"/>
        <v>50</v>
      </c>
      <c r="GV5" s="15">
        <f t="shared" si="128"/>
        <v>98.819841269841248</v>
      </c>
      <c r="GW5" s="15">
        <f t="shared" si="129"/>
        <v>0.98819841269841258</v>
      </c>
      <c r="GX5" s="15">
        <f t="shared" si="68"/>
        <v>7.2327769756123477</v>
      </c>
      <c r="GY5" s="16">
        <f t="shared" si="130"/>
        <v>98.819841269841248</v>
      </c>
      <c r="GZ5" s="17" t="s">
        <v>3</v>
      </c>
      <c r="HA5" s="24">
        <f t="shared" si="131"/>
        <v>7.2327769756123477</v>
      </c>
      <c r="HB5" s="4" t="str">
        <f t="shared" si="132"/>
        <v>отлично</v>
      </c>
    </row>
    <row r="6" spans="1:210" ht="30.75" customHeight="1" thickBot="1" x14ac:dyDescent="0.3">
      <c r="A6" s="21">
        <v>4</v>
      </c>
      <c r="B6" s="31" t="s">
        <v>10</v>
      </c>
      <c r="C6" s="3">
        <v>9</v>
      </c>
      <c r="D6" s="3">
        <v>9</v>
      </c>
      <c r="E6" s="8">
        <f t="shared" si="69"/>
        <v>1</v>
      </c>
      <c r="F6" s="12">
        <f t="shared" si="0"/>
        <v>64.257146669753084</v>
      </c>
      <c r="G6" s="3">
        <v>10</v>
      </c>
      <c r="H6" s="3">
        <v>8</v>
      </c>
      <c r="I6" s="12">
        <f t="shared" si="70"/>
        <v>0.8</v>
      </c>
      <c r="J6" s="12">
        <f t="shared" si="1"/>
        <v>49.22503555864197</v>
      </c>
      <c r="K6" s="3">
        <v>9</v>
      </c>
      <c r="L6" s="3">
        <v>8</v>
      </c>
      <c r="M6" s="12">
        <f t="shared" si="71"/>
        <v>0.88888888888888884</v>
      </c>
      <c r="N6" s="12">
        <f t="shared" si="2"/>
        <v>49.22503555864197</v>
      </c>
      <c r="O6" s="3">
        <v>5</v>
      </c>
      <c r="P6" s="3">
        <v>5</v>
      </c>
      <c r="Q6" s="12">
        <f t="shared" si="72"/>
        <v>1</v>
      </c>
      <c r="R6" s="12">
        <f t="shared" si="3"/>
        <v>16.128702225308636</v>
      </c>
      <c r="S6" s="3">
        <v>8</v>
      </c>
      <c r="T6" s="3">
        <v>8</v>
      </c>
      <c r="U6" s="12">
        <f t="shared" si="73"/>
        <v>1</v>
      </c>
      <c r="V6" s="12">
        <f t="shared" si="4"/>
        <v>49.22503555864197</v>
      </c>
      <c r="W6" s="3">
        <v>8</v>
      </c>
      <c r="X6" s="3">
        <v>8</v>
      </c>
      <c r="Y6" s="12">
        <f t="shared" si="74"/>
        <v>1</v>
      </c>
      <c r="Z6" s="12">
        <f t="shared" si="5"/>
        <v>49.22503555864197</v>
      </c>
      <c r="AA6" s="3">
        <v>8</v>
      </c>
      <c r="AB6" s="3">
        <v>8</v>
      </c>
      <c r="AC6" s="12">
        <f t="shared" si="75"/>
        <v>1</v>
      </c>
      <c r="AD6" s="12">
        <f t="shared" si="6"/>
        <v>49.22503555864197</v>
      </c>
      <c r="AE6" s="3">
        <v>8</v>
      </c>
      <c r="AF6" s="3">
        <v>8</v>
      </c>
      <c r="AG6" s="12">
        <f t="shared" si="76"/>
        <v>1</v>
      </c>
      <c r="AH6" s="12">
        <f t="shared" si="7"/>
        <v>49.22503555864197</v>
      </c>
      <c r="AI6" s="3">
        <v>9</v>
      </c>
      <c r="AJ6" s="3">
        <v>9</v>
      </c>
      <c r="AK6" s="12">
        <f t="shared" si="77"/>
        <v>1</v>
      </c>
      <c r="AL6" s="12">
        <f t="shared" si="8"/>
        <v>64.257146669753084</v>
      </c>
      <c r="AM6" s="3">
        <v>9</v>
      </c>
      <c r="AN6" s="3">
        <v>9</v>
      </c>
      <c r="AO6" s="12">
        <f t="shared" si="78"/>
        <v>1</v>
      </c>
      <c r="AP6" s="12">
        <f t="shared" si="9"/>
        <v>64.257146669753084</v>
      </c>
      <c r="AQ6" s="3">
        <v>9</v>
      </c>
      <c r="AR6" s="5">
        <v>9</v>
      </c>
      <c r="AS6" s="12">
        <f t="shared" si="79"/>
        <v>1</v>
      </c>
      <c r="AT6" s="12">
        <f t="shared" si="10"/>
        <v>64.257146669753084</v>
      </c>
      <c r="AU6" s="3">
        <v>8</v>
      </c>
      <c r="AV6" s="5">
        <v>8</v>
      </c>
      <c r="AW6" s="12">
        <f t="shared" si="80"/>
        <v>1</v>
      </c>
      <c r="AX6" s="12">
        <f t="shared" si="11"/>
        <v>49.22503555864197</v>
      </c>
      <c r="AY6" s="3">
        <v>9</v>
      </c>
      <c r="AZ6" s="3">
        <v>9</v>
      </c>
      <c r="BA6" s="12">
        <f t="shared" si="81"/>
        <v>1</v>
      </c>
      <c r="BB6" s="12">
        <f t="shared" si="12"/>
        <v>64.257146669753084</v>
      </c>
      <c r="BC6" s="3">
        <v>7</v>
      </c>
      <c r="BD6" s="3">
        <v>7</v>
      </c>
      <c r="BE6" s="12">
        <f t="shared" si="82"/>
        <v>1</v>
      </c>
      <c r="BF6" s="12">
        <f t="shared" si="13"/>
        <v>36.192924447530856</v>
      </c>
      <c r="BG6" s="3">
        <v>9</v>
      </c>
      <c r="BH6" s="5">
        <v>9</v>
      </c>
      <c r="BI6" s="12">
        <f t="shared" si="83"/>
        <v>1</v>
      </c>
      <c r="BJ6" s="12">
        <f t="shared" si="14"/>
        <v>64.257146669753084</v>
      </c>
      <c r="BK6" s="3">
        <v>9</v>
      </c>
      <c r="BL6" s="5">
        <v>9</v>
      </c>
      <c r="BM6" s="12">
        <f t="shared" si="84"/>
        <v>1</v>
      </c>
      <c r="BN6" s="12">
        <f t="shared" si="15"/>
        <v>64.257146669753084</v>
      </c>
      <c r="BO6" s="3">
        <v>9</v>
      </c>
      <c r="BP6" s="5">
        <v>9</v>
      </c>
      <c r="BQ6" s="12">
        <f t="shared" si="85"/>
        <v>1</v>
      </c>
      <c r="BR6" s="12">
        <f t="shared" si="16"/>
        <v>64.257146669753084</v>
      </c>
      <c r="BS6" s="3">
        <v>9</v>
      </c>
      <c r="BT6" s="3">
        <v>9</v>
      </c>
      <c r="BU6" s="12">
        <f t="shared" si="86"/>
        <v>1</v>
      </c>
      <c r="BV6" s="12">
        <f t="shared" si="17"/>
        <v>64.257146669753084</v>
      </c>
      <c r="BW6" s="3">
        <v>10</v>
      </c>
      <c r="BX6" s="5">
        <v>10</v>
      </c>
      <c r="BY6" s="12">
        <f t="shared" si="87"/>
        <v>1</v>
      </c>
      <c r="BZ6" s="12">
        <f t="shared" si="18"/>
        <v>81.28925778086419</v>
      </c>
      <c r="CA6" s="3">
        <v>10</v>
      </c>
      <c r="CB6" s="3">
        <v>10</v>
      </c>
      <c r="CC6" s="12">
        <f t="shared" si="88"/>
        <v>1</v>
      </c>
      <c r="CD6" s="12">
        <f t="shared" si="19"/>
        <v>81.28925778086419</v>
      </c>
      <c r="CE6" s="3">
        <v>9</v>
      </c>
      <c r="CF6" s="5">
        <v>9</v>
      </c>
      <c r="CG6" s="12">
        <f t="shared" si="89"/>
        <v>1</v>
      </c>
      <c r="CH6" s="12">
        <f t="shared" si="20"/>
        <v>64.257146669753084</v>
      </c>
      <c r="CI6" s="3">
        <v>9</v>
      </c>
      <c r="CJ6" s="3">
        <v>9</v>
      </c>
      <c r="CK6" s="12">
        <f t="shared" si="90"/>
        <v>1</v>
      </c>
      <c r="CL6" s="12">
        <f t="shared" si="21"/>
        <v>64.257146669753084</v>
      </c>
      <c r="CM6" s="3">
        <v>8</v>
      </c>
      <c r="CN6" s="5">
        <v>7</v>
      </c>
      <c r="CO6" s="12">
        <f t="shared" si="91"/>
        <v>0.875</v>
      </c>
      <c r="CP6" s="12">
        <f t="shared" si="22"/>
        <v>36.192924447530856</v>
      </c>
      <c r="CQ6" s="3">
        <v>10</v>
      </c>
      <c r="CR6" s="3">
        <v>10</v>
      </c>
      <c r="CS6" s="12">
        <f t="shared" si="92"/>
        <v>1</v>
      </c>
      <c r="CT6" s="12">
        <f t="shared" si="23"/>
        <v>81.28925778086419</v>
      </c>
      <c r="CU6" s="3">
        <v>10</v>
      </c>
      <c r="CV6" s="3">
        <v>10</v>
      </c>
      <c r="CW6" s="12">
        <f t="shared" si="93"/>
        <v>1</v>
      </c>
      <c r="CX6" s="12">
        <f t="shared" si="94"/>
        <v>81.28925778086419</v>
      </c>
      <c r="CY6" s="3">
        <v>8</v>
      </c>
      <c r="CZ6" s="5">
        <v>8</v>
      </c>
      <c r="DA6" s="12">
        <f t="shared" si="95"/>
        <v>1</v>
      </c>
      <c r="DB6" s="12">
        <f t="shared" si="96"/>
        <v>49.22503555864197</v>
      </c>
      <c r="DC6" s="3">
        <v>9</v>
      </c>
      <c r="DD6" s="3">
        <v>9</v>
      </c>
      <c r="DE6" s="12">
        <f t="shared" si="97"/>
        <v>1</v>
      </c>
      <c r="DF6" s="12">
        <f t="shared" si="98"/>
        <v>64.257146669753084</v>
      </c>
      <c r="DG6" s="3">
        <v>7</v>
      </c>
      <c r="DH6" s="3">
        <v>7</v>
      </c>
      <c r="DI6" s="12">
        <f t="shared" si="99"/>
        <v>1</v>
      </c>
      <c r="DJ6" s="12">
        <f t="shared" si="100"/>
        <v>36.192924447530856</v>
      </c>
      <c r="DK6" s="3">
        <v>5</v>
      </c>
      <c r="DL6" s="3">
        <v>5</v>
      </c>
      <c r="DM6" s="12">
        <f t="shared" si="101"/>
        <v>1</v>
      </c>
      <c r="DN6" s="12">
        <f t="shared" si="102"/>
        <v>16.128702225308636</v>
      </c>
      <c r="DO6" s="3">
        <v>9</v>
      </c>
      <c r="DP6" s="5">
        <v>9</v>
      </c>
      <c r="DQ6" s="12">
        <f t="shared" si="103"/>
        <v>1</v>
      </c>
      <c r="DR6" s="12">
        <f t="shared" si="104"/>
        <v>64.257146669753084</v>
      </c>
      <c r="DS6" s="3">
        <v>9</v>
      </c>
      <c r="DT6" s="3">
        <v>9</v>
      </c>
      <c r="DU6" s="12">
        <f t="shared" si="105"/>
        <v>1</v>
      </c>
      <c r="DV6" s="12">
        <f t="shared" si="106"/>
        <v>64.257146669753084</v>
      </c>
      <c r="DW6" s="3">
        <v>5</v>
      </c>
      <c r="DX6" s="3">
        <v>4</v>
      </c>
      <c r="DY6" s="12">
        <f t="shared" si="107"/>
        <v>0.8</v>
      </c>
      <c r="DZ6" s="12">
        <f t="shared" si="108"/>
        <v>9.0965911141975297</v>
      </c>
      <c r="EA6" s="3">
        <v>7</v>
      </c>
      <c r="EB6" s="3">
        <v>7</v>
      </c>
      <c r="EC6" s="12">
        <f t="shared" si="32"/>
        <v>1</v>
      </c>
      <c r="ED6" s="12">
        <f t="shared" si="33"/>
        <v>36.192924447530856</v>
      </c>
      <c r="EE6" s="3">
        <v>6</v>
      </c>
      <c r="EF6" s="3">
        <v>6</v>
      </c>
      <c r="EG6" s="12">
        <f t="shared" si="34"/>
        <v>1</v>
      </c>
      <c r="EH6" s="12">
        <f t="shared" si="35"/>
        <v>25.160813336419746</v>
      </c>
      <c r="EI6" s="3">
        <v>5</v>
      </c>
      <c r="EJ6" s="3">
        <v>5</v>
      </c>
      <c r="EK6" s="12">
        <f t="shared" si="36"/>
        <v>1</v>
      </c>
      <c r="EL6" s="12">
        <f t="shared" si="37"/>
        <v>16.128702225308636</v>
      </c>
      <c r="EM6" s="3">
        <v>6</v>
      </c>
      <c r="EN6" s="3">
        <v>5</v>
      </c>
      <c r="EO6" s="12">
        <f t="shared" si="38"/>
        <v>0.83333333333333337</v>
      </c>
      <c r="EP6" s="12">
        <f t="shared" si="39"/>
        <v>16.128702225308636</v>
      </c>
      <c r="EQ6" s="3">
        <v>5</v>
      </c>
      <c r="ER6" s="3">
        <v>5</v>
      </c>
      <c r="ES6" s="12">
        <f t="shared" si="40"/>
        <v>1</v>
      </c>
      <c r="ET6" s="12">
        <f t="shared" si="41"/>
        <v>16.128702225308636</v>
      </c>
      <c r="EU6" s="3">
        <v>7</v>
      </c>
      <c r="EV6" s="3">
        <v>7</v>
      </c>
      <c r="EW6" s="12">
        <f t="shared" si="42"/>
        <v>1</v>
      </c>
      <c r="EX6" s="12">
        <f t="shared" si="43"/>
        <v>36.192924447530856</v>
      </c>
      <c r="EY6" s="3">
        <v>8</v>
      </c>
      <c r="EZ6" s="3">
        <v>8</v>
      </c>
      <c r="FA6" s="12">
        <f t="shared" si="44"/>
        <v>1</v>
      </c>
      <c r="FB6" s="12">
        <f t="shared" si="45"/>
        <v>49.22503555864197</v>
      </c>
      <c r="FC6" s="3">
        <v>8</v>
      </c>
      <c r="FD6" s="3">
        <v>8</v>
      </c>
      <c r="FE6" s="12">
        <f t="shared" si="46"/>
        <v>1</v>
      </c>
      <c r="FF6" s="12">
        <f t="shared" si="47"/>
        <v>49.22503555864197</v>
      </c>
      <c r="FG6" s="3">
        <v>10</v>
      </c>
      <c r="FH6" s="3">
        <v>10</v>
      </c>
      <c r="FI6" s="12">
        <f t="shared" si="48"/>
        <v>1</v>
      </c>
      <c r="FJ6" s="12">
        <f t="shared" si="49"/>
        <v>81.28925778086419</v>
      </c>
      <c r="FK6" s="3">
        <v>7</v>
      </c>
      <c r="FL6" s="3">
        <v>7</v>
      </c>
      <c r="FM6" s="12">
        <f t="shared" si="109"/>
        <v>1</v>
      </c>
      <c r="FN6" s="12">
        <f t="shared" si="110"/>
        <v>36.192924447530856</v>
      </c>
      <c r="FO6" s="3">
        <v>10</v>
      </c>
      <c r="FP6" s="3">
        <v>10</v>
      </c>
      <c r="FQ6" s="12">
        <f t="shared" si="111"/>
        <v>1</v>
      </c>
      <c r="FR6" s="12">
        <f t="shared" si="112"/>
        <v>81.28925778086419</v>
      </c>
      <c r="FS6" s="3">
        <v>10</v>
      </c>
      <c r="FT6" s="3">
        <v>10</v>
      </c>
      <c r="FU6" s="12">
        <f t="shared" si="113"/>
        <v>1</v>
      </c>
      <c r="FV6" s="12">
        <f t="shared" si="114"/>
        <v>81.28925778086419</v>
      </c>
      <c r="FW6" s="3">
        <v>8</v>
      </c>
      <c r="FX6" s="3">
        <v>8</v>
      </c>
      <c r="FY6" s="12">
        <f t="shared" si="115"/>
        <v>1</v>
      </c>
      <c r="FZ6" s="12">
        <f t="shared" si="116"/>
        <v>49.22503555864197</v>
      </c>
      <c r="GA6" s="3">
        <v>9</v>
      </c>
      <c r="GB6" s="3">
        <v>9</v>
      </c>
      <c r="GC6" s="12">
        <f t="shared" si="117"/>
        <v>1</v>
      </c>
      <c r="GD6" s="12">
        <f t="shared" si="118"/>
        <v>64.257146669753084</v>
      </c>
      <c r="GE6" s="3">
        <v>10</v>
      </c>
      <c r="GF6" s="3">
        <v>10</v>
      </c>
      <c r="GG6" s="12">
        <f t="shared" si="119"/>
        <v>1</v>
      </c>
      <c r="GH6" s="12">
        <f t="shared" si="120"/>
        <v>81.28925778086419</v>
      </c>
      <c r="GI6" s="3">
        <v>7</v>
      </c>
      <c r="GJ6" s="3">
        <v>7</v>
      </c>
      <c r="GK6" s="12">
        <f t="shared" si="121"/>
        <v>1</v>
      </c>
      <c r="GL6" s="12">
        <f t="shared" si="122"/>
        <v>36.192924447530856</v>
      </c>
      <c r="GM6" s="3">
        <v>10</v>
      </c>
      <c r="GN6" s="3">
        <v>10</v>
      </c>
      <c r="GO6" s="12">
        <f t="shared" si="123"/>
        <v>1</v>
      </c>
      <c r="GP6" s="12">
        <f t="shared" si="124"/>
        <v>81.28925778086419</v>
      </c>
      <c r="GQ6" s="3">
        <v>10</v>
      </c>
      <c r="GR6" s="5">
        <v>10</v>
      </c>
      <c r="GS6" s="12">
        <f t="shared" si="125"/>
        <v>1</v>
      </c>
      <c r="GT6" s="12">
        <f t="shared" si="126"/>
        <v>81.28925778086419</v>
      </c>
      <c r="GU6" s="4">
        <f t="shared" si="127"/>
        <v>50</v>
      </c>
      <c r="GV6" s="15">
        <f t="shared" si="128"/>
        <v>98.394444444444446</v>
      </c>
      <c r="GW6" s="15">
        <f t="shared" si="129"/>
        <v>0.98394444444444462</v>
      </c>
      <c r="GX6" s="15">
        <f t="shared" si="68"/>
        <v>6.8713964489095245</v>
      </c>
      <c r="GY6" s="16">
        <f t="shared" si="130"/>
        <v>98.394444444444446</v>
      </c>
      <c r="GZ6" s="17" t="s">
        <v>3</v>
      </c>
      <c r="HA6" s="24">
        <f t="shared" si="131"/>
        <v>6.8713964489095245</v>
      </c>
      <c r="HB6" s="4" t="str">
        <f t="shared" si="132"/>
        <v>отлично</v>
      </c>
    </row>
    <row r="7" spans="1:210" ht="54" customHeight="1" thickBot="1" x14ac:dyDescent="0.3">
      <c r="A7" s="21">
        <v>5</v>
      </c>
      <c r="B7" s="31" t="s">
        <v>11</v>
      </c>
      <c r="C7" s="3">
        <v>8</v>
      </c>
      <c r="D7" s="3">
        <v>8</v>
      </c>
      <c r="E7" s="8">
        <f t="shared" si="69"/>
        <v>1</v>
      </c>
      <c r="F7" s="12">
        <f t="shared" si="0"/>
        <v>49.244526530864192</v>
      </c>
      <c r="G7" s="3">
        <v>7</v>
      </c>
      <c r="H7" s="3">
        <v>7</v>
      </c>
      <c r="I7" s="12">
        <f t="shared" si="70"/>
        <v>1</v>
      </c>
      <c r="J7" s="12">
        <f t="shared" si="1"/>
        <v>36.209637641975306</v>
      </c>
      <c r="K7" s="3">
        <v>8</v>
      </c>
      <c r="L7" s="3">
        <v>8</v>
      </c>
      <c r="M7" s="12">
        <f t="shared" si="71"/>
        <v>1</v>
      </c>
      <c r="N7" s="12">
        <f t="shared" si="2"/>
        <v>49.244526530864192</v>
      </c>
      <c r="O7" s="3">
        <v>7</v>
      </c>
      <c r="P7" s="3">
        <v>7</v>
      </c>
      <c r="Q7" s="12">
        <f t="shared" si="72"/>
        <v>1</v>
      </c>
      <c r="R7" s="12">
        <f t="shared" si="3"/>
        <v>36.209637641975306</v>
      </c>
      <c r="S7" s="3">
        <v>7</v>
      </c>
      <c r="T7" s="3">
        <v>7</v>
      </c>
      <c r="U7" s="12">
        <f t="shared" si="73"/>
        <v>1</v>
      </c>
      <c r="V7" s="12">
        <f t="shared" si="4"/>
        <v>36.209637641975306</v>
      </c>
      <c r="W7" s="3">
        <v>8</v>
      </c>
      <c r="X7" s="3">
        <v>8</v>
      </c>
      <c r="Y7" s="12">
        <f t="shared" si="74"/>
        <v>1</v>
      </c>
      <c r="Z7" s="12">
        <f t="shared" si="5"/>
        <v>49.244526530864192</v>
      </c>
      <c r="AA7" s="3">
        <v>7</v>
      </c>
      <c r="AB7" s="3">
        <v>7</v>
      </c>
      <c r="AC7" s="12">
        <f t="shared" si="75"/>
        <v>1</v>
      </c>
      <c r="AD7" s="12">
        <f t="shared" si="6"/>
        <v>36.209637641975306</v>
      </c>
      <c r="AE7" s="3">
        <v>7</v>
      </c>
      <c r="AF7" s="3">
        <v>7</v>
      </c>
      <c r="AG7" s="12">
        <f t="shared" si="76"/>
        <v>1</v>
      </c>
      <c r="AH7" s="12">
        <f t="shared" si="7"/>
        <v>36.209637641975306</v>
      </c>
      <c r="AI7" s="3">
        <v>9</v>
      </c>
      <c r="AJ7" s="3">
        <v>9</v>
      </c>
      <c r="AK7" s="12">
        <f t="shared" si="77"/>
        <v>1</v>
      </c>
      <c r="AL7" s="12">
        <f t="shared" si="8"/>
        <v>64.279415419753093</v>
      </c>
      <c r="AM7" s="3">
        <v>9</v>
      </c>
      <c r="AN7" s="3">
        <v>8</v>
      </c>
      <c r="AO7" s="12">
        <f t="shared" si="78"/>
        <v>0.88888888888888884</v>
      </c>
      <c r="AP7" s="12">
        <f t="shared" si="9"/>
        <v>49.244526530864192</v>
      </c>
      <c r="AQ7" s="3">
        <v>8</v>
      </c>
      <c r="AR7" s="5">
        <v>8</v>
      </c>
      <c r="AS7" s="12">
        <f t="shared" si="79"/>
        <v>1</v>
      </c>
      <c r="AT7" s="12">
        <f t="shared" si="10"/>
        <v>49.244526530864192</v>
      </c>
      <c r="AU7" s="3">
        <v>8</v>
      </c>
      <c r="AV7" s="5">
        <v>8</v>
      </c>
      <c r="AW7" s="12">
        <f t="shared" si="80"/>
        <v>1</v>
      </c>
      <c r="AX7" s="12">
        <f t="shared" si="11"/>
        <v>49.244526530864192</v>
      </c>
      <c r="AY7" s="3">
        <v>8</v>
      </c>
      <c r="AZ7" s="3">
        <v>8</v>
      </c>
      <c r="BA7" s="12">
        <f t="shared" si="81"/>
        <v>1</v>
      </c>
      <c r="BB7" s="12">
        <f t="shared" si="12"/>
        <v>49.244526530864192</v>
      </c>
      <c r="BC7" s="3">
        <v>8</v>
      </c>
      <c r="BD7" s="3">
        <v>8</v>
      </c>
      <c r="BE7" s="12">
        <f t="shared" si="82"/>
        <v>1</v>
      </c>
      <c r="BF7" s="12">
        <f t="shared" si="13"/>
        <v>49.244526530864192</v>
      </c>
      <c r="BG7" s="3">
        <v>9</v>
      </c>
      <c r="BH7" s="5">
        <v>8</v>
      </c>
      <c r="BI7" s="12">
        <f t="shared" si="83"/>
        <v>0.88888888888888884</v>
      </c>
      <c r="BJ7" s="12">
        <f t="shared" si="14"/>
        <v>49.244526530864192</v>
      </c>
      <c r="BK7" s="3">
        <v>7</v>
      </c>
      <c r="BL7" s="5">
        <v>7</v>
      </c>
      <c r="BM7" s="12">
        <f t="shared" si="84"/>
        <v>1</v>
      </c>
      <c r="BN7" s="12">
        <f t="shared" si="15"/>
        <v>36.209637641975306</v>
      </c>
      <c r="BO7" s="3">
        <v>7</v>
      </c>
      <c r="BP7" s="5">
        <v>7</v>
      </c>
      <c r="BQ7" s="12">
        <f t="shared" si="85"/>
        <v>1</v>
      </c>
      <c r="BR7" s="12">
        <f t="shared" si="16"/>
        <v>36.209637641975306</v>
      </c>
      <c r="BS7" s="3">
        <v>9</v>
      </c>
      <c r="BT7" s="3">
        <v>9</v>
      </c>
      <c r="BU7" s="12">
        <f t="shared" si="86"/>
        <v>1</v>
      </c>
      <c r="BV7" s="12">
        <f t="shared" si="17"/>
        <v>64.279415419753093</v>
      </c>
      <c r="BW7" s="3">
        <v>9</v>
      </c>
      <c r="BX7" s="5">
        <v>9</v>
      </c>
      <c r="BY7" s="12">
        <f t="shared" si="87"/>
        <v>1</v>
      </c>
      <c r="BZ7" s="12">
        <f t="shared" si="18"/>
        <v>64.279415419753093</v>
      </c>
      <c r="CA7" s="3">
        <v>7</v>
      </c>
      <c r="CB7" s="3">
        <v>7</v>
      </c>
      <c r="CC7" s="12">
        <f t="shared" si="88"/>
        <v>1</v>
      </c>
      <c r="CD7" s="12">
        <f t="shared" si="19"/>
        <v>36.209637641975306</v>
      </c>
      <c r="CE7" s="3">
        <v>8</v>
      </c>
      <c r="CF7" s="5">
        <v>8</v>
      </c>
      <c r="CG7" s="12">
        <f t="shared" si="89"/>
        <v>1</v>
      </c>
      <c r="CH7" s="12">
        <f t="shared" si="20"/>
        <v>49.244526530864192</v>
      </c>
      <c r="CI7" s="3">
        <v>10</v>
      </c>
      <c r="CJ7" s="3">
        <v>8</v>
      </c>
      <c r="CK7" s="12">
        <f t="shared" si="90"/>
        <v>0.8</v>
      </c>
      <c r="CL7" s="12">
        <f t="shared" si="21"/>
        <v>49.244526530864192</v>
      </c>
      <c r="CM7" s="3">
        <v>7</v>
      </c>
      <c r="CN7" s="5">
        <v>7</v>
      </c>
      <c r="CO7" s="12">
        <f t="shared" si="91"/>
        <v>1</v>
      </c>
      <c r="CP7" s="12">
        <f t="shared" si="22"/>
        <v>36.209637641975306</v>
      </c>
      <c r="CQ7" s="3">
        <v>8</v>
      </c>
      <c r="CR7" s="3">
        <v>8</v>
      </c>
      <c r="CS7" s="12">
        <f t="shared" si="92"/>
        <v>1</v>
      </c>
      <c r="CT7" s="12">
        <f t="shared" si="23"/>
        <v>49.244526530864192</v>
      </c>
      <c r="CU7" s="3">
        <v>7</v>
      </c>
      <c r="CV7" s="3">
        <v>7</v>
      </c>
      <c r="CW7" s="12">
        <f t="shared" si="93"/>
        <v>1</v>
      </c>
      <c r="CX7" s="12">
        <f t="shared" si="94"/>
        <v>36.209637641975306</v>
      </c>
      <c r="CY7" s="3">
        <v>9</v>
      </c>
      <c r="CZ7" s="5">
        <v>9</v>
      </c>
      <c r="DA7" s="12">
        <f t="shared" si="95"/>
        <v>1</v>
      </c>
      <c r="DB7" s="12">
        <f t="shared" si="96"/>
        <v>64.279415419753093</v>
      </c>
      <c r="DC7" s="3">
        <v>9</v>
      </c>
      <c r="DD7" s="3">
        <v>9</v>
      </c>
      <c r="DE7" s="12">
        <f t="shared" si="97"/>
        <v>1</v>
      </c>
      <c r="DF7" s="12">
        <f t="shared" si="98"/>
        <v>64.279415419753093</v>
      </c>
      <c r="DG7" s="3">
        <v>9</v>
      </c>
      <c r="DH7" s="3">
        <v>9</v>
      </c>
      <c r="DI7" s="12">
        <f t="shared" si="99"/>
        <v>1</v>
      </c>
      <c r="DJ7" s="12">
        <f t="shared" si="100"/>
        <v>64.279415419753093</v>
      </c>
      <c r="DK7" s="5">
        <v>7</v>
      </c>
      <c r="DL7" s="5">
        <v>7</v>
      </c>
      <c r="DM7" s="12">
        <f t="shared" si="101"/>
        <v>1</v>
      </c>
      <c r="DN7" s="12">
        <f t="shared" si="102"/>
        <v>36.209637641975306</v>
      </c>
      <c r="DO7" s="3">
        <v>8</v>
      </c>
      <c r="DP7" s="5">
        <v>8</v>
      </c>
      <c r="DQ7" s="12">
        <f t="shared" si="103"/>
        <v>1</v>
      </c>
      <c r="DR7" s="12">
        <f t="shared" si="104"/>
        <v>49.244526530864192</v>
      </c>
      <c r="DS7" s="3">
        <v>10</v>
      </c>
      <c r="DT7" s="3">
        <v>8</v>
      </c>
      <c r="DU7" s="12">
        <f t="shared" si="105"/>
        <v>0.8</v>
      </c>
      <c r="DV7" s="12">
        <f t="shared" si="106"/>
        <v>49.244526530864192</v>
      </c>
      <c r="DW7" s="3">
        <v>9</v>
      </c>
      <c r="DX7" s="3">
        <v>9</v>
      </c>
      <c r="DY7" s="12">
        <f t="shared" si="107"/>
        <v>1</v>
      </c>
      <c r="DZ7" s="12">
        <f t="shared" si="108"/>
        <v>64.279415419753093</v>
      </c>
      <c r="EA7" s="3">
        <v>8</v>
      </c>
      <c r="EB7" s="3">
        <v>8</v>
      </c>
      <c r="EC7" s="12">
        <f t="shared" si="32"/>
        <v>1</v>
      </c>
      <c r="ED7" s="12">
        <f t="shared" si="33"/>
        <v>49.244526530864192</v>
      </c>
      <c r="EE7" s="3">
        <v>9</v>
      </c>
      <c r="EF7" s="3">
        <v>9</v>
      </c>
      <c r="EG7" s="12">
        <f t="shared" si="34"/>
        <v>1</v>
      </c>
      <c r="EH7" s="12">
        <f t="shared" si="35"/>
        <v>64.279415419753093</v>
      </c>
      <c r="EI7" s="3">
        <v>9</v>
      </c>
      <c r="EJ7" s="3">
        <v>9</v>
      </c>
      <c r="EK7" s="12">
        <f t="shared" si="36"/>
        <v>1</v>
      </c>
      <c r="EL7" s="12">
        <f t="shared" si="37"/>
        <v>64.279415419753093</v>
      </c>
      <c r="EM7" s="3">
        <v>8</v>
      </c>
      <c r="EN7" s="3">
        <v>7</v>
      </c>
      <c r="EO7" s="12">
        <f t="shared" si="38"/>
        <v>0.875</v>
      </c>
      <c r="EP7" s="12">
        <f t="shared" si="39"/>
        <v>36.209637641975306</v>
      </c>
      <c r="EQ7" s="3">
        <v>9</v>
      </c>
      <c r="ER7" s="3">
        <v>9</v>
      </c>
      <c r="ES7" s="12">
        <f t="shared" si="40"/>
        <v>1</v>
      </c>
      <c r="ET7" s="12">
        <f t="shared" si="41"/>
        <v>64.279415419753093</v>
      </c>
      <c r="EU7" s="3">
        <v>8</v>
      </c>
      <c r="EV7" s="3">
        <v>8</v>
      </c>
      <c r="EW7" s="12">
        <f t="shared" si="42"/>
        <v>1</v>
      </c>
      <c r="EX7" s="12">
        <f t="shared" si="43"/>
        <v>49.244526530864192</v>
      </c>
      <c r="EY7" s="3">
        <v>10</v>
      </c>
      <c r="EZ7" s="3">
        <v>10</v>
      </c>
      <c r="FA7" s="12">
        <f t="shared" si="44"/>
        <v>1</v>
      </c>
      <c r="FB7" s="12">
        <f t="shared" si="45"/>
        <v>81.314304308641979</v>
      </c>
      <c r="FC7" s="3">
        <v>8</v>
      </c>
      <c r="FD7" s="3">
        <v>8</v>
      </c>
      <c r="FE7" s="12">
        <f t="shared" si="46"/>
        <v>1</v>
      </c>
      <c r="FF7" s="12">
        <f t="shared" si="47"/>
        <v>49.244526530864192</v>
      </c>
      <c r="FG7" s="3">
        <v>9</v>
      </c>
      <c r="FH7" s="3">
        <v>9</v>
      </c>
      <c r="FI7" s="12">
        <f t="shared" si="48"/>
        <v>1</v>
      </c>
      <c r="FJ7" s="12">
        <f t="shared" si="49"/>
        <v>64.279415419753093</v>
      </c>
      <c r="FK7" s="3">
        <v>7</v>
      </c>
      <c r="FL7" s="3">
        <v>7</v>
      </c>
      <c r="FM7" s="12">
        <f t="shared" si="109"/>
        <v>1</v>
      </c>
      <c r="FN7" s="12">
        <f t="shared" si="110"/>
        <v>36.209637641975306</v>
      </c>
      <c r="FO7" s="3">
        <v>10</v>
      </c>
      <c r="FP7" s="3">
        <v>10</v>
      </c>
      <c r="FQ7" s="12">
        <f t="shared" si="111"/>
        <v>1</v>
      </c>
      <c r="FR7" s="12">
        <f t="shared" si="112"/>
        <v>81.314304308641979</v>
      </c>
      <c r="FS7" s="3">
        <v>9</v>
      </c>
      <c r="FT7" s="3">
        <v>9</v>
      </c>
      <c r="FU7" s="12">
        <f t="shared" si="113"/>
        <v>1</v>
      </c>
      <c r="FV7" s="12">
        <f t="shared" si="114"/>
        <v>64.279415419753093</v>
      </c>
      <c r="FW7" s="3">
        <v>8</v>
      </c>
      <c r="FX7" s="3">
        <v>8</v>
      </c>
      <c r="FY7" s="12">
        <f t="shared" si="115"/>
        <v>1</v>
      </c>
      <c r="FZ7" s="12">
        <f t="shared" si="116"/>
        <v>49.244526530864192</v>
      </c>
      <c r="GA7" s="3">
        <v>8</v>
      </c>
      <c r="GB7" s="3">
        <v>8</v>
      </c>
      <c r="GC7" s="12">
        <f t="shared" si="117"/>
        <v>1</v>
      </c>
      <c r="GD7" s="12">
        <f t="shared" si="118"/>
        <v>49.244526530864192</v>
      </c>
      <c r="GE7" s="3">
        <v>8</v>
      </c>
      <c r="GF7" s="3">
        <v>8</v>
      </c>
      <c r="GG7" s="12">
        <f t="shared" si="119"/>
        <v>1</v>
      </c>
      <c r="GH7" s="12">
        <f t="shared" si="120"/>
        <v>49.244526530864192</v>
      </c>
      <c r="GI7" s="3">
        <v>7</v>
      </c>
      <c r="GJ7" s="3">
        <v>7</v>
      </c>
      <c r="GK7" s="12">
        <f t="shared" si="121"/>
        <v>1</v>
      </c>
      <c r="GL7" s="12">
        <f t="shared" si="122"/>
        <v>36.209637641975306</v>
      </c>
      <c r="GM7" s="3">
        <v>10</v>
      </c>
      <c r="GN7" s="3">
        <v>10</v>
      </c>
      <c r="GO7" s="12">
        <f t="shared" si="123"/>
        <v>1</v>
      </c>
      <c r="GP7" s="12">
        <f t="shared" si="124"/>
        <v>81.314304308641979</v>
      </c>
      <c r="GQ7" s="3">
        <v>8</v>
      </c>
      <c r="GR7" s="5">
        <v>7</v>
      </c>
      <c r="GS7" s="12">
        <f t="shared" si="125"/>
        <v>0.875</v>
      </c>
      <c r="GT7" s="12">
        <f t="shared" si="126"/>
        <v>36.209637641975306</v>
      </c>
      <c r="GU7" s="4">
        <f t="shared" si="127"/>
        <v>50</v>
      </c>
      <c r="GV7" s="15">
        <f t="shared" si="128"/>
        <v>98.25555555555556</v>
      </c>
      <c r="GW7" s="15">
        <f t="shared" si="129"/>
        <v>0.98255555555555563</v>
      </c>
      <c r="GX7" s="15">
        <f t="shared" si="68"/>
        <v>6.3576030231332554</v>
      </c>
      <c r="GY7" s="16">
        <f t="shared" si="130"/>
        <v>98.25555555555556</v>
      </c>
      <c r="GZ7" s="17" t="s">
        <v>3</v>
      </c>
      <c r="HA7" s="24">
        <f t="shared" si="131"/>
        <v>6.3576030231332554</v>
      </c>
      <c r="HB7" s="4" t="str">
        <f t="shared" si="132"/>
        <v>отлично</v>
      </c>
    </row>
    <row r="8" spans="1:210" ht="48.75" customHeight="1" thickBot="1" x14ac:dyDescent="0.3">
      <c r="A8" s="21">
        <v>6</v>
      </c>
      <c r="B8" s="31" t="s">
        <v>12</v>
      </c>
      <c r="C8" s="3">
        <v>10</v>
      </c>
      <c r="D8" s="3">
        <v>10</v>
      </c>
      <c r="E8" s="8">
        <f t="shared" si="69"/>
        <v>1</v>
      </c>
      <c r="F8" s="12">
        <f t="shared" si="0"/>
        <v>81.319314077160485</v>
      </c>
      <c r="G8" s="3">
        <v>8</v>
      </c>
      <c r="H8" s="3">
        <v>6</v>
      </c>
      <c r="I8" s="12">
        <f t="shared" si="70"/>
        <v>0.75</v>
      </c>
      <c r="J8" s="12">
        <f t="shared" si="1"/>
        <v>25.177536299382712</v>
      </c>
      <c r="K8" s="3">
        <v>9</v>
      </c>
      <c r="L8" s="3">
        <v>9</v>
      </c>
      <c r="M8" s="12">
        <f t="shared" si="71"/>
        <v>1</v>
      </c>
      <c r="N8" s="12">
        <f t="shared" si="2"/>
        <v>64.283869632716048</v>
      </c>
      <c r="O8" s="3">
        <v>9</v>
      </c>
      <c r="P8" s="3">
        <v>9</v>
      </c>
      <c r="Q8" s="12">
        <f t="shared" si="72"/>
        <v>1</v>
      </c>
      <c r="R8" s="12">
        <f t="shared" si="3"/>
        <v>64.283869632716048</v>
      </c>
      <c r="S8" s="3">
        <v>8</v>
      </c>
      <c r="T8" s="3">
        <v>8</v>
      </c>
      <c r="U8" s="12">
        <f t="shared" si="73"/>
        <v>1</v>
      </c>
      <c r="V8" s="12">
        <f t="shared" si="4"/>
        <v>49.248425188271604</v>
      </c>
      <c r="W8" s="3">
        <v>7</v>
      </c>
      <c r="X8" s="3">
        <v>7</v>
      </c>
      <c r="Y8" s="12">
        <f t="shared" si="74"/>
        <v>1</v>
      </c>
      <c r="Z8" s="12">
        <f t="shared" si="5"/>
        <v>36.21298074382716</v>
      </c>
      <c r="AA8" s="3">
        <v>10</v>
      </c>
      <c r="AB8" s="3">
        <v>10</v>
      </c>
      <c r="AC8" s="12">
        <f t="shared" si="75"/>
        <v>1</v>
      </c>
      <c r="AD8" s="12">
        <f t="shared" si="6"/>
        <v>81.319314077160485</v>
      </c>
      <c r="AE8" s="3">
        <v>9</v>
      </c>
      <c r="AF8" s="3">
        <v>9</v>
      </c>
      <c r="AG8" s="12">
        <f t="shared" si="76"/>
        <v>1</v>
      </c>
      <c r="AH8" s="12">
        <f t="shared" si="7"/>
        <v>64.283869632716048</v>
      </c>
      <c r="AI8" s="3">
        <v>10</v>
      </c>
      <c r="AJ8" s="3">
        <v>7</v>
      </c>
      <c r="AK8" s="12">
        <f t="shared" si="77"/>
        <v>0.7</v>
      </c>
      <c r="AL8" s="12">
        <f t="shared" si="8"/>
        <v>36.21298074382716</v>
      </c>
      <c r="AM8" s="3">
        <v>10</v>
      </c>
      <c r="AN8" s="3">
        <v>9</v>
      </c>
      <c r="AO8" s="12">
        <f t="shared" si="78"/>
        <v>0.9</v>
      </c>
      <c r="AP8" s="12">
        <f t="shared" si="9"/>
        <v>64.283869632716048</v>
      </c>
      <c r="AQ8" s="3">
        <v>10</v>
      </c>
      <c r="AR8" s="5">
        <v>10</v>
      </c>
      <c r="AS8" s="12">
        <f t="shared" si="79"/>
        <v>1</v>
      </c>
      <c r="AT8" s="12">
        <f t="shared" si="10"/>
        <v>81.319314077160485</v>
      </c>
      <c r="AU8" s="3">
        <v>9</v>
      </c>
      <c r="AV8" s="5">
        <v>9</v>
      </c>
      <c r="AW8" s="12">
        <f t="shared" si="80"/>
        <v>1</v>
      </c>
      <c r="AX8" s="12">
        <f t="shared" si="11"/>
        <v>64.283869632716048</v>
      </c>
      <c r="AY8" s="3">
        <v>10</v>
      </c>
      <c r="AZ8" s="3">
        <v>10</v>
      </c>
      <c r="BA8" s="12">
        <f t="shared" si="81"/>
        <v>1</v>
      </c>
      <c r="BB8" s="12">
        <f t="shared" si="12"/>
        <v>81.319314077160485</v>
      </c>
      <c r="BC8" s="3">
        <v>10</v>
      </c>
      <c r="BD8" s="3">
        <v>10</v>
      </c>
      <c r="BE8" s="12">
        <f t="shared" si="82"/>
        <v>1</v>
      </c>
      <c r="BF8" s="12">
        <f t="shared" si="13"/>
        <v>81.319314077160485</v>
      </c>
      <c r="BG8" s="3">
        <v>9</v>
      </c>
      <c r="BH8" s="5">
        <v>9</v>
      </c>
      <c r="BI8" s="12">
        <f t="shared" si="83"/>
        <v>1</v>
      </c>
      <c r="BJ8" s="12">
        <f t="shared" si="14"/>
        <v>64.283869632716048</v>
      </c>
      <c r="BK8" s="3">
        <v>9</v>
      </c>
      <c r="BL8" s="5">
        <v>9</v>
      </c>
      <c r="BM8" s="12">
        <f t="shared" si="84"/>
        <v>1</v>
      </c>
      <c r="BN8" s="12">
        <f t="shared" si="15"/>
        <v>64.283869632716048</v>
      </c>
      <c r="BO8" s="3">
        <v>8</v>
      </c>
      <c r="BP8" s="5">
        <v>8</v>
      </c>
      <c r="BQ8" s="12">
        <f t="shared" si="85"/>
        <v>1</v>
      </c>
      <c r="BR8" s="12">
        <f t="shared" si="16"/>
        <v>49.248425188271604</v>
      </c>
      <c r="BS8" s="3">
        <v>10</v>
      </c>
      <c r="BT8" s="3">
        <v>10</v>
      </c>
      <c r="BU8" s="12">
        <f t="shared" si="86"/>
        <v>1</v>
      </c>
      <c r="BV8" s="12">
        <f t="shared" si="17"/>
        <v>81.319314077160485</v>
      </c>
      <c r="BW8" s="3">
        <v>9</v>
      </c>
      <c r="BX8" s="5">
        <v>9</v>
      </c>
      <c r="BY8" s="12">
        <f t="shared" si="87"/>
        <v>1</v>
      </c>
      <c r="BZ8" s="12">
        <f t="shared" si="18"/>
        <v>64.283869632716048</v>
      </c>
      <c r="CA8" s="3">
        <v>10</v>
      </c>
      <c r="CB8" s="3">
        <v>10</v>
      </c>
      <c r="CC8" s="12">
        <f t="shared" si="88"/>
        <v>1</v>
      </c>
      <c r="CD8" s="12">
        <f t="shared" si="19"/>
        <v>81.319314077160485</v>
      </c>
      <c r="CE8" s="3">
        <v>9</v>
      </c>
      <c r="CF8" s="5">
        <v>9</v>
      </c>
      <c r="CG8" s="12">
        <f t="shared" si="89"/>
        <v>1</v>
      </c>
      <c r="CH8" s="12">
        <f t="shared" si="20"/>
        <v>64.283869632716048</v>
      </c>
      <c r="CI8" s="3">
        <v>10</v>
      </c>
      <c r="CJ8" s="3">
        <v>10</v>
      </c>
      <c r="CK8" s="12">
        <f t="shared" si="90"/>
        <v>1</v>
      </c>
      <c r="CL8" s="12">
        <f t="shared" si="21"/>
        <v>81.319314077160485</v>
      </c>
      <c r="CM8" s="3">
        <v>8</v>
      </c>
      <c r="CN8" s="5">
        <v>7</v>
      </c>
      <c r="CO8" s="12">
        <f t="shared" si="91"/>
        <v>0.875</v>
      </c>
      <c r="CP8" s="12">
        <f t="shared" si="22"/>
        <v>36.21298074382716</v>
      </c>
      <c r="CQ8" s="3">
        <v>10</v>
      </c>
      <c r="CR8" s="3">
        <v>10</v>
      </c>
      <c r="CS8" s="12">
        <f t="shared" si="92"/>
        <v>1</v>
      </c>
      <c r="CT8" s="12">
        <f t="shared" si="23"/>
        <v>81.319314077160485</v>
      </c>
      <c r="CU8" s="3">
        <v>10</v>
      </c>
      <c r="CV8" s="3">
        <v>10</v>
      </c>
      <c r="CW8" s="12">
        <f t="shared" si="93"/>
        <v>1</v>
      </c>
      <c r="CX8" s="12">
        <f t="shared" si="94"/>
        <v>81.319314077160485</v>
      </c>
      <c r="CY8" s="3">
        <v>8</v>
      </c>
      <c r="CZ8" s="5">
        <v>8</v>
      </c>
      <c r="DA8" s="12">
        <f t="shared" si="95"/>
        <v>1</v>
      </c>
      <c r="DB8" s="12">
        <f t="shared" si="96"/>
        <v>49.248425188271604</v>
      </c>
      <c r="DC8" s="3">
        <v>9</v>
      </c>
      <c r="DD8" s="3">
        <v>9</v>
      </c>
      <c r="DE8" s="12">
        <f t="shared" si="97"/>
        <v>1</v>
      </c>
      <c r="DF8" s="12">
        <f t="shared" si="98"/>
        <v>64.283869632716048</v>
      </c>
      <c r="DG8" s="3">
        <v>9</v>
      </c>
      <c r="DH8" s="3">
        <v>9</v>
      </c>
      <c r="DI8" s="12">
        <f t="shared" si="99"/>
        <v>1</v>
      </c>
      <c r="DJ8" s="12">
        <f t="shared" si="100"/>
        <v>64.283869632716048</v>
      </c>
      <c r="DK8" s="3">
        <v>8</v>
      </c>
      <c r="DL8" s="3">
        <v>8</v>
      </c>
      <c r="DM8" s="12">
        <f t="shared" si="101"/>
        <v>1</v>
      </c>
      <c r="DN8" s="12">
        <f t="shared" si="102"/>
        <v>49.248425188271604</v>
      </c>
      <c r="DO8" s="3">
        <v>7</v>
      </c>
      <c r="DP8" s="5">
        <v>7</v>
      </c>
      <c r="DQ8" s="12">
        <f t="shared" si="103"/>
        <v>1</v>
      </c>
      <c r="DR8" s="12">
        <f t="shared" si="104"/>
        <v>36.21298074382716</v>
      </c>
      <c r="DS8" s="3">
        <v>10</v>
      </c>
      <c r="DT8" s="3">
        <v>10</v>
      </c>
      <c r="DU8" s="12">
        <f t="shared" si="105"/>
        <v>1</v>
      </c>
      <c r="DV8" s="12">
        <f t="shared" si="106"/>
        <v>81.319314077160485</v>
      </c>
      <c r="DW8" s="3">
        <v>10</v>
      </c>
      <c r="DX8" s="3">
        <v>10</v>
      </c>
      <c r="DY8" s="12">
        <f t="shared" si="107"/>
        <v>1</v>
      </c>
      <c r="DZ8" s="12">
        <f t="shared" si="108"/>
        <v>81.319314077160485</v>
      </c>
      <c r="EA8" s="3">
        <v>8</v>
      </c>
      <c r="EB8" s="3">
        <v>8</v>
      </c>
      <c r="EC8" s="12">
        <f t="shared" si="32"/>
        <v>1</v>
      </c>
      <c r="ED8" s="12">
        <f t="shared" si="33"/>
        <v>49.248425188271604</v>
      </c>
      <c r="EE8" s="3">
        <v>10</v>
      </c>
      <c r="EF8" s="3">
        <v>10</v>
      </c>
      <c r="EG8" s="12">
        <f t="shared" si="34"/>
        <v>1</v>
      </c>
      <c r="EH8" s="12">
        <f t="shared" si="35"/>
        <v>81.319314077160485</v>
      </c>
      <c r="EI8" s="3">
        <v>10</v>
      </c>
      <c r="EJ8" s="3">
        <v>10</v>
      </c>
      <c r="EK8" s="12">
        <f t="shared" si="36"/>
        <v>1</v>
      </c>
      <c r="EL8" s="12">
        <f t="shared" si="37"/>
        <v>81.319314077160485</v>
      </c>
      <c r="EM8" s="3">
        <v>9</v>
      </c>
      <c r="EN8" s="3">
        <v>8</v>
      </c>
      <c r="EO8" s="12">
        <f t="shared" si="38"/>
        <v>0.88888888888888884</v>
      </c>
      <c r="EP8" s="12">
        <f t="shared" si="39"/>
        <v>49.248425188271604</v>
      </c>
      <c r="EQ8" s="3">
        <v>10</v>
      </c>
      <c r="ER8" s="3">
        <v>10</v>
      </c>
      <c r="ES8" s="12">
        <f t="shared" si="40"/>
        <v>1</v>
      </c>
      <c r="ET8" s="12">
        <f t="shared" si="41"/>
        <v>81.319314077160485</v>
      </c>
      <c r="EU8" s="3">
        <v>8</v>
      </c>
      <c r="EV8" s="3">
        <v>8</v>
      </c>
      <c r="EW8" s="12">
        <f t="shared" si="42"/>
        <v>1</v>
      </c>
      <c r="EX8" s="12">
        <f t="shared" si="43"/>
        <v>49.248425188271604</v>
      </c>
      <c r="EY8" s="3">
        <v>9</v>
      </c>
      <c r="EZ8" s="3">
        <v>9</v>
      </c>
      <c r="FA8" s="12">
        <f t="shared" si="44"/>
        <v>1</v>
      </c>
      <c r="FB8" s="12">
        <f t="shared" si="45"/>
        <v>64.283869632716048</v>
      </c>
      <c r="FC8" s="3">
        <v>9</v>
      </c>
      <c r="FD8" s="3">
        <v>9</v>
      </c>
      <c r="FE8" s="12">
        <f t="shared" si="46"/>
        <v>1</v>
      </c>
      <c r="FF8" s="12">
        <f t="shared" si="47"/>
        <v>64.283869632716048</v>
      </c>
      <c r="FG8" s="3">
        <v>9</v>
      </c>
      <c r="FH8" s="3">
        <v>9</v>
      </c>
      <c r="FI8" s="12">
        <f t="shared" si="48"/>
        <v>1</v>
      </c>
      <c r="FJ8" s="12">
        <f t="shared" si="49"/>
        <v>64.283869632716048</v>
      </c>
      <c r="FK8" s="3">
        <v>7</v>
      </c>
      <c r="FL8" s="3">
        <v>7</v>
      </c>
      <c r="FM8" s="12">
        <f t="shared" si="109"/>
        <v>1</v>
      </c>
      <c r="FN8" s="12">
        <f t="shared" si="110"/>
        <v>36.21298074382716</v>
      </c>
      <c r="FO8" s="3">
        <v>10</v>
      </c>
      <c r="FP8" s="3">
        <v>10</v>
      </c>
      <c r="FQ8" s="12">
        <f t="shared" si="111"/>
        <v>1</v>
      </c>
      <c r="FR8" s="12">
        <f t="shared" si="112"/>
        <v>81.319314077160485</v>
      </c>
      <c r="FS8" s="3">
        <v>9</v>
      </c>
      <c r="FT8" s="3">
        <v>9</v>
      </c>
      <c r="FU8" s="12">
        <f t="shared" si="113"/>
        <v>1</v>
      </c>
      <c r="FV8" s="12">
        <f t="shared" si="114"/>
        <v>64.283869632716048</v>
      </c>
      <c r="FW8" s="3">
        <v>9</v>
      </c>
      <c r="FX8" s="3">
        <v>9</v>
      </c>
      <c r="FY8" s="12">
        <f t="shared" si="115"/>
        <v>1</v>
      </c>
      <c r="FZ8" s="12">
        <f t="shared" si="116"/>
        <v>64.283869632716048</v>
      </c>
      <c r="GA8" s="3">
        <v>9</v>
      </c>
      <c r="GB8" s="3">
        <v>9</v>
      </c>
      <c r="GC8" s="12">
        <f t="shared" si="117"/>
        <v>1</v>
      </c>
      <c r="GD8" s="12">
        <f t="shared" si="118"/>
        <v>64.283869632716048</v>
      </c>
      <c r="GE8" s="3">
        <v>9</v>
      </c>
      <c r="GF8" s="3">
        <v>9</v>
      </c>
      <c r="GG8" s="12">
        <f t="shared" si="119"/>
        <v>1</v>
      </c>
      <c r="GH8" s="12">
        <f t="shared" si="120"/>
        <v>64.283869632716048</v>
      </c>
      <c r="GI8" s="3">
        <v>6</v>
      </c>
      <c r="GJ8" s="3">
        <v>6</v>
      </c>
      <c r="GK8" s="12">
        <f t="shared" si="121"/>
        <v>1</v>
      </c>
      <c r="GL8" s="12">
        <f t="shared" si="122"/>
        <v>25.177536299382712</v>
      </c>
      <c r="GM8" s="3">
        <v>10</v>
      </c>
      <c r="GN8" s="3">
        <v>10</v>
      </c>
      <c r="GO8" s="12">
        <f t="shared" si="123"/>
        <v>1</v>
      </c>
      <c r="GP8" s="12">
        <f t="shared" si="124"/>
        <v>81.319314077160485</v>
      </c>
      <c r="GQ8" s="3">
        <v>7</v>
      </c>
      <c r="GR8" s="5">
        <v>7</v>
      </c>
      <c r="GS8" s="12">
        <f t="shared" si="125"/>
        <v>1</v>
      </c>
      <c r="GT8" s="12">
        <f t="shared" si="126"/>
        <v>36.21298074382716</v>
      </c>
      <c r="GU8" s="4">
        <f t="shared" si="127"/>
        <v>50</v>
      </c>
      <c r="GV8" s="15">
        <f t="shared" si="128"/>
        <v>98.227777777777774</v>
      </c>
      <c r="GW8" s="15">
        <f t="shared" si="129"/>
        <v>0.98227777777777769</v>
      </c>
      <c r="GX8" s="15">
        <f t="shared" si="68"/>
        <v>7.1656892193086392</v>
      </c>
      <c r="GY8" s="16">
        <f t="shared" si="130"/>
        <v>98.227777777777774</v>
      </c>
      <c r="GZ8" s="17" t="s">
        <v>3</v>
      </c>
      <c r="HA8" s="24">
        <f t="shared" si="131"/>
        <v>7.1656892193086392</v>
      </c>
      <c r="HB8" s="4" t="str">
        <f t="shared" si="132"/>
        <v>отлично</v>
      </c>
    </row>
    <row r="9" spans="1:210" ht="77.25" customHeight="1" thickBot="1" x14ac:dyDescent="0.3">
      <c r="A9" s="21">
        <v>7</v>
      </c>
      <c r="B9" s="31" t="s">
        <v>16</v>
      </c>
      <c r="C9" s="3">
        <v>10</v>
      </c>
      <c r="D9" s="3">
        <v>10</v>
      </c>
      <c r="E9" s="8">
        <f t="shared" si="69"/>
        <v>1</v>
      </c>
      <c r="F9" s="12">
        <f t="shared" si="0"/>
        <v>81.651447442743759</v>
      </c>
      <c r="G9" s="3">
        <v>9</v>
      </c>
      <c r="H9" s="3">
        <v>8</v>
      </c>
      <c r="I9" s="12">
        <f t="shared" si="70"/>
        <v>0.88888888888888884</v>
      </c>
      <c r="J9" s="12">
        <f t="shared" si="1"/>
        <v>49.506971252267576</v>
      </c>
      <c r="K9" s="3">
        <v>7</v>
      </c>
      <c r="L9" s="3">
        <v>6</v>
      </c>
      <c r="M9" s="12">
        <f t="shared" si="71"/>
        <v>0.8571428571428571</v>
      </c>
      <c r="N9" s="12">
        <f t="shared" si="2"/>
        <v>25.362495061791382</v>
      </c>
      <c r="O9" s="3">
        <v>9</v>
      </c>
      <c r="P9" s="3">
        <v>9</v>
      </c>
      <c r="Q9" s="12">
        <f t="shared" si="72"/>
        <v>1</v>
      </c>
      <c r="R9" s="12">
        <f t="shared" si="3"/>
        <v>64.579209347505667</v>
      </c>
      <c r="S9" s="3">
        <v>9</v>
      </c>
      <c r="T9" s="3">
        <v>7</v>
      </c>
      <c r="U9" s="12">
        <f t="shared" si="73"/>
        <v>0.77777777777777779</v>
      </c>
      <c r="V9" s="12">
        <f t="shared" si="4"/>
        <v>36.434733157029477</v>
      </c>
      <c r="W9" s="3">
        <v>7</v>
      </c>
      <c r="X9" s="3">
        <v>7</v>
      </c>
      <c r="Y9" s="12">
        <f t="shared" si="74"/>
        <v>1</v>
      </c>
      <c r="Z9" s="12">
        <f t="shared" si="5"/>
        <v>36.434733157029477</v>
      </c>
      <c r="AA9" s="3">
        <v>9</v>
      </c>
      <c r="AB9" s="3">
        <v>9</v>
      </c>
      <c r="AC9" s="12">
        <f t="shared" si="75"/>
        <v>1</v>
      </c>
      <c r="AD9" s="12">
        <f t="shared" si="6"/>
        <v>64.579209347505667</v>
      </c>
      <c r="AE9" s="3">
        <v>9</v>
      </c>
      <c r="AF9" s="3">
        <v>9</v>
      </c>
      <c r="AG9" s="12">
        <f t="shared" si="76"/>
        <v>1</v>
      </c>
      <c r="AH9" s="12">
        <f t="shared" si="7"/>
        <v>64.579209347505667</v>
      </c>
      <c r="AI9" s="3">
        <v>9</v>
      </c>
      <c r="AJ9" s="3">
        <v>9</v>
      </c>
      <c r="AK9" s="12">
        <f t="shared" si="77"/>
        <v>1</v>
      </c>
      <c r="AL9" s="12">
        <f t="shared" si="8"/>
        <v>64.579209347505667</v>
      </c>
      <c r="AM9" s="3">
        <v>9</v>
      </c>
      <c r="AN9" s="3">
        <v>9</v>
      </c>
      <c r="AO9" s="12">
        <f t="shared" si="78"/>
        <v>1</v>
      </c>
      <c r="AP9" s="12">
        <f t="shared" si="9"/>
        <v>64.579209347505667</v>
      </c>
      <c r="AQ9" s="3">
        <v>10</v>
      </c>
      <c r="AR9" s="5">
        <v>10</v>
      </c>
      <c r="AS9" s="12">
        <f t="shared" si="79"/>
        <v>1</v>
      </c>
      <c r="AT9" s="12">
        <f t="shared" si="10"/>
        <v>81.651447442743759</v>
      </c>
      <c r="AU9" s="3">
        <v>9</v>
      </c>
      <c r="AV9" s="5">
        <v>9</v>
      </c>
      <c r="AW9" s="12">
        <f t="shared" si="80"/>
        <v>1</v>
      </c>
      <c r="AX9" s="12">
        <f t="shared" si="11"/>
        <v>64.579209347505667</v>
      </c>
      <c r="AY9" s="3">
        <v>9</v>
      </c>
      <c r="AZ9" s="3">
        <v>7</v>
      </c>
      <c r="BA9" s="12">
        <f t="shared" si="81"/>
        <v>0.77777777777777779</v>
      </c>
      <c r="BB9" s="12">
        <f t="shared" si="12"/>
        <v>36.434733157029477</v>
      </c>
      <c r="BC9" s="3">
        <v>10</v>
      </c>
      <c r="BD9" s="3">
        <v>8</v>
      </c>
      <c r="BE9" s="12">
        <f t="shared" si="82"/>
        <v>0.8</v>
      </c>
      <c r="BF9" s="12">
        <f t="shared" si="13"/>
        <v>49.506971252267576</v>
      </c>
      <c r="BG9" s="3">
        <v>9</v>
      </c>
      <c r="BH9" s="5">
        <v>8</v>
      </c>
      <c r="BI9" s="12">
        <f t="shared" si="83"/>
        <v>0.88888888888888884</v>
      </c>
      <c r="BJ9" s="12">
        <f t="shared" si="14"/>
        <v>49.506971252267576</v>
      </c>
      <c r="BK9" s="3">
        <v>8</v>
      </c>
      <c r="BL9" s="5">
        <v>8</v>
      </c>
      <c r="BM9" s="12">
        <f t="shared" si="84"/>
        <v>1</v>
      </c>
      <c r="BN9" s="12">
        <f t="shared" si="15"/>
        <v>49.506971252267576</v>
      </c>
      <c r="BO9" s="3">
        <v>9</v>
      </c>
      <c r="BP9" s="5">
        <v>9</v>
      </c>
      <c r="BQ9" s="12">
        <f t="shared" si="85"/>
        <v>1</v>
      </c>
      <c r="BR9" s="12">
        <f t="shared" si="16"/>
        <v>64.579209347505667</v>
      </c>
      <c r="BS9" s="3">
        <v>9</v>
      </c>
      <c r="BT9" s="3">
        <v>9</v>
      </c>
      <c r="BU9" s="12">
        <f t="shared" si="86"/>
        <v>1</v>
      </c>
      <c r="BV9" s="12">
        <f t="shared" si="17"/>
        <v>64.579209347505667</v>
      </c>
      <c r="BW9" s="3">
        <v>10</v>
      </c>
      <c r="BX9" s="5">
        <v>10</v>
      </c>
      <c r="BY9" s="12">
        <f t="shared" si="87"/>
        <v>1</v>
      </c>
      <c r="BZ9" s="12">
        <f t="shared" si="18"/>
        <v>81.651447442743759</v>
      </c>
      <c r="CA9" s="3">
        <v>9</v>
      </c>
      <c r="CB9" s="3">
        <v>9</v>
      </c>
      <c r="CC9" s="12">
        <f t="shared" si="88"/>
        <v>1</v>
      </c>
      <c r="CD9" s="12">
        <f t="shared" si="19"/>
        <v>64.579209347505667</v>
      </c>
      <c r="CE9" s="3">
        <v>8</v>
      </c>
      <c r="CF9" s="5">
        <v>7</v>
      </c>
      <c r="CG9" s="12">
        <f t="shared" si="89"/>
        <v>0.875</v>
      </c>
      <c r="CH9" s="12">
        <f t="shared" si="20"/>
        <v>36.434733157029477</v>
      </c>
      <c r="CI9" s="3">
        <v>10</v>
      </c>
      <c r="CJ9" s="5">
        <v>9</v>
      </c>
      <c r="CK9" s="12">
        <f t="shared" si="90"/>
        <v>0.9</v>
      </c>
      <c r="CL9" s="12">
        <f t="shared" si="21"/>
        <v>64.579209347505667</v>
      </c>
      <c r="CM9" s="3">
        <v>7</v>
      </c>
      <c r="CN9" s="5">
        <v>6</v>
      </c>
      <c r="CO9" s="12">
        <f t="shared" si="91"/>
        <v>0.8571428571428571</v>
      </c>
      <c r="CP9" s="12">
        <f t="shared" si="22"/>
        <v>25.362495061791382</v>
      </c>
      <c r="CQ9" s="3">
        <v>10</v>
      </c>
      <c r="CR9" s="3">
        <v>10</v>
      </c>
      <c r="CS9" s="12">
        <f t="shared" si="92"/>
        <v>1</v>
      </c>
      <c r="CT9" s="12">
        <f t="shared" si="23"/>
        <v>81.651447442743759</v>
      </c>
      <c r="CU9" s="3">
        <v>10</v>
      </c>
      <c r="CV9" s="3">
        <v>10</v>
      </c>
      <c r="CW9" s="12">
        <f t="shared" si="93"/>
        <v>1</v>
      </c>
      <c r="CX9" s="12">
        <f t="shared" si="94"/>
        <v>81.651447442743759</v>
      </c>
      <c r="CY9" s="3">
        <v>9</v>
      </c>
      <c r="CZ9" s="5">
        <v>9</v>
      </c>
      <c r="DA9" s="12">
        <f t="shared" si="95"/>
        <v>1</v>
      </c>
      <c r="DB9" s="12">
        <f t="shared" si="96"/>
        <v>64.579209347505667</v>
      </c>
      <c r="DC9" s="3">
        <v>9</v>
      </c>
      <c r="DD9" s="3">
        <v>9</v>
      </c>
      <c r="DE9" s="12">
        <f t="shared" si="97"/>
        <v>1</v>
      </c>
      <c r="DF9" s="12">
        <f t="shared" si="98"/>
        <v>64.579209347505667</v>
      </c>
      <c r="DG9" s="3">
        <v>9</v>
      </c>
      <c r="DH9" s="3">
        <v>9</v>
      </c>
      <c r="DI9" s="12">
        <f t="shared" si="99"/>
        <v>1</v>
      </c>
      <c r="DJ9" s="12">
        <f t="shared" si="100"/>
        <v>64.579209347505667</v>
      </c>
      <c r="DK9" s="3">
        <v>7</v>
      </c>
      <c r="DL9" s="3">
        <v>5</v>
      </c>
      <c r="DM9" s="12">
        <f t="shared" si="101"/>
        <v>0.7142857142857143</v>
      </c>
      <c r="DN9" s="12">
        <f t="shared" si="102"/>
        <v>16.290256966553287</v>
      </c>
      <c r="DO9" s="3">
        <v>10</v>
      </c>
      <c r="DP9" s="5">
        <v>10</v>
      </c>
      <c r="DQ9" s="12">
        <f t="shared" si="103"/>
        <v>1</v>
      </c>
      <c r="DR9" s="12">
        <f t="shared" si="104"/>
        <v>81.651447442743759</v>
      </c>
      <c r="DS9" s="3">
        <v>10</v>
      </c>
      <c r="DT9" s="3">
        <v>10</v>
      </c>
      <c r="DU9" s="12">
        <f t="shared" si="105"/>
        <v>1</v>
      </c>
      <c r="DV9" s="12">
        <f t="shared" si="106"/>
        <v>81.651447442743759</v>
      </c>
      <c r="DW9" s="3">
        <v>10</v>
      </c>
      <c r="DX9" s="3">
        <v>10</v>
      </c>
      <c r="DY9" s="12">
        <f t="shared" si="107"/>
        <v>1</v>
      </c>
      <c r="DZ9" s="12">
        <f t="shared" si="108"/>
        <v>81.651447442743759</v>
      </c>
      <c r="EA9" s="3">
        <v>9</v>
      </c>
      <c r="EB9" s="3">
        <v>9</v>
      </c>
      <c r="EC9" s="12">
        <f t="shared" si="32"/>
        <v>1</v>
      </c>
      <c r="ED9" s="12">
        <f t="shared" si="33"/>
        <v>64.579209347505667</v>
      </c>
      <c r="EE9" s="3">
        <v>9</v>
      </c>
      <c r="EF9" s="3">
        <v>9</v>
      </c>
      <c r="EG9" s="12">
        <f t="shared" si="34"/>
        <v>1</v>
      </c>
      <c r="EH9" s="12">
        <f t="shared" si="35"/>
        <v>64.579209347505667</v>
      </c>
      <c r="EI9" s="3">
        <v>10</v>
      </c>
      <c r="EJ9" s="3">
        <v>10</v>
      </c>
      <c r="EK9" s="12">
        <f t="shared" si="36"/>
        <v>1</v>
      </c>
      <c r="EL9" s="12">
        <f t="shared" si="37"/>
        <v>81.651447442743759</v>
      </c>
      <c r="EM9" s="3">
        <v>10</v>
      </c>
      <c r="EN9" s="3">
        <v>10</v>
      </c>
      <c r="EO9" s="12">
        <f t="shared" si="38"/>
        <v>1</v>
      </c>
      <c r="EP9" s="12">
        <f t="shared" si="39"/>
        <v>81.651447442743759</v>
      </c>
      <c r="EQ9" s="3">
        <v>10</v>
      </c>
      <c r="ER9" s="3">
        <v>10</v>
      </c>
      <c r="ES9" s="12">
        <f t="shared" si="40"/>
        <v>1</v>
      </c>
      <c r="ET9" s="12">
        <f t="shared" si="41"/>
        <v>81.651447442743759</v>
      </c>
      <c r="EU9" s="3">
        <v>9</v>
      </c>
      <c r="EV9" s="3">
        <v>9</v>
      </c>
      <c r="EW9" s="12">
        <f t="shared" si="42"/>
        <v>1</v>
      </c>
      <c r="EX9" s="12">
        <f t="shared" si="43"/>
        <v>64.579209347505667</v>
      </c>
      <c r="EY9" s="3">
        <v>10</v>
      </c>
      <c r="EZ9" s="3">
        <v>10</v>
      </c>
      <c r="FA9" s="12">
        <f t="shared" si="44"/>
        <v>1</v>
      </c>
      <c r="FB9" s="12">
        <f t="shared" si="45"/>
        <v>81.651447442743759</v>
      </c>
      <c r="FC9" s="3">
        <v>9</v>
      </c>
      <c r="FD9" s="3">
        <v>9</v>
      </c>
      <c r="FE9" s="12">
        <f t="shared" si="46"/>
        <v>1</v>
      </c>
      <c r="FF9" s="12">
        <f t="shared" si="47"/>
        <v>64.579209347505667</v>
      </c>
      <c r="FG9" s="3">
        <v>10</v>
      </c>
      <c r="FH9" s="3">
        <v>10</v>
      </c>
      <c r="FI9" s="12">
        <f t="shared" si="48"/>
        <v>1</v>
      </c>
      <c r="FJ9" s="12">
        <f t="shared" si="49"/>
        <v>81.651447442743759</v>
      </c>
      <c r="FK9" s="3">
        <v>8</v>
      </c>
      <c r="FL9" s="3">
        <v>8</v>
      </c>
      <c r="FM9" s="12">
        <f t="shared" si="109"/>
        <v>1</v>
      </c>
      <c r="FN9" s="12">
        <f t="shared" si="110"/>
        <v>49.506971252267576</v>
      </c>
      <c r="FO9" s="3">
        <v>10</v>
      </c>
      <c r="FP9" s="3">
        <v>10</v>
      </c>
      <c r="FQ9" s="12">
        <f t="shared" si="111"/>
        <v>1</v>
      </c>
      <c r="FR9" s="12">
        <f t="shared" si="112"/>
        <v>81.651447442743759</v>
      </c>
      <c r="FS9" s="3">
        <v>8</v>
      </c>
      <c r="FT9" s="3">
        <v>8</v>
      </c>
      <c r="FU9" s="12">
        <f t="shared" si="113"/>
        <v>1</v>
      </c>
      <c r="FV9" s="12">
        <f t="shared" si="114"/>
        <v>49.506971252267576</v>
      </c>
      <c r="FW9" s="3">
        <v>9</v>
      </c>
      <c r="FX9" s="3">
        <v>9</v>
      </c>
      <c r="FY9" s="12">
        <f t="shared" si="115"/>
        <v>1</v>
      </c>
      <c r="FZ9" s="12">
        <f t="shared" si="116"/>
        <v>64.579209347505667</v>
      </c>
      <c r="GA9" s="3">
        <v>9</v>
      </c>
      <c r="GB9" s="3">
        <v>9</v>
      </c>
      <c r="GC9" s="12">
        <f t="shared" si="117"/>
        <v>1</v>
      </c>
      <c r="GD9" s="12">
        <f t="shared" si="118"/>
        <v>64.579209347505667</v>
      </c>
      <c r="GE9" s="3">
        <v>10</v>
      </c>
      <c r="GF9" s="3">
        <v>10</v>
      </c>
      <c r="GG9" s="12">
        <f t="shared" si="119"/>
        <v>1</v>
      </c>
      <c r="GH9" s="12">
        <f t="shared" si="120"/>
        <v>81.651447442743759</v>
      </c>
      <c r="GI9" s="3">
        <v>7</v>
      </c>
      <c r="GJ9" s="3">
        <v>6</v>
      </c>
      <c r="GK9" s="12">
        <f t="shared" si="121"/>
        <v>0.8571428571428571</v>
      </c>
      <c r="GL9" s="12">
        <f t="shared" si="122"/>
        <v>25.362495061791382</v>
      </c>
      <c r="GM9" s="3">
        <v>10</v>
      </c>
      <c r="GN9" s="3">
        <v>10</v>
      </c>
      <c r="GO9" s="12">
        <f t="shared" si="123"/>
        <v>1</v>
      </c>
      <c r="GP9" s="12">
        <f t="shared" si="124"/>
        <v>81.651447442743759</v>
      </c>
      <c r="GQ9" s="3">
        <v>10</v>
      </c>
      <c r="GR9" s="5">
        <v>10</v>
      </c>
      <c r="GS9" s="12">
        <f t="shared" si="125"/>
        <v>1</v>
      </c>
      <c r="GT9" s="12">
        <f t="shared" si="126"/>
        <v>81.651447442743759</v>
      </c>
      <c r="GU9" s="4">
        <f t="shared" si="127"/>
        <v>50</v>
      </c>
      <c r="GV9" s="15">
        <f t="shared" si="128"/>
        <v>96.388095238095232</v>
      </c>
      <c r="GW9" s="15">
        <f t="shared" si="129"/>
        <v>0.96388095238095228</v>
      </c>
      <c r="GX9" s="15">
        <f t="shared" si="68"/>
        <v>7.0479273716734063</v>
      </c>
      <c r="GY9" s="16">
        <f t="shared" si="130"/>
        <v>96.388095238095232</v>
      </c>
      <c r="GZ9" s="17" t="s">
        <v>3</v>
      </c>
      <c r="HA9" s="24">
        <f t="shared" si="131"/>
        <v>7.0479273716734063</v>
      </c>
      <c r="HB9" s="4" t="str">
        <f t="shared" si="132"/>
        <v>отлично</v>
      </c>
    </row>
    <row r="10" spans="1:210" ht="85.5" customHeight="1" thickBot="1" x14ac:dyDescent="0.3">
      <c r="A10" s="21">
        <v>8</v>
      </c>
      <c r="B10" s="31" t="s">
        <v>17</v>
      </c>
      <c r="C10" s="3">
        <v>9</v>
      </c>
      <c r="D10" s="3">
        <v>9</v>
      </c>
      <c r="E10" s="8">
        <f t="shared" si="69"/>
        <v>1</v>
      </c>
      <c r="F10" s="12">
        <f t="shared" si="0"/>
        <v>64.477713531431093</v>
      </c>
      <c r="G10" s="3">
        <v>9</v>
      </c>
      <c r="H10" s="3">
        <v>9</v>
      </c>
      <c r="I10" s="12">
        <f t="shared" si="70"/>
        <v>1</v>
      </c>
      <c r="J10" s="12">
        <f t="shared" si="1"/>
        <v>64.477713531431093</v>
      </c>
      <c r="K10" s="3">
        <v>8</v>
      </c>
      <c r="L10" s="3">
        <v>7</v>
      </c>
      <c r="M10" s="12">
        <f t="shared" si="71"/>
        <v>0.875</v>
      </c>
      <c r="N10" s="12">
        <f t="shared" si="2"/>
        <v>36.358507182224749</v>
      </c>
      <c r="O10" s="3">
        <v>10</v>
      </c>
      <c r="P10" s="3">
        <v>10</v>
      </c>
      <c r="Q10" s="12">
        <f t="shared" si="72"/>
        <v>1</v>
      </c>
      <c r="R10" s="12">
        <f t="shared" si="3"/>
        <v>81.537316706034275</v>
      </c>
      <c r="S10" s="3">
        <v>8</v>
      </c>
      <c r="T10" s="3">
        <v>7</v>
      </c>
      <c r="U10" s="12">
        <f t="shared" si="73"/>
        <v>0.875</v>
      </c>
      <c r="V10" s="12">
        <f t="shared" si="4"/>
        <v>36.358507182224749</v>
      </c>
      <c r="W10" s="3">
        <v>6</v>
      </c>
      <c r="X10" s="3">
        <v>6</v>
      </c>
      <c r="Y10" s="12">
        <f t="shared" si="74"/>
        <v>1</v>
      </c>
      <c r="Z10" s="12">
        <f t="shared" si="5"/>
        <v>25.298904007621573</v>
      </c>
      <c r="AA10" s="3">
        <v>8</v>
      </c>
      <c r="AB10" s="3">
        <v>6</v>
      </c>
      <c r="AC10" s="12">
        <f t="shared" si="75"/>
        <v>0.75</v>
      </c>
      <c r="AD10" s="12">
        <f t="shared" si="6"/>
        <v>25.298904007621573</v>
      </c>
      <c r="AE10" s="3">
        <v>10</v>
      </c>
      <c r="AF10" s="3">
        <v>10</v>
      </c>
      <c r="AG10" s="12">
        <f t="shared" si="76"/>
        <v>1</v>
      </c>
      <c r="AH10" s="12">
        <f t="shared" si="7"/>
        <v>81.537316706034275</v>
      </c>
      <c r="AI10" s="3">
        <v>8</v>
      </c>
      <c r="AJ10" s="3">
        <v>8</v>
      </c>
      <c r="AK10" s="12">
        <f t="shared" si="77"/>
        <v>1</v>
      </c>
      <c r="AL10" s="12">
        <f t="shared" si="8"/>
        <v>49.418110356827924</v>
      </c>
      <c r="AM10" s="3">
        <v>9</v>
      </c>
      <c r="AN10" s="3">
        <v>9</v>
      </c>
      <c r="AO10" s="12">
        <f t="shared" si="78"/>
        <v>1</v>
      </c>
      <c r="AP10" s="12">
        <f t="shared" si="9"/>
        <v>64.477713531431093</v>
      </c>
      <c r="AQ10" s="3">
        <v>8</v>
      </c>
      <c r="AR10" s="5">
        <v>8</v>
      </c>
      <c r="AS10" s="12">
        <f t="shared" si="79"/>
        <v>1</v>
      </c>
      <c r="AT10" s="12">
        <f t="shared" si="10"/>
        <v>49.418110356827924</v>
      </c>
      <c r="AU10" s="3">
        <v>9</v>
      </c>
      <c r="AV10" s="5">
        <v>9</v>
      </c>
      <c r="AW10" s="12">
        <f t="shared" si="80"/>
        <v>1</v>
      </c>
      <c r="AX10" s="12">
        <f t="shared" si="11"/>
        <v>64.477713531431093</v>
      </c>
      <c r="AY10" s="3">
        <v>9</v>
      </c>
      <c r="AZ10" s="3">
        <v>7</v>
      </c>
      <c r="BA10" s="12">
        <f t="shared" si="81"/>
        <v>0.77777777777777779</v>
      </c>
      <c r="BB10" s="12">
        <f t="shared" si="12"/>
        <v>36.358507182224749</v>
      </c>
      <c r="BC10" s="3">
        <v>10</v>
      </c>
      <c r="BD10" s="3">
        <v>8</v>
      </c>
      <c r="BE10" s="12">
        <f t="shared" si="82"/>
        <v>0.8</v>
      </c>
      <c r="BF10" s="12">
        <f t="shared" si="13"/>
        <v>49.418110356827924</v>
      </c>
      <c r="BG10" s="3">
        <v>9</v>
      </c>
      <c r="BH10" s="5">
        <v>9</v>
      </c>
      <c r="BI10" s="12">
        <f t="shared" si="83"/>
        <v>1</v>
      </c>
      <c r="BJ10" s="12">
        <f t="shared" si="14"/>
        <v>64.477713531431093</v>
      </c>
      <c r="BK10" s="3">
        <v>8</v>
      </c>
      <c r="BL10" s="5">
        <v>8</v>
      </c>
      <c r="BM10" s="12">
        <f t="shared" si="84"/>
        <v>1</v>
      </c>
      <c r="BN10" s="12">
        <f t="shared" si="15"/>
        <v>49.418110356827924</v>
      </c>
      <c r="BO10" s="3">
        <v>8</v>
      </c>
      <c r="BP10" s="5">
        <v>8</v>
      </c>
      <c r="BQ10" s="12">
        <f t="shared" si="85"/>
        <v>1</v>
      </c>
      <c r="BR10" s="12">
        <f t="shared" si="16"/>
        <v>49.418110356827924</v>
      </c>
      <c r="BS10" s="3">
        <v>9</v>
      </c>
      <c r="BT10" s="3">
        <v>9</v>
      </c>
      <c r="BU10" s="12">
        <f t="shared" si="86"/>
        <v>1</v>
      </c>
      <c r="BV10" s="12">
        <f t="shared" si="17"/>
        <v>64.477713531431093</v>
      </c>
      <c r="BW10" s="3">
        <v>9</v>
      </c>
      <c r="BX10" s="5">
        <v>9</v>
      </c>
      <c r="BY10" s="12">
        <f t="shared" si="87"/>
        <v>1</v>
      </c>
      <c r="BZ10" s="12">
        <f t="shared" si="18"/>
        <v>64.477713531431093</v>
      </c>
      <c r="CA10" s="3">
        <v>10</v>
      </c>
      <c r="CB10" s="3">
        <v>9</v>
      </c>
      <c r="CC10" s="12">
        <f t="shared" si="88"/>
        <v>0.9</v>
      </c>
      <c r="CD10" s="12">
        <f t="shared" si="19"/>
        <v>64.477713531431093</v>
      </c>
      <c r="CE10" s="3">
        <v>8</v>
      </c>
      <c r="CF10" s="5">
        <v>7</v>
      </c>
      <c r="CG10" s="12">
        <f t="shared" si="89"/>
        <v>0.875</v>
      </c>
      <c r="CH10" s="12">
        <f t="shared" si="20"/>
        <v>36.358507182224749</v>
      </c>
      <c r="CI10" s="3">
        <v>10</v>
      </c>
      <c r="CJ10" s="5">
        <v>8</v>
      </c>
      <c r="CK10" s="12">
        <f t="shared" si="90"/>
        <v>0.8</v>
      </c>
      <c r="CL10" s="12">
        <f t="shared" si="21"/>
        <v>49.418110356827924</v>
      </c>
      <c r="CM10" s="3">
        <v>7</v>
      </c>
      <c r="CN10" s="5">
        <v>6</v>
      </c>
      <c r="CO10" s="12">
        <f t="shared" si="91"/>
        <v>0.8571428571428571</v>
      </c>
      <c r="CP10" s="12">
        <f t="shared" si="22"/>
        <v>25.298904007621573</v>
      </c>
      <c r="CQ10" s="3">
        <v>10</v>
      </c>
      <c r="CR10" s="3">
        <v>10</v>
      </c>
      <c r="CS10" s="12">
        <f t="shared" si="92"/>
        <v>1</v>
      </c>
      <c r="CT10" s="12">
        <f t="shared" si="23"/>
        <v>81.537316706034275</v>
      </c>
      <c r="CU10" s="3">
        <v>9</v>
      </c>
      <c r="CV10" s="3">
        <v>9</v>
      </c>
      <c r="CW10" s="12">
        <f t="shared" si="93"/>
        <v>1</v>
      </c>
      <c r="CX10" s="12">
        <f t="shared" si="94"/>
        <v>64.477713531431093</v>
      </c>
      <c r="CY10" s="3">
        <v>9</v>
      </c>
      <c r="CZ10" s="5">
        <v>9</v>
      </c>
      <c r="DA10" s="12">
        <f t="shared" si="95"/>
        <v>1</v>
      </c>
      <c r="DB10" s="12">
        <f t="shared" si="96"/>
        <v>64.477713531431093</v>
      </c>
      <c r="DC10" s="3">
        <v>8</v>
      </c>
      <c r="DD10" s="3">
        <v>8</v>
      </c>
      <c r="DE10" s="12">
        <f t="shared" si="97"/>
        <v>1</v>
      </c>
      <c r="DF10" s="12">
        <f t="shared" si="98"/>
        <v>49.418110356827924</v>
      </c>
      <c r="DG10" s="3">
        <v>9</v>
      </c>
      <c r="DH10" s="3">
        <v>9</v>
      </c>
      <c r="DI10" s="12">
        <f t="shared" si="99"/>
        <v>1</v>
      </c>
      <c r="DJ10" s="12">
        <f t="shared" si="100"/>
        <v>64.477713531431093</v>
      </c>
      <c r="DK10" s="3">
        <v>6</v>
      </c>
      <c r="DL10" s="3">
        <v>6</v>
      </c>
      <c r="DM10" s="12">
        <f t="shared" si="101"/>
        <v>1</v>
      </c>
      <c r="DN10" s="12">
        <f t="shared" si="102"/>
        <v>25.298904007621573</v>
      </c>
      <c r="DO10" s="3">
        <v>10</v>
      </c>
      <c r="DP10" s="5">
        <v>10</v>
      </c>
      <c r="DQ10" s="12">
        <f t="shared" si="103"/>
        <v>1</v>
      </c>
      <c r="DR10" s="12">
        <f t="shared" si="104"/>
        <v>81.537316706034275</v>
      </c>
      <c r="DS10" s="3">
        <v>10</v>
      </c>
      <c r="DT10" s="3">
        <v>10</v>
      </c>
      <c r="DU10" s="12">
        <f t="shared" si="105"/>
        <v>1</v>
      </c>
      <c r="DV10" s="12">
        <f t="shared" si="106"/>
        <v>81.537316706034275</v>
      </c>
      <c r="DW10" s="3">
        <v>10</v>
      </c>
      <c r="DX10" s="3">
        <v>10</v>
      </c>
      <c r="DY10" s="12">
        <f t="shared" si="107"/>
        <v>1</v>
      </c>
      <c r="DZ10" s="12">
        <f t="shared" si="108"/>
        <v>81.537316706034275</v>
      </c>
      <c r="EA10" s="3">
        <v>9</v>
      </c>
      <c r="EB10" s="3">
        <v>9</v>
      </c>
      <c r="EC10" s="12">
        <f t="shared" si="32"/>
        <v>1</v>
      </c>
      <c r="ED10" s="12">
        <f t="shared" si="33"/>
        <v>64.477713531431093</v>
      </c>
      <c r="EE10" s="3">
        <v>10</v>
      </c>
      <c r="EF10" s="3">
        <v>10</v>
      </c>
      <c r="EG10" s="12">
        <f t="shared" si="34"/>
        <v>1</v>
      </c>
      <c r="EH10" s="12">
        <f t="shared" si="35"/>
        <v>81.537316706034275</v>
      </c>
      <c r="EI10" s="3">
        <v>10</v>
      </c>
      <c r="EJ10" s="3">
        <v>10</v>
      </c>
      <c r="EK10" s="12">
        <f t="shared" si="36"/>
        <v>1</v>
      </c>
      <c r="EL10" s="12">
        <f t="shared" si="37"/>
        <v>81.537316706034275</v>
      </c>
      <c r="EM10" s="3">
        <v>10</v>
      </c>
      <c r="EN10" s="3">
        <v>10</v>
      </c>
      <c r="EO10" s="12">
        <f t="shared" si="38"/>
        <v>1</v>
      </c>
      <c r="EP10" s="12">
        <f t="shared" si="39"/>
        <v>81.537316706034275</v>
      </c>
      <c r="EQ10" s="3">
        <v>9</v>
      </c>
      <c r="ER10" s="3">
        <v>9</v>
      </c>
      <c r="ES10" s="12">
        <f t="shared" si="40"/>
        <v>1</v>
      </c>
      <c r="ET10" s="12">
        <f t="shared" si="41"/>
        <v>64.477713531431093</v>
      </c>
      <c r="EU10" s="3">
        <v>7</v>
      </c>
      <c r="EV10" s="3">
        <v>7</v>
      </c>
      <c r="EW10" s="12">
        <f t="shared" si="42"/>
        <v>1</v>
      </c>
      <c r="EX10" s="12">
        <f t="shared" si="43"/>
        <v>36.358507182224749</v>
      </c>
      <c r="EY10" s="3">
        <v>9</v>
      </c>
      <c r="EZ10" s="3">
        <v>9</v>
      </c>
      <c r="FA10" s="12">
        <f t="shared" si="44"/>
        <v>1</v>
      </c>
      <c r="FB10" s="12">
        <f t="shared" si="45"/>
        <v>64.477713531431093</v>
      </c>
      <c r="FC10" s="3">
        <v>9</v>
      </c>
      <c r="FD10" s="3">
        <v>9</v>
      </c>
      <c r="FE10" s="12">
        <f t="shared" si="46"/>
        <v>1</v>
      </c>
      <c r="FF10" s="12">
        <f t="shared" si="47"/>
        <v>64.477713531431093</v>
      </c>
      <c r="FG10" s="3">
        <v>9</v>
      </c>
      <c r="FH10" s="3">
        <v>9</v>
      </c>
      <c r="FI10" s="12">
        <f t="shared" si="48"/>
        <v>1</v>
      </c>
      <c r="FJ10" s="12">
        <f t="shared" si="49"/>
        <v>64.477713531431093</v>
      </c>
      <c r="FK10" s="3">
        <v>10</v>
      </c>
      <c r="FL10" s="3">
        <v>10</v>
      </c>
      <c r="FM10" s="12">
        <f t="shared" si="109"/>
        <v>1</v>
      </c>
      <c r="FN10" s="12">
        <f t="shared" si="110"/>
        <v>81.537316706034275</v>
      </c>
      <c r="FO10" s="3">
        <v>10</v>
      </c>
      <c r="FP10" s="3">
        <v>10</v>
      </c>
      <c r="FQ10" s="12">
        <f t="shared" si="111"/>
        <v>1</v>
      </c>
      <c r="FR10" s="12">
        <f t="shared" si="112"/>
        <v>81.537316706034275</v>
      </c>
      <c r="FS10" s="3">
        <v>8</v>
      </c>
      <c r="FT10" s="3">
        <v>8</v>
      </c>
      <c r="FU10" s="12">
        <f t="shared" si="113"/>
        <v>1</v>
      </c>
      <c r="FV10" s="12">
        <f t="shared" si="114"/>
        <v>49.418110356827924</v>
      </c>
      <c r="FW10" s="3">
        <v>9</v>
      </c>
      <c r="FX10" s="3">
        <v>9</v>
      </c>
      <c r="FY10" s="12">
        <f t="shared" si="115"/>
        <v>1</v>
      </c>
      <c r="FZ10" s="12">
        <f t="shared" si="116"/>
        <v>64.477713531431093</v>
      </c>
      <c r="GA10" s="3">
        <v>9</v>
      </c>
      <c r="GB10" s="3">
        <v>9</v>
      </c>
      <c r="GC10" s="12">
        <f t="shared" si="117"/>
        <v>1</v>
      </c>
      <c r="GD10" s="12">
        <f t="shared" si="118"/>
        <v>64.477713531431093</v>
      </c>
      <c r="GE10" s="3">
        <v>10</v>
      </c>
      <c r="GF10" s="3">
        <v>10</v>
      </c>
      <c r="GG10" s="12">
        <f t="shared" si="119"/>
        <v>1</v>
      </c>
      <c r="GH10" s="12">
        <f t="shared" si="120"/>
        <v>81.537316706034275</v>
      </c>
      <c r="GI10" s="3">
        <v>9</v>
      </c>
      <c r="GJ10" s="3">
        <v>9</v>
      </c>
      <c r="GK10" s="12">
        <f t="shared" si="121"/>
        <v>1</v>
      </c>
      <c r="GL10" s="12">
        <f t="shared" si="122"/>
        <v>64.477713531431093</v>
      </c>
      <c r="GM10" s="3">
        <v>9</v>
      </c>
      <c r="GN10" s="3">
        <v>9</v>
      </c>
      <c r="GO10" s="12">
        <f t="shared" si="123"/>
        <v>1</v>
      </c>
      <c r="GP10" s="12">
        <f t="shared" si="124"/>
        <v>64.477713531431093</v>
      </c>
      <c r="GQ10" s="3">
        <v>10</v>
      </c>
      <c r="GR10" s="5">
        <v>10</v>
      </c>
      <c r="GS10" s="12">
        <f t="shared" si="125"/>
        <v>1</v>
      </c>
      <c r="GT10" s="12">
        <f t="shared" si="126"/>
        <v>81.537316706034275</v>
      </c>
      <c r="GU10" s="4">
        <f t="shared" si="127"/>
        <v>50</v>
      </c>
      <c r="GV10" s="15">
        <f t="shared" si="128"/>
        <v>97.019841269841265</v>
      </c>
      <c r="GW10" s="15">
        <f t="shared" si="129"/>
        <v>0.97019841269841267</v>
      </c>
      <c r="GX10" s="15">
        <f t="shared" si="68"/>
        <v>6.9634953832767312</v>
      </c>
      <c r="GY10" s="16">
        <f t="shared" si="130"/>
        <v>97.019841269841265</v>
      </c>
      <c r="GZ10" s="17" t="s">
        <v>3</v>
      </c>
      <c r="HA10" s="24">
        <f t="shared" si="131"/>
        <v>6.9634953832767312</v>
      </c>
      <c r="HB10" s="4" t="str">
        <f t="shared" si="132"/>
        <v>отлично</v>
      </c>
    </row>
    <row r="11" spans="1:210" ht="48" customHeight="1" thickBot="1" x14ac:dyDescent="0.3">
      <c r="A11" s="21">
        <v>9</v>
      </c>
      <c r="B11" s="31" t="s">
        <v>18</v>
      </c>
      <c r="C11" s="3">
        <v>10</v>
      </c>
      <c r="D11" s="3">
        <v>10</v>
      </c>
      <c r="E11" s="8">
        <f t="shared" si="69"/>
        <v>1</v>
      </c>
      <c r="F11" s="12">
        <f t="shared" si="0"/>
        <v>81.201124694444431</v>
      </c>
      <c r="G11" s="3">
        <v>10</v>
      </c>
      <c r="H11" s="3">
        <v>10</v>
      </c>
      <c r="I11" s="12">
        <f t="shared" si="70"/>
        <v>1</v>
      </c>
      <c r="J11" s="12">
        <f t="shared" si="1"/>
        <v>81.201124694444431</v>
      </c>
      <c r="K11" s="3">
        <v>7</v>
      </c>
      <c r="L11" s="3">
        <v>7</v>
      </c>
      <c r="M11" s="12">
        <f t="shared" si="71"/>
        <v>1</v>
      </c>
      <c r="N11" s="12">
        <f t="shared" si="2"/>
        <v>36.134124694444438</v>
      </c>
      <c r="O11" s="3">
        <v>9</v>
      </c>
      <c r="P11" s="3">
        <v>9</v>
      </c>
      <c r="Q11" s="12">
        <f t="shared" si="72"/>
        <v>1</v>
      </c>
      <c r="R11" s="12">
        <f t="shared" si="3"/>
        <v>64.178791361111095</v>
      </c>
      <c r="S11" s="3">
        <v>9</v>
      </c>
      <c r="T11" s="3">
        <v>8</v>
      </c>
      <c r="U11" s="12">
        <f t="shared" si="73"/>
        <v>0.88888888888888884</v>
      </c>
      <c r="V11" s="12">
        <f t="shared" si="4"/>
        <v>49.156458027777767</v>
      </c>
      <c r="W11" s="3">
        <v>8</v>
      </c>
      <c r="X11" s="3">
        <v>8</v>
      </c>
      <c r="Y11" s="12">
        <f t="shared" si="74"/>
        <v>1</v>
      </c>
      <c r="Z11" s="12">
        <f t="shared" si="5"/>
        <v>49.156458027777767</v>
      </c>
      <c r="AA11" s="3">
        <v>10</v>
      </c>
      <c r="AB11" s="3">
        <v>10</v>
      </c>
      <c r="AC11" s="12">
        <f t="shared" si="75"/>
        <v>1</v>
      </c>
      <c r="AD11" s="12">
        <f t="shared" si="6"/>
        <v>81.201124694444431</v>
      </c>
      <c r="AE11" s="3">
        <v>10</v>
      </c>
      <c r="AF11" s="3">
        <v>10</v>
      </c>
      <c r="AG11" s="12">
        <f t="shared" si="76"/>
        <v>1</v>
      </c>
      <c r="AH11" s="12">
        <f t="shared" si="7"/>
        <v>81.201124694444431</v>
      </c>
      <c r="AI11" s="3">
        <v>8</v>
      </c>
      <c r="AJ11" s="3">
        <v>8</v>
      </c>
      <c r="AK11" s="12">
        <f t="shared" si="77"/>
        <v>1</v>
      </c>
      <c r="AL11" s="12">
        <f t="shared" si="8"/>
        <v>49.156458027777767</v>
      </c>
      <c r="AM11" s="3">
        <v>10</v>
      </c>
      <c r="AN11" s="3">
        <v>10</v>
      </c>
      <c r="AO11" s="12">
        <f t="shared" si="78"/>
        <v>1</v>
      </c>
      <c r="AP11" s="12">
        <f t="shared" si="9"/>
        <v>81.201124694444431</v>
      </c>
      <c r="AQ11" s="3">
        <v>9</v>
      </c>
      <c r="AR11" s="5">
        <v>9</v>
      </c>
      <c r="AS11" s="12">
        <f t="shared" si="79"/>
        <v>1</v>
      </c>
      <c r="AT11" s="12">
        <f t="shared" si="10"/>
        <v>64.178791361111095</v>
      </c>
      <c r="AU11" s="3">
        <v>7</v>
      </c>
      <c r="AV11" s="5">
        <v>7</v>
      </c>
      <c r="AW11" s="12">
        <f t="shared" si="80"/>
        <v>1</v>
      </c>
      <c r="AX11" s="12">
        <f t="shared" si="11"/>
        <v>36.134124694444438</v>
      </c>
      <c r="AY11" s="3">
        <v>9</v>
      </c>
      <c r="AZ11" s="3">
        <v>9</v>
      </c>
      <c r="BA11" s="12">
        <f t="shared" si="81"/>
        <v>1</v>
      </c>
      <c r="BB11" s="12">
        <f t="shared" si="12"/>
        <v>64.178791361111095</v>
      </c>
      <c r="BC11" s="3">
        <v>9</v>
      </c>
      <c r="BD11" s="3">
        <v>9</v>
      </c>
      <c r="BE11" s="12">
        <f t="shared" si="82"/>
        <v>1</v>
      </c>
      <c r="BF11" s="12">
        <f t="shared" si="13"/>
        <v>64.178791361111095</v>
      </c>
      <c r="BG11" s="3">
        <v>9</v>
      </c>
      <c r="BH11" s="5">
        <v>8</v>
      </c>
      <c r="BI11" s="12">
        <f t="shared" si="83"/>
        <v>0.88888888888888884</v>
      </c>
      <c r="BJ11" s="12">
        <f t="shared" si="14"/>
        <v>49.156458027777767</v>
      </c>
      <c r="BK11" s="3">
        <v>9</v>
      </c>
      <c r="BL11" s="5">
        <v>9</v>
      </c>
      <c r="BM11" s="12">
        <f t="shared" si="84"/>
        <v>1</v>
      </c>
      <c r="BN11" s="12">
        <f t="shared" si="15"/>
        <v>64.178791361111095</v>
      </c>
      <c r="BO11" s="3">
        <v>7</v>
      </c>
      <c r="BP11" s="5">
        <v>7</v>
      </c>
      <c r="BQ11" s="12">
        <f t="shared" si="85"/>
        <v>1</v>
      </c>
      <c r="BR11" s="12">
        <f t="shared" si="16"/>
        <v>36.134124694444438</v>
      </c>
      <c r="BS11" s="3">
        <v>10</v>
      </c>
      <c r="BT11" s="3">
        <v>10</v>
      </c>
      <c r="BU11" s="12">
        <f t="shared" si="86"/>
        <v>1</v>
      </c>
      <c r="BV11" s="12">
        <f t="shared" si="17"/>
        <v>81.201124694444431</v>
      </c>
      <c r="BW11" s="3">
        <v>10</v>
      </c>
      <c r="BX11" s="5">
        <v>10</v>
      </c>
      <c r="BY11" s="12">
        <f t="shared" si="87"/>
        <v>1</v>
      </c>
      <c r="BZ11" s="12">
        <f t="shared" si="18"/>
        <v>81.201124694444431</v>
      </c>
      <c r="CA11" s="3">
        <v>8</v>
      </c>
      <c r="CB11" s="3">
        <v>8</v>
      </c>
      <c r="CC11" s="12">
        <f t="shared" si="88"/>
        <v>1</v>
      </c>
      <c r="CD11" s="12">
        <f t="shared" si="19"/>
        <v>49.156458027777767</v>
      </c>
      <c r="CE11" s="3">
        <v>8</v>
      </c>
      <c r="CF11" s="5">
        <v>8</v>
      </c>
      <c r="CG11" s="12">
        <f t="shared" si="89"/>
        <v>1</v>
      </c>
      <c r="CH11" s="12">
        <f t="shared" si="20"/>
        <v>49.156458027777767</v>
      </c>
      <c r="CI11" s="3">
        <v>9</v>
      </c>
      <c r="CJ11" s="5">
        <v>9</v>
      </c>
      <c r="CK11" s="12">
        <f t="shared" si="90"/>
        <v>1</v>
      </c>
      <c r="CL11" s="12">
        <f t="shared" si="21"/>
        <v>64.178791361111095</v>
      </c>
      <c r="CM11" s="3">
        <v>8</v>
      </c>
      <c r="CN11" s="5">
        <v>8</v>
      </c>
      <c r="CO11" s="12">
        <f t="shared" si="91"/>
        <v>1</v>
      </c>
      <c r="CP11" s="12">
        <f t="shared" si="22"/>
        <v>49.156458027777767</v>
      </c>
      <c r="CQ11" s="3">
        <v>6</v>
      </c>
      <c r="CR11" s="3">
        <v>6</v>
      </c>
      <c r="CS11" s="12">
        <f t="shared" si="92"/>
        <v>1</v>
      </c>
      <c r="CT11" s="12">
        <f t="shared" si="23"/>
        <v>25.111791361111106</v>
      </c>
      <c r="CU11" s="3">
        <v>8</v>
      </c>
      <c r="CV11" s="3">
        <v>8</v>
      </c>
      <c r="CW11" s="12">
        <f t="shared" si="93"/>
        <v>1</v>
      </c>
      <c r="CX11" s="12">
        <f t="shared" si="94"/>
        <v>49.156458027777767</v>
      </c>
      <c r="CY11" s="3">
        <v>9</v>
      </c>
      <c r="CZ11" s="5">
        <v>9</v>
      </c>
      <c r="DA11" s="12">
        <f t="shared" si="95"/>
        <v>1</v>
      </c>
      <c r="DB11" s="12">
        <f t="shared" si="96"/>
        <v>64.178791361111095</v>
      </c>
      <c r="DC11" s="3">
        <v>9</v>
      </c>
      <c r="DD11" s="3">
        <v>9</v>
      </c>
      <c r="DE11" s="12">
        <f t="shared" si="97"/>
        <v>1</v>
      </c>
      <c r="DF11" s="12">
        <f t="shared" si="98"/>
        <v>64.178791361111095</v>
      </c>
      <c r="DG11" s="3">
        <v>10</v>
      </c>
      <c r="DH11" s="3">
        <v>10</v>
      </c>
      <c r="DI11" s="12">
        <f t="shared" si="99"/>
        <v>1</v>
      </c>
      <c r="DJ11" s="12">
        <f t="shared" si="100"/>
        <v>81.201124694444431</v>
      </c>
      <c r="DK11" s="3">
        <v>7</v>
      </c>
      <c r="DL11" s="3">
        <v>7</v>
      </c>
      <c r="DM11" s="12">
        <f t="shared" si="101"/>
        <v>1</v>
      </c>
      <c r="DN11" s="12">
        <f t="shared" si="102"/>
        <v>36.134124694444438</v>
      </c>
      <c r="DO11" s="3">
        <v>8</v>
      </c>
      <c r="DP11" s="5">
        <v>7</v>
      </c>
      <c r="DQ11" s="12">
        <f t="shared" si="103"/>
        <v>0.875</v>
      </c>
      <c r="DR11" s="12">
        <f t="shared" si="104"/>
        <v>36.134124694444438</v>
      </c>
      <c r="DS11" s="3">
        <v>9</v>
      </c>
      <c r="DT11" s="3">
        <v>8</v>
      </c>
      <c r="DU11" s="12">
        <f t="shared" si="105"/>
        <v>0.88888888888888884</v>
      </c>
      <c r="DV11" s="12">
        <f t="shared" si="106"/>
        <v>49.156458027777767</v>
      </c>
      <c r="DW11" s="3">
        <v>10</v>
      </c>
      <c r="DX11" s="3">
        <v>10</v>
      </c>
      <c r="DY11" s="12">
        <f t="shared" si="107"/>
        <v>1</v>
      </c>
      <c r="DZ11" s="12">
        <f t="shared" si="108"/>
        <v>81.201124694444431</v>
      </c>
      <c r="EA11" s="3">
        <v>8</v>
      </c>
      <c r="EB11" s="3">
        <v>8</v>
      </c>
      <c r="EC11" s="12">
        <f t="shared" si="32"/>
        <v>1</v>
      </c>
      <c r="ED11" s="12">
        <f t="shared" si="33"/>
        <v>49.156458027777767</v>
      </c>
      <c r="EE11" s="3">
        <v>10</v>
      </c>
      <c r="EF11" s="3">
        <v>10</v>
      </c>
      <c r="EG11" s="12">
        <f t="shared" si="34"/>
        <v>1</v>
      </c>
      <c r="EH11" s="12">
        <f t="shared" si="35"/>
        <v>81.201124694444431</v>
      </c>
      <c r="EI11" s="3">
        <v>10</v>
      </c>
      <c r="EJ11" s="3">
        <v>10</v>
      </c>
      <c r="EK11" s="12">
        <f t="shared" si="36"/>
        <v>1</v>
      </c>
      <c r="EL11" s="12">
        <f t="shared" si="37"/>
        <v>81.201124694444431</v>
      </c>
      <c r="EM11" s="3">
        <v>10</v>
      </c>
      <c r="EN11" s="3">
        <v>9</v>
      </c>
      <c r="EO11" s="12">
        <f t="shared" si="38"/>
        <v>0.9</v>
      </c>
      <c r="EP11" s="12">
        <f t="shared" si="39"/>
        <v>64.178791361111095</v>
      </c>
      <c r="EQ11" s="3">
        <v>10</v>
      </c>
      <c r="ER11" s="3">
        <v>10</v>
      </c>
      <c r="ES11" s="12">
        <f t="shared" si="40"/>
        <v>1</v>
      </c>
      <c r="ET11" s="12">
        <f t="shared" si="41"/>
        <v>81.201124694444431</v>
      </c>
      <c r="EU11" s="3">
        <v>9</v>
      </c>
      <c r="EV11" s="3">
        <v>9</v>
      </c>
      <c r="EW11" s="12">
        <f t="shared" si="42"/>
        <v>1</v>
      </c>
      <c r="EX11" s="12">
        <f t="shared" si="43"/>
        <v>64.178791361111095</v>
      </c>
      <c r="EY11" s="3">
        <v>10</v>
      </c>
      <c r="EZ11" s="3">
        <v>10</v>
      </c>
      <c r="FA11" s="12">
        <f t="shared" si="44"/>
        <v>1</v>
      </c>
      <c r="FB11" s="12">
        <f t="shared" si="45"/>
        <v>81.201124694444431</v>
      </c>
      <c r="FC11" s="3">
        <v>10</v>
      </c>
      <c r="FD11" s="3">
        <v>10</v>
      </c>
      <c r="FE11" s="12">
        <f t="shared" si="46"/>
        <v>1</v>
      </c>
      <c r="FF11" s="12">
        <f t="shared" si="47"/>
        <v>81.201124694444431</v>
      </c>
      <c r="FG11" s="3">
        <v>10</v>
      </c>
      <c r="FH11" s="3">
        <v>10</v>
      </c>
      <c r="FI11" s="12">
        <f t="shared" si="48"/>
        <v>1</v>
      </c>
      <c r="FJ11" s="12">
        <f t="shared" si="49"/>
        <v>81.201124694444431</v>
      </c>
      <c r="FK11" s="3">
        <v>9</v>
      </c>
      <c r="FL11" s="3">
        <v>9</v>
      </c>
      <c r="FM11" s="12">
        <f t="shared" si="109"/>
        <v>1</v>
      </c>
      <c r="FN11" s="12">
        <f t="shared" si="110"/>
        <v>64.178791361111095</v>
      </c>
      <c r="FO11" s="3">
        <v>10</v>
      </c>
      <c r="FP11" s="3">
        <v>10</v>
      </c>
      <c r="FQ11" s="12">
        <f t="shared" si="111"/>
        <v>1</v>
      </c>
      <c r="FR11" s="12">
        <f t="shared" si="112"/>
        <v>81.201124694444431</v>
      </c>
      <c r="FS11" s="3">
        <v>10</v>
      </c>
      <c r="FT11" s="3">
        <v>10</v>
      </c>
      <c r="FU11" s="12">
        <f t="shared" si="113"/>
        <v>1</v>
      </c>
      <c r="FV11" s="12">
        <f t="shared" si="114"/>
        <v>81.201124694444431</v>
      </c>
      <c r="FW11" s="3">
        <v>9</v>
      </c>
      <c r="FX11" s="3">
        <v>9</v>
      </c>
      <c r="FY11" s="12">
        <f t="shared" si="115"/>
        <v>1</v>
      </c>
      <c r="FZ11" s="12">
        <f t="shared" si="116"/>
        <v>64.178791361111095</v>
      </c>
      <c r="GA11" s="3">
        <v>8</v>
      </c>
      <c r="GB11" s="3">
        <v>8</v>
      </c>
      <c r="GC11" s="12">
        <f t="shared" si="117"/>
        <v>1</v>
      </c>
      <c r="GD11" s="12">
        <f t="shared" si="118"/>
        <v>49.156458027777767</v>
      </c>
      <c r="GE11" s="3">
        <v>10</v>
      </c>
      <c r="GF11" s="3">
        <v>10</v>
      </c>
      <c r="GG11" s="12">
        <f t="shared" si="119"/>
        <v>1</v>
      </c>
      <c r="GH11" s="12">
        <f t="shared" si="120"/>
        <v>81.201124694444431</v>
      </c>
      <c r="GI11" s="3">
        <v>7</v>
      </c>
      <c r="GJ11" s="3">
        <v>7</v>
      </c>
      <c r="GK11" s="12">
        <f t="shared" si="121"/>
        <v>1</v>
      </c>
      <c r="GL11" s="12">
        <f t="shared" si="122"/>
        <v>36.134124694444438</v>
      </c>
      <c r="GM11" s="3">
        <v>9</v>
      </c>
      <c r="GN11" s="3">
        <v>9</v>
      </c>
      <c r="GO11" s="12">
        <f t="shared" si="123"/>
        <v>1</v>
      </c>
      <c r="GP11" s="12">
        <f t="shared" si="124"/>
        <v>64.178791361111095</v>
      </c>
      <c r="GQ11" s="3">
        <v>10</v>
      </c>
      <c r="GR11" s="5">
        <v>10</v>
      </c>
      <c r="GS11" s="12">
        <f t="shared" si="125"/>
        <v>1</v>
      </c>
      <c r="GT11" s="12">
        <f t="shared" si="126"/>
        <v>81.201124694444431</v>
      </c>
      <c r="GU11" s="4">
        <f t="shared" si="127"/>
        <v>50</v>
      </c>
      <c r="GV11" s="15">
        <f t="shared" si="128"/>
        <v>98.88333333333334</v>
      </c>
      <c r="GW11" s="15">
        <f t="shared" si="129"/>
        <v>0.98883333333333345</v>
      </c>
      <c r="GX11" s="15">
        <f t="shared" si="68"/>
        <v>7.0640816045761445</v>
      </c>
      <c r="GY11" s="19">
        <f t="shared" si="130"/>
        <v>98.88333333333334</v>
      </c>
      <c r="GZ11" s="20" t="s">
        <v>3</v>
      </c>
      <c r="HA11" s="25">
        <f t="shared" si="131"/>
        <v>7.0640816045761445</v>
      </c>
      <c r="HB11" s="4" t="str">
        <f t="shared" si="132"/>
        <v>отлично</v>
      </c>
    </row>
    <row r="12" spans="1:210" ht="15" hidden="1" customHeight="1" x14ac:dyDescent="0.25">
      <c r="B12" s="27" t="s">
        <v>7</v>
      </c>
      <c r="C12" s="13">
        <f>SUM(C3:C11)</f>
        <v>86</v>
      </c>
      <c r="D12" s="13">
        <f>SUM(D3:D11)</f>
        <v>86</v>
      </c>
      <c r="E12" s="8">
        <f t="shared" si="69"/>
        <v>1</v>
      </c>
      <c r="F12" s="12">
        <f>POWER(D12-GO12,2)</f>
        <v>49</v>
      </c>
      <c r="G12" s="13">
        <f>SUM(G3:G11)</f>
        <v>78</v>
      </c>
      <c r="H12" s="13">
        <f>SUM(H3:H11)</f>
        <v>72</v>
      </c>
      <c r="I12" s="12">
        <f t="shared" si="70"/>
        <v>0.92307692307692313</v>
      </c>
      <c r="J12" s="12">
        <f>POWER(H12-$GO12,2)</f>
        <v>49</v>
      </c>
      <c r="K12" s="13"/>
      <c r="L12" s="13"/>
      <c r="M12" s="12" t="e">
        <f t="shared" si="71"/>
        <v>#DIV/0!</v>
      </c>
      <c r="N12" s="12">
        <f>POWER(L12-$GO12,2)</f>
        <v>6241</v>
      </c>
      <c r="O12" s="13"/>
      <c r="P12" s="13"/>
      <c r="Q12" s="12" t="e">
        <f t="shared" si="72"/>
        <v>#DIV/0!</v>
      </c>
      <c r="R12" s="12">
        <f>POWER(P12-$GO12,2)</f>
        <v>6241</v>
      </c>
      <c r="S12" s="3">
        <v>10</v>
      </c>
      <c r="T12" s="13"/>
      <c r="U12" s="12">
        <f t="shared" si="73"/>
        <v>0</v>
      </c>
      <c r="V12" s="12">
        <f>POWER(T12-$GO12,2)</f>
        <v>6241</v>
      </c>
      <c r="W12" s="3">
        <v>10</v>
      </c>
      <c r="Y12" s="12">
        <f t="shared" si="74"/>
        <v>0</v>
      </c>
      <c r="Z12" s="12">
        <f>POWER(X12-$GO12,2)</f>
        <v>6241</v>
      </c>
      <c r="AC12" s="12" t="e">
        <f t="shared" si="75"/>
        <v>#DIV/0!</v>
      </c>
      <c r="AD12" s="12">
        <f>POWER(AB12-$GO12,2)</f>
        <v>6241</v>
      </c>
      <c r="AE12" s="3">
        <v>10</v>
      </c>
      <c r="AG12" s="12">
        <f t="shared" si="76"/>
        <v>0</v>
      </c>
      <c r="AH12" s="12">
        <f>POWER(AF12-$GO12,2)</f>
        <v>6241</v>
      </c>
      <c r="AK12" s="12" t="e">
        <f t="shared" si="77"/>
        <v>#DIV/0!</v>
      </c>
      <c r="AL12" s="12">
        <f>POWER(AJ12-$GO12,2)</f>
        <v>6241</v>
      </c>
      <c r="AO12" s="12" t="e">
        <f t="shared" si="78"/>
        <v>#DIV/0!</v>
      </c>
      <c r="AP12" s="12">
        <f>POWER(AN12-$GO12,2)</f>
        <v>6241</v>
      </c>
      <c r="AS12" s="12" t="e">
        <f t="shared" si="79"/>
        <v>#DIV/0!</v>
      </c>
      <c r="AT12" s="12">
        <f>POWER(AR12-$GO12,2)</f>
        <v>6241</v>
      </c>
      <c r="BJ12" s="12" t="e">
        <f t="shared" si="14"/>
        <v>#DIV/0!</v>
      </c>
      <c r="CT12" s="12" t="e">
        <f t="shared" si="23"/>
        <v>#DIV/0!</v>
      </c>
      <c r="DA12" s="12" t="e">
        <f t="shared" si="95"/>
        <v>#DIV/0!</v>
      </c>
      <c r="DB12" s="12" t="e">
        <f t="shared" si="96"/>
        <v>#DIV/0!</v>
      </c>
      <c r="DN12" s="12">
        <f t="shared" ref="DN12:DN14" si="133">POWER(DL12-$GO12,2)</f>
        <v>6241</v>
      </c>
      <c r="GM12" s="4">
        <f t="shared" ref="GM12:GM14" si="134">COUNT(GI12,GE12,GA12,FW12,FS12,FO12,FK12,DW12,DS12,DO12,DK12,DG12,DC12,CY12,CU12,CQ12,CM12,CI12,CE12,CA12,BW12,BS12,BO12,BK12,BG12,BC12,AY12,AU12,AQ12,AM12,AI12,AE12,AA12,W12,S12,O12,K12,G12,C12)</f>
        <v>5</v>
      </c>
      <c r="GN12" s="15" t="e">
        <f t="shared" ref="GN12:GN14" si="135">(E12+I12+M12+Q12+U12+Y12+AC12+AG12+AK12+AO12+AS12+AW12+BA12+BE12+BI12+BM12+BQ12+BU12+BY12+CC12+CG12+CK12+CO12+CS12+CW12+DA12+DE12+DI12+DM12+DQ12+DU12+DY12+FM12+FQ12+FU12+FY12+GC12+GG12+GK12)*100/GM12</f>
        <v>#DIV/0!</v>
      </c>
      <c r="GO12" s="15">
        <f t="shared" ref="GO12:GO14" si="136">AVERAGE(D12,H12,L12,P12,T12,X12,AB12,AF12,AJ12,AN12,AR12,AV12,AZ12,BD12,BH12,BL12,BP12,BT12,BX12,CB12,CF12,CJ12,CN12,CR12,CV12,CZ12,DD12,DH12,DL12,DP12,DT12,DX12,FL12,FP12,FT12,FX12,GB12,GF12,GJ12)</f>
        <v>79</v>
      </c>
      <c r="GP12" s="15" t="e">
        <f t="shared" ref="GP12:GP14" si="137">SQRT((F12+J12+N12+R12+V12+Z12+AD12+AH12+AL12+AP12+AT12+AX12+BB12+BF12+BJ12++BN12+BR12+BV12+BZ12+CD12+CH12+CL12+CP12+CT12+CX12+DB12+DF12+DJ12+DN12+DR12+DV12+DZ12+FN12+FR12+FV12+FZ12+GD12+GH12+GL12)/GM12)</f>
        <v>#DIV/0!</v>
      </c>
      <c r="GQ12" s="19" t="e">
        <f t="shared" ref="GQ12:GQ14" si="138">GN12</f>
        <v>#DIV/0!</v>
      </c>
      <c r="GR12" s="17" t="s">
        <v>3</v>
      </c>
      <c r="GS12" s="25" t="e">
        <f t="shared" ref="GS12:GS14" si="139">GP12</f>
        <v>#DIV/0!</v>
      </c>
      <c r="GT12" s="4" t="e">
        <f t="shared" ref="GT12:GT14" si="140">IF(GN12&lt;40,"неудовлетворительно",IF((GN12&gt;=40)*AND(GN12&lt;60),"удовлетворительно",IF((GN12&gt;=60)*AND(GN12&lt;80),"хорошо","отлично")))</f>
        <v>#DIV/0!</v>
      </c>
      <c r="GU12" s="18"/>
      <c r="GV12" s="15" t="e">
        <f t="shared" ref="GV12:GV14" si="141">(E12+I12+M12+Q12+U12+Y12+AC12+AG12+AK12+AO12+AS12+AW12+BA12+BE12+BI12+BM12+BQ12+BU12+BY12+CC12+CG12+CK12+CO12+CS12+CW12+DA12+DE12+DI12+DM12+DQ12+DU12+DY12+FM12+FQ12+FU12+FY12+GC12+GG12+GK12+GO12+GS12)*100/GU12</f>
        <v>#DIV/0!</v>
      </c>
      <c r="GW12" s="15" t="e">
        <f t="shared" ref="GW12:GW14" si="142">AVERAGE(D12,H12,L12,P12,T12,X12,AB12,AF12,AJ12,AN12,AR12,AV12,AZ12,BD12,BH12,BL12,BP12,BT12,BX12,CB12,CF12,CJ12,CN12,CR12,CV12,CZ12,DD12,DH12,DL12,DP12,DT12,DX12,FL12,FP12,FT12,FX12,GB12,GF12,GJ12,GN12,GR12)</f>
        <v>#DIV/0!</v>
      </c>
      <c r="GX12" s="18"/>
      <c r="GY12" s="18"/>
      <c r="GZ12" s="18"/>
      <c r="HA12" s="18"/>
    </row>
    <row r="13" spans="1:210" ht="15" hidden="1" customHeight="1" x14ac:dyDescent="0.25">
      <c r="B13" s="27" t="s">
        <v>8</v>
      </c>
      <c r="C13" s="14">
        <f>AVERAGE(C3:C11)</f>
        <v>9.5555555555555554</v>
      </c>
      <c r="D13" s="14">
        <f>AVERAGE(D3:D11)</f>
        <v>9.5555555555555554</v>
      </c>
      <c r="E13" s="8">
        <f t="shared" si="69"/>
        <v>1</v>
      </c>
      <c r="F13" s="12">
        <f>POWER(D13-GO13,2)</f>
        <v>0</v>
      </c>
      <c r="G13" s="14"/>
      <c r="H13" s="14"/>
      <c r="I13" s="12" t="e">
        <f t="shared" si="70"/>
        <v>#DIV/0!</v>
      </c>
      <c r="J13" s="12">
        <f>POWER(H13-$GO13,2)</f>
        <v>91.308641975308632</v>
      </c>
      <c r="K13" s="14"/>
      <c r="L13" s="14"/>
      <c r="M13" s="12" t="e">
        <f t="shared" si="71"/>
        <v>#DIV/0!</v>
      </c>
      <c r="N13" s="12">
        <f>POWER(L13-$GO13,2)</f>
        <v>91.308641975308632</v>
      </c>
      <c r="O13" s="14"/>
      <c r="P13" s="14"/>
      <c r="Q13" s="12" t="e">
        <f t="shared" si="72"/>
        <v>#DIV/0!</v>
      </c>
      <c r="R13" s="12">
        <f>POWER(P13-$GO13,2)</f>
        <v>91.308641975308632</v>
      </c>
      <c r="S13" s="3">
        <v>10</v>
      </c>
      <c r="T13" s="14"/>
      <c r="U13" s="12">
        <f t="shared" si="73"/>
        <v>0</v>
      </c>
      <c r="V13" s="12">
        <f>POWER(T13-$GO13,2)</f>
        <v>91.308641975308632</v>
      </c>
      <c r="W13" s="3">
        <v>10</v>
      </c>
      <c r="Y13" s="12">
        <f t="shared" si="74"/>
        <v>0</v>
      </c>
      <c r="Z13" s="12">
        <f>POWER(X13-$GO13,2)</f>
        <v>91.308641975308632</v>
      </c>
      <c r="AC13" s="12" t="e">
        <f t="shared" si="75"/>
        <v>#DIV/0!</v>
      </c>
      <c r="AD13" s="12">
        <f>POWER(AB13-$GO13,2)</f>
        <v>91.308641975308632</v>
      </c>
      <c r="AE13" s="3">
        <v>10</v>
      </c>
      <c r="AG13" s="12">
        <f t="shared" si="76"/>
        <v>0</v>
      </c>
      <c r="AH13" s="12">
        <f>POWER(AF13-$GO13,2)</f>
        <v>91.308641975308632</v>
      </c>
      <c r="AK13" s="12" t="e">
        <f t="shared" si="77"/>
        <v>#DIV/0!</v>
      </c>
      <c r="AL13" s="12">
        <f>POWER(AJ13-$GO13,2)</f>
        <v>91.308641975308632</v>
      </c>
      <c r="AO13" s="12" t="e">
        <f t="shared" si="78"/>
        <v>#DIV/0!</v>
      </c>
      <c r="AP13" s="12">
        <f>POWER(AN13-$GO13,2)</f>
        <v>91.308641975308632</v>
      </c>
      <c r="AS13" s="12" t="e">
        <f t="shared" si="79"/>
        <v>#DIV/0!</v>
      </c>
      <c r="AT13" s="12">
        <f>POWER(AR13-$GO13,2)</f>
        <v>91.308641975308632</v>
      </c>
      <c r="BJ13" s="12" t="e">
        <f t="shared" si="14"/>
        <v>#DIV/0!</v>
      </c>
      <c r="CT13" s="12" t="e">
        <f t="shared" si="23"/>
        <v>#DIV/0!</v>
      </c>
      <c r="DA13" s="12" t="e">
        <f t="shared" si="95"/>
        <v>#DIV/0!</v>
      </c>
      <c r="DB13" s="12" t="e">
        <f t="shared" si="96"/>
        <v>#DIV/0!</v>
      </c>
      <c r="DN13" s="12">
        <f t="shared" si="133"/>
        <v>91.308641975308632</v>
      </c>
      <c r="GM13" s="4">
        <f t="shared" si="134"/>
        <v>4</v>
      </c>
      <c r="GN13" s="15" t="e">
        <f t="shared" si="135"/>
        <v>#DIV/0!</v>
      </c>
      <c r="GO13" s="15">
        <f t="shared" si="136"/>
        <v>9.5555555555555554</v>
      </c>
      <c r="GP13" s="15" t="e">
        <f t="shared" si="137"/>
        <v>#DIV/0!</v>
      </c>
      <c r="GQ13" s="19" t="e">
        <f t="shared" si="138"/>
        <v>#DIV/0!</v>
      </c>
      <c r="GR13" s="17" t="s">
        <v>3</v>
      </c>
      <c r="GS13" s="25" t="e">
        <f t="shared" si="139"/>
        <v>#DIV/0!</v>
      </c>
      <c r="GT13" s="4" t="e">
        <f t="shared" si="140"/>
        <v>#DIV/0!</v>
      </c>
      <c r="GU13" s="18"/>
      <c r="GV13" s="15" t="e">
        <f t="shared" si="141"/>
        <v>#DIV/0!</v>
      </c>
      <c r="GW13" s="15" t="e">
        <f t="shared" si="142"/>
        <v>#DIV/0!</v>
      </c>
      <c r="GX13" s="18"/>
      <c r="GY13" s="18"/>
      <c r="GZ13" s="18"/>
      <c r="HA13" s="18"/>
    </row>
    <row r="14" spans="1:210" ht="15" hidden="1" customHeight="1" x14ac:dyDescent="0.25">
      <c r="B14" s="28" t="s">
        <v>9</v>
      </c>
      <c r="E14" s="8" t="e">
        <f t="shared" si="69"/>
        <v>#DIV/0!</v>
      </c>
      <c r="F14" s="12" t="e">
        <f>POWER(D14-GO14,2)</f>
        <v>#DIV/0!</v>
      </c>
      <c r="I14" s="12" t="e">
        <f t="shared" si="70"/>
        <v>#DIV/0!</v>
      </c>
      <c r="J14" s="12" t="e">
        <f>POWER(H14-$GO14,2)</f>
        <v>#DIV/0!</v>
      </c>
      <c r="M14" s="12" t="e">
        <f t="shared" si="71"/>
        <v>#DIV/0!</v>
      </c>
      <c r="N14" s="12" t="e">
        <f>POWER(L14-$GO14,2)</f>
        <v>#DIV/0!</v>
      </c>
      <c r="Q14" s="12" t="e">
        <f t="shared" si="72"/>
        <v>#DIV/0!</v>
      </c>
      <c r="R14" s="12" t="e">
        <f>POWER(P14-$GO14,2)</f>
        <v>#DIV/0!</v>
      </c>
      <c r="S14" s="3">
        <v>10</v>
      </c>
      <c r="U14" s="12">
        <f t="shared" si="73"/>
        <v>0</v>
      </c>
      <c r="V14" s="12" t="e">
        <f>POWER(T14-$GO14,2)</f>
        <v>#DIV/0!</v>
      </c>
      <c r="W14" s="47">
        <v>10</v>
      </c>
      <c r="Y14" s="29">
        <f t="shared" si="74"/>
        <v>0</v>
      </c>
      <c r="Z14" s="29" t="e">
        <f>POWER(X14-$GO14,2)</f>
        <v>#DIV/0!</v>
      </c>
      <c r="AC14" s="29" t="e">
        <f t="shared" si="75"/>
        <v>#DIV/0!</v>
      </c>
      <c r="AD14" s="12" t="e">
        <f>POWER(AB14-$GO14,2)</f>
        <v>#DIV/0!</v>
      </c>
      <c r="AE14" s="3">
        <v>10</v>
      </c>
      <c r="AG14" s="12">
        <f t="shared" si="76"/>
        <v>0</v>
      </c>
      <c r="AH14" s="12" t="e">
        <f>POWER(AF14-$GO14,2)</f>
        <v>#DIV/0!</v>
      </c>
      <c r="AK14" s="12" t="e">
        <f t="shared" si="77"/>
        <v>#DIV/0!</v>
      </c>
      <c r="AL14" s="12" t="e">
        <f>POWER(AJ14-$GO14,2)</f>
        <v>#DIV/0!</v>
      </c>
      <c r="AO14" s="12" t="e">
        <f t="shared" si="78"/>
        <v>#DIV/0!</v>
      </c>
      <c r="AP14" s="12" t="e">
        <f>POWER(AN14-$GO14,2)</f>
        <v>#DIV/0!</v>
      </c>
      <c r="AS14" s="12" t="e">
        <f t="shared" si="79"/>
        <v>#DIV/0!</v>
      </c>
      <c r="AT14" s="12" t="e">
        <f>POWER(AR14-$GO14,2)</f>
        <v>#DIV/0!</v>
      </c>
      <c r="BJ14" s="12" t="e">
        <f t="shared" si="14"/>
        <v>#DIV/0!</v>
      </c>
      <c r="CT14" s="12" t="e">
        <f t="shared" si="23"/>
        <v>#DIV/0!</v>
      </c>
      <c r="DA14" s="12" t="e">
        <f t="shared" si="95"/>
        <v>#DIV/0!</v>
      </c>
      <c r="DB14" s="12" t="e">
        <f t="shared" si="96"/>
        <v>#DIV/0!</v>
      </c>
      <c r="DN14" s="29" t="e">
        <f t="shared" si="133"/>
        <v>#DIV/0!</v>
      </c>
      <c r="GM14" s="4">
        <f t="shared" si="134"/>
        <v>3</v>
      </c>
      <c r="GN14" s="15" t="e">
        <f t="shared" si="135"/>
        <v>#DIV/0!</v>
      </c>
      <c r="GO14" s="15" t="e">
        <f t="shared" si="136"/>
        <v>#DIV/0!</v>
      </c>
      <c r="GP14" s="15" t="e">
        <f t="shared" si="137"/>
        <v>#DIV/0!</v>
      </c>
      <c r="GQ14" s="19" t="e">
        <f t="shared" si="138"/>
        <v>#DIV/0!</v>
      </c>
      <c r="GR14" s="17" t="s">
        <v>3</v>
      </c>
      <c r="GS14" s="25" t="e">
        <f t="shared" si="139"/>
        <v>#DIV/0!</v>
      </c>
      <c r="GT14" s="4" t="e">
        <f t="shared" si="140"/>
        <v>#DIV/0!</v>
      </c>
      <c r="GU14" s="18"/>
      <c r="GV14" s="15" t="e">
        <f t="shared" si="141"/>
        <v>#DIV/0!</v>
      </c>
      <c r="GW14" s="15" t="e">
        <f t="shared" si="142"/>
        <v>#DIV/0!</v>
      </c>
      <c r="GX14" s="18"/>
      <c r="GY14" s="18"/>
      <c r="GZ14" s="18"/>
      <c r="HA14" s="18"/>
    </row>
    <row r="15" spans="1:210" ht="43.5" customHeight="1" x14ac:dyDescent="0.25">
      <c r="W15" s="32"/>
      <c r="X15" s="32"/>
      <c r="Y15" s="32"/>
      <c r="Z15" s="32"/>
      <c r="AA15" s="32"/>
      <c r="AB15" s="32"/>
      <c r="AC15" s="32"/>
      <c r="GQ15" s="2"/>
      <c r="GS15" s="2"/>
      <c r="GT15" s="2"/>
      <c r="GU15" s="2"/>
      <c r="GV15" s="2"/>
      <c r="GW15" s="75">
        <f>AVERAGE(GW3:GW11)</f>
        <v>0.98102557319223982</v>
      </c>
      <c r="GX15" s="2"/>
      <c r="GY15" s="2"/>
      <c r="GZ15" s="2"/>
      <c r="HA15" s="2"/>
    </row>
    <row r="16" spans="1:210" x14ac:dyDescent="0.25">
      <c r="W16" s="32"/>
      <c r="X16" s="32"/>
      <c r="Y16" s="32"/>
      <c r="Z16" s="32"/>
      <c r="AA16" s="32"/>
      <c r="AB16" s="32"/>
      <c r="AC16" s="32"/>
      <c r="GY16" s="38">
        <f>AVERAGE(GY3:GY11)</f>
        <v>98.102557319223976</v>
      </c>
      <c r="GZ16" s="39" t="s">
        <v>3</v>
      </c>
      <c r="HA16" s="40">
        <f>AVERAGE(HA3:HA11)</f>
        <v>6.9688424487948541</v>
      </c>
      <c r="HB16" s="41" t="str">
        <f>IF(GY16&lt;40,"неудовлетворительно",IF((GY16&gt;=40)*AND(GY16&lt;60),"удовлетворительно",IF((GY16&gt;=60)*AND(GY16&lt;80),"хорошо","отлично")))</f>
        <v>отлично</v>
      </c>
    </row>
    <row r="17" spans="1:209" x14ac:dyDescent="0.25"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pans="1:209" ht="15.75" x14ac:dyDescent="0.25">
      <c r="V18" s="32"/>
      <c r="W18" s="32"/>
      <c r="X18" s="48"/>
      <c r="Y18" s="48"/>
      <c r="Z18" s="48"/>
      <c r="AA18" s="82"/>
      <c r="AB18" s="82"/>
      <c r="AC18" s="82"/>
      <c r="AD18" s="54"/>
      <c r="AE18" s="32"/>
    </row>
    <row r="19" spans="1:209" x14ac:dyDescent="0.25">
      <c r="V19" s="32"/>
      <c r="W19" s="32"/>
      <c r="X19" s="33"/>
      <c r="Y19" s="32"/>
      <c r="Z19" s="32"/>
      <c r="AA19" s="34"/>
      <c r="AB19" s="35"/>
      <c r="AC19" s="36"/>
      <c r="AD19" s="32"/>
      <c r="AE19" s="32"/>
    </row>
    <row r="20" spans="1:209" x14ac:dyDescent="0.25">
      <c r="V20" s="32"/>
      <c r="W20" s="32"/>
      <c r="X20" s="33"/>
      <c r="Y20" s="32"/>
      <c r="Z20" s="32"/>
      <c r="AA20" s="34"/>
      <c r="AB20" s="35"/>
      <c r="AC20" s="36"/>
      <c r="AD20" s="32"/>
      <c r="AE20" s="32"/>
    </row>
    <row r="21" spans="1:209" x14ac:dyDescent="0.25">
      <c r="V21" s="32"/>
      <c r="W21" s="32"/>
      <c r="X21" s="33"/>
      <c r="Y21" s="32"/>
      <c r="Z21" s="32"/>
      <c r="AA21" s="34"/>
      <c r="AB21" s="35"/>
      <c r="AC21" s="36"/>
      <c r="AD21" s="32"/>
      <c r="AE21" s="32"/>
      <c r="GM21" s="32"/>
      <c r="GN21" s="34"/>
      <c r="GO21" s="32"/>
      <c r="GP21" s="32"/>
      <c r="GQ21" s="32"/>
      <c r="GR21" s="32"/>
      <c r="GS21" s="32"/>
      <c r="GT21" s="32"/>
    </row>
    <row r="22" spans="1:209" x14ac:dyDescent="0.25">
      <c r="V22" s="32"/>
      <c r="W22" s="32"/>
      <c r="X22" s="33"/>
      <c r="Y22" s="32"/>
      <c r="Z22" s="32"/>
      <c r="AA22" s="34"/>
      <c r="AB22" s="35"/>
      <c r="AC22" s="36"/>
      <c r="AD22" s="32"/>
      <c r="AE22" s="32"/>
      <c r="GM22" s="32"/>
      <c r="GN22" s="34"/>
      <c r="GO22" s="32"/>
      <c r="GP22" s="32"/>
      <c r="GQ22" s="32"/>
      <c r="GR22" s="32"/>
      <c r="GS22" s="32"/>
      <c r="GT22" s="32"/>
    </row>
    <row r="23" spans="1:209" x14ac:dyDescent="0.25">
      <c r="V23" s="32"/>
      <c r="W23" s="32"/>
      <c r="X23" s="33"/>
      <c r="Y23" s="32"/>
      <c r="Z23" s="32"/>
      <c r="AA23" s="34"/>
      <c r="AB23" s="35"/>
      <c r="AC23" s="36"/>
      <c r="AD23" s="32"/>
      <c r="AE23" s="32"/>
      <c r="GM23" s="32"/>
      <c r="GN23" s="34"/>
      <c r="GO23" s="32"/>
      <c r="GP23" s="32"/>
      <c r="GQ23" s="32"/>
      <c r="GR23" s="32"/>
      <c r="GS23" s="32"/>
      <c r="GT23" s="32"/>
    </row>
    <row r="24" spans="1:209" x14ac:dyDescent="0.25">
      <c r="V24" s="32"/>
      <c r="W24" s="32"/>
      <c r="X24" s="33"/>
      <c r="Y24" s="32"/>
      <c r="Z24" s="32"/>
      <c r="AA24" s="34"/>
      <c r="AB24" s="35"/>
      <c r="AC24" s="36"/>
      <c r="AD24" s="32"/>
      <c r="AE24" s="32"/>
      <c r="GM24" s="32"/>
      <c r="GN24" s="34"/>
      <c r="GO24" s="32"/>
      <c r="GP24" s="32"/>
      <c r="GQ24" s="32"/>
      <c r="GR24" s="32"/>
      <c r="GS24" s="32"/>
      <c r="GT24" s="32"/>
    </row>
    <row r="25" spans="1:209" x14ac:dyDescent="0.25">
      <c r="V25" s="32"/>
      <c r="W25" s="32"/>
      <c r="X25" s="33"/>
      <c r="Y25" s="32"/>
      <c r="Z25" s="32"/>
      <c r="AA25" s="34"/>
      <c r="AB25" s="35"/>
      <c r="AC25" s="36"/>
      <c r="AD25" s="32"/>
      <c r="AE25" s="32"/>
      <c r="GM25" s="32"/>
      <c r="GN25" s="34"/>
      <c r="GO25" s="32"/>
      <c r="GP25" s="32"/>
      <c r="GQ25" s="32"/>
      <c r="GR25" s="32"/>
      <c r="GS25" s="32"/>
      <c r="GT25" s="32"/>
    </row>
    <row r="26" spans="1:209" x14ac:dyDescent="0.25">
      <c r="V26" s="32"/>
      <c r="W26" s="32"/>
      <c r="X26" s="33"/>
      <c r="Y26" s="32"/>
      <c r="Z26" s="32"/>
      <c r="AA26" s="34"/>
      <c r="AB26" s="35"/>
      <c r="AC26" s="36"/>
      <c r="AD26" s="32"/>
      <c r="AE26" s="32"/>
      <c r="GM26" s="32"/>
      <c r="GN26" s="34"/>
      <c r="GO26" s="32"/>
      <c r="GP26" s="32"/>
      <c r="GQ26" s="32"/>
      <c r="GR26" s="32"/>
      <c r="GS26" s="32"/>
      <c r="GT26" s="32"/>
    </row>
    <row r="27" spans="1:209" x14ac:dyDescent="0.25">
      <c r="V27" s="32"/>
      <c r="W27" s="32"/>
      <c r="X27" s="33"/>
      <c r="Y27" s="32"/>
      <c r="Z27" s="32"/>
      <c r="AA27" s="34"/>
      <c r="AB27" s="35"/>
      <c r="AC27" s="36"/>
      <c r="AD27" s="32"/>
      <c r="AE27" s="32"/>
      <c r="GM27" s="79"/>
      <c r="GN27" s="79"/>
      <c r="GO27" s="79"/>
      <c r="GP27" s="42"/>
      <c r="GQ27" s="32"/>
      <c r="GR27" s="32"/>
      <c r="GS27" s="32"/>
      <c r="GT27" s="32"/>
    </row>
    <row r="28" spans="1:209" ht="19.5" x14ac:dyDescent="0.35">
      <c r="A28" s="83"/>
      <c r="B28" s="84"/>
      <c r="V28" s="32"/>
      <c r="W28" s="32"/>
      <c r="X28" s="33"/>
      <c r="Y28" s="32"/>
      <c r="Z28" s="32"/>
      <c r="AA28" s="34"/>
      <c r="AB28" s="35"/>
      <c r="AC28" s="36"/>
      <c r="AD28" s="32"/>
      <c r="AE28" s="32"/>
      <c r="GM28" s="79"/>
      <c r="GN28" s="79"/>
      <c r="GO28" s="79"/>
      <c r="GP28" s="79"/>
      <c r="GQ28" s="43"/>
      <c r="GR28" s="44"/>
      <c r="GS28" s="45"/>
      <c r="GT28" s="46"/>
      <c r="GU28" s="51"/>
      <c r="GV28" s="51"/>
      <c r="GW28" s="51"/>
      <c r="GX28" s="51"/>
      <c r="GY28" s="51"/>
      <c r="GZ28" s="51"/>
      <c r="HA28" s="51"/>
    </row>
    <row r="29" spans="1:209" x14ac:dyDescent="0.25">
      <c r="V29" s="32"/>
      <c r="W29" s="32"/>
      <c r="X29" s="34"/>
      <c r="Y29" s="32"/>
      <c r="Z29" s="32"/>
      <c r="AA29" s="32"/>
      <c r="AB29" s="32"/>
      <c r="AC29" s="32"/>
      <c r="AD29" s="32"/>
      <c r="AE29" s="32"/>
      <c r="GM29" s="32"/>
      <c r="GN29" s="32"/>
      <c r="GO29" s="32"/>
      <c r="GP29" s="32"/>
      <c r="GQ29" s="32"/>
      <c r="GR29" s="32"/>
      <c r="GS29" s="32"/>
      <c r="GT29" s="32"/>
    </row>
    <row r="30" spans="1:209" x14ac:dyDescent="0.25">
      <c r="V30" s="32"/>
      <c r="W30" s="32"/>
      <c r="X30" s="34"/>
      <c r="Y30" s="32"/>
      <c r="Z30" s="32"/>
      <c r="AA30" s="32"/>
      <c r="AB30" s="32"/>
      <c r="AC30" s="32"/>
      <c r="AD30" s="32"/>
      <c r="AE30" s="32"/>
    </row>
    <row r="31" spans="1:209" x14ac:dyDescent="0.25">
      <c r="V31" s="32"/>
      <c r="W31" s="79"/>
      <c r="X31" s="79"/>
      <c r="Y31" s="79"/>
      <c r="Z31" s="34"/>
      <c r="AA31" s="32"/>
      <c r="AB31" s="32"/>
      <c r="AC31" s="32"/>
      <c r="AD31" s="32"/>
      <c r="AE31" s="32"/>
    </row>
    <row r="32" spans="1:209" x14ac:dyDescent="0.25">
      <c r="V32" s="32"/>
      <c r="W32" s="79"/>
      <c r="X32" s="79"/>
      <c r="Y32" s="79"/>
      <c r="Z32" s="79"/>
      <c r="AA32" s="43"/>
      <c r="AB32" s="44"/>
      <c r="AC32" s="45"/>
      <c r="AD32" s="46"/>
      <c r="AE32" s="32"/>
    </row>
    <row r="33" spans="23:29" customFormat="1" x14ac:dyDescent="0.25">
      <c r="W33" s="32"/>
      <c r="X33" s="32"/>
      <c r="Y33" s="32"/>
      <c r="Z33" s="32"/>
      <c r="AA33" s="32"/>
      <c r="AB33" s="32"/>
      <c r="AC33" s="32"/>
    </row>
    <row r="34" spans="23:29" customFormat="1" x14ac:dyDescent="0.25">
      <c r="W34" s="32"/>
      <c r="X34" s="32"/>
      <c r="Y34" s="32"/>
      <c r="Z34" s="32"/>
      <c r="AA34" s="32"/>
      <c r="AB34" s="32"/>
      <c r="AC34" s="32"/>
    </row>
    <row r="35" spans="23:29" customFormat="1" x14ac:dyDescent="0.25">
      <c r="W35" s="32"/>
      <c r="X35" s="32"/>
      <c r="Y35" s="32"/>
      <c r="Z35" s="32"/>
      <c r="AA35" s="32"/>
      <c r="AB35" s="32"/>
      <c r="AC35" s="32"/>
    </row>
    <row r="36" spans="23:29" customFormat="1" x14ac:dyDescent="0.25">
      <c r="W36" s="32"/>
      <c r="X36" s="32"/>
      <c r="Y36" s="32"/>
      <c r="Z36" s="32"/>
      <c r="AA36" s="32"/>
      <c r="AB36" s="32"/>
      <c r="AC36" s="32"/>
    </row>
    <row r="37" spans="23:29" customFormat="1" x14ac:dyDescent="0.25">
      <c r="W37" s="37"/>
      <c r="X37" s="52"/>
      <c r="Y37" s="52"/>
      <c r="Z37" s="37"/>
      <c r="AA37" s="18"/>
      <c r="AB37" s="18"/>
      <c r="AC37" s="18"/>
    </row>
    <row r="38" spans="23:29" customFormat="1" x14ac:dyDescent="0.25">
      <c r="W38" s="37"/>
      <c r="X38" s="52"/>
      <c r="Y38" s="52"/>
      <c r="Z38" s="37"/>
      <c r="AA38" s="18"/>
      <c r="AB38" s="18"/>
      <c r="AC38" s="18"/>
    </row>
    <row r="39" spans="23:29" customFormat="1" x14ac:dyDescent="0.25">
      <c r="W39" s="37"/>
      <c r="X39" s="52"/>
      <c r="Y39" s="52"/>
      <c r="Z39" s="37"/>
      <c r="AA39" s="18"/>
      <c r="AB39" s="18"/>
      <c r="AC39" s="18"/>
    </row>
    <row r="40" spans="23:29" customFormat="1" x14ac:dyDescent="0.25">
      <c r="W40" s="37"/>
      <c r="X40" s="52"/>
      <c r="Y40" s="52"/>
      <c r="Z40" s="37"/>
      <c r="AA40" s="18"/>
      <c r="AB40" s="18"/>
      <c r="AC40" s="18"/>
    </row>
    <row r="41" spans="23:29" customFormat="1" x14ac:dyDescent="0.25">
      <c r="W41" s="37"/>
      <c r="X41" s="52"/>
      <c r="Y41" s="52"/>
      <c r="Z41" s="37"/>
      <c r="AA41" s="18"/>
      <c r="AB41" s="18"/>
      <c r="AC41" s="18"/>
    </row>
    <row r="42" spans="23:29" customFormat="1" x14ac:dyDescent="0.25">
      <c r="W42" s="37"/>
      <c r="X42" s="52"/>
      <c r="Y42" s="52"/>
      <c r="Z42" s="37"/>
      <c r="AA42" s="18"/>
      <c r="AB42" s="18"/>
      <c r="AC42" s="18"/>
    </row>
    <row r="43" spans="23:29" customFormat="1" x14ac:dyDescent="0.25">
      <c r="W43" s="37"/>
      <c r="X43" s="52"/>
      <c r="Y43" s="52"/>
      <c r="Z43" s="37"/>
      <c r="AA43" s="18"/>
      <c r="AB43" s="18"/>
      <c r="AC43" s="18"/>
    </row>
    <row r="44" spans="23:29" customFormat="1" x14ac:dyDescent="0.25">
      <c r="W44" s="37"/>
      <c r="X44" s="52"/>
      <c r="Y44" s="52"/>
      <c r="Z44" s="37"/>
      <c r="AA44" s="18"/>
      <c r="AB44" s="18"/>
      <c r="AC44" s="18"/>
    </row>
    <row r="45" spans="23:29" customFormat="1" x14ac:dyDescent="0.25">
      <c r="W45" s="37"/>
      <c r="X45" s="52"/>
      <c r="Y45" s="52"/>
      <c r="Z45" s="37"/>
      <c r="AA45" s="18"/>
      <c r="AB45" s="18"/>
      <c r="AC45" s="18"/>
    </row>
    <row r="46" spans="23:29" customFormat="1" x14ac:dyDescent="0.25">
      <c r="W46" s="37"/>
      <c r="X46" s="52"/>
      <c r="Y46" s="52"/>
      <c r="Z46" s="37"/>
      <c r="AA46" s="18"/>
      <c r="AB46" s="18"/>
      <c r="AC46" s="18"/>
    </row>
    <row r="47" spans="23:29" customFormat="1" x14ac:dyDescent="0.25">
      <c r="W47" s="37"/>
      <c r="X47" s="52"/>
      <c r="Y47" s="52"/>
      <c r="Z47" s="37"/>
      <c r="AA47" s="18"/>
      <c r="AB47" s="18"/>
      <c r="AC47" s="18"/>
    </row>
    <row r="48" spans="23:29" customFormat="1" x14ac:dyDescent="0.25">
      <c r="W48" s="37"/>
      <c r="X48" s="52"/>
      <c r="Y48" s="52"/>
      <c r="Z48" s="37"/>
      <c r="AA48" s="18"/>
      <c r="AB48" s="18"/>
      <c r="AC48" s="18"/>
    </row>
    <row r="49" spans="23:29" customFormat="1" x14ac:dyDescent="0.25">
      <c r="W49" s="37"/>
      <c r="X49" s="52"/>
      <c r="Y49" s="52"/>
      <c r="Z49" s="37"/>
      <c r="AA49" s="18"/>
      <c r="AB49" s="18"/>
      <c r="AC49" s="18"/>
    </row>
    <row r="50" spans="23:29" customFormat="1" x14ac:dyDescent="0.25">
      <c r="W50" s="37"/>
      <c r="X50" s="52"/>
      <c r="Y50" s="52"/>
      <c r="Z50" s="37"/>
      <c r="AA50" s="18"/>
      <c r="AB50" s="18"/>
      <c r="AC50" s="18"/>
    </row>
    <row r="51" spans="23:29" customFormat="1" x14ac:dyDescent="0.25">
      <c r="W51" s="37"/>
      <c r="X51" s="52"/>
      <c r="Y51" s="52"/>
      <c r="Z51" s="37"/>
      <c r="AA51" s="18"/>
      <c r="AB51" s="18"/>
      <c r="AC51" s="18"/>
    </row>
    <row r="52" spans="23:29" customFormat="1" x14ac:dyDescent="0.25">
      <c r="W52" s="37"/>
      <c r="X52" s="52"/>
      <c r="Y52" s="52"/>
      <c r="Z52" s="37"/>
      <c r="AA52" s="18"/>
      <c r="AB52" s="18"/>
      <c r="AC52" s="18"/>
    </row>
    <row r="53" spans="23:29" customFormat="1" x14ac:dyDescent="0.25">
      <c r="W53" s="37"/>
      <c r="X53" s="52"/>
      <c r="Y53" s="52"/>
      <c r="Z53" s="37"/>
      <c r="AA53" s="18"/>
      <c r="AB53" s="18"/>
      <c r="AC53" s="18"/>
    </row>
    <row r="54" spans="23:29" customFormat="1" x14ac:dyDescent="0.25">
      <c r="W54" s="37"/>
      <c r="X54" s="52"/>
      <c r="Y54" s="52"/>
      <c r="Z54" s="37"/>
      <c r="AA54" s="18"/>
      <c r="AB54" s="18"/>
      <c r="AC54" s="18"/>
    </row>
    <row r="55" spans="23:29" customFormat="1" x14ac:dyDescent="0.25">
      <c r="W55" s="37"/>
      <c r="X55" s="52"/>
      <c r="Y55" s="52"/>
      <c r="Z55" s="37"/>
      <c r="AA55" s="18"/>
      <c r="AB55" s="18"/>
      <c r="AC55" s="18"/>
    </row>
    <row r="56" spans="23:29" customFormat="1" x14ac:dyDescent="0.25">
      <c r="W56" s="37"/>
      <c r="X56" s="52"/>
      <c r="Y56" s="52"/>
      <c r="Z56" s="37"/>
      <c r="AA56" s="18"/>
      <c r="AB56" s="18"/>
      <c r="AC56" s="18"/>
    </row>
    <row r="57" spans="23:29" customFormat="1" x14ac:dyDescent="0.25">
      <c r="W57" s="37"/>
      <c r="X57" s="52"/>
      <c r="Y57" s="52"/>
      <c r="Z57" s="37"/>
      <c r="AA57" s="18"/>
      <c r="AB57" s="18"/>
      <c r="AC57" s="18"/>
    </row>
    <row r="58" spans="23:29" customFormat="1" x14ac:dyDescent="0.25">
      <c r="W58" s="37"/>
      <c r="X58" s="52"/>
      <c r="Y58" s="52"/>
      <c r="Z58" s="37"/>
      <c r="AA58" s="18"/>
      <c r="AB58" s="18"/>
      <c r="AC58" s="18"/>
    </row>
    <row r="59" spans="23:29" customFormat="1" x14ac:dyDescent="0.25">
      <c r="W59" s="37"/>
      <c r="X59" s="52"/>
      <c r="Y59" s="52"/>
      <c r="Z59" s="37"/>
      <c r="AA59" s="18"/>
      <c r="AB59" s="18"/>
      <c r="AC59" s="18"/>
    </row>
    <row r="60" spans="23:29" customFormat="1" x14ac:dyDescent="0.25">
      <c r="W60" s="37"/>
      <c r="X60" s="52"/>
      <c r="Y60" s="52"/>
      <c r="Z60" s="37"/>
      <c r="AA60" s="18"/>
      <c r="AB60" s="18"/>
      <c r="AC60" s="18"/>
    </row>
    <row r="61" spans="23:29" customFormat="1" x14ac:dyDescent="0.25">
      <c r="W61" s="37"/>
      <c r="X61" s="52"/>
      <c r="Y61" s="52"/>
      <c r="Z61" s="37"/>
      <c r="AA61" s="18"/>
      <c r="AB61" s="18"/>
      <c r="AC61" s="18"/>
    </row>
    <row r="62" spans="23:29" customFormat="1" x14ac:dyDescent="0.25">
      <c r="W62" s="37"/>
      <c r="X62" s="52"/>
      <c r="Y62" s="52"/>
      <c r="Z62" s="37"/>
      <c r="AA62" s="18"/>
      <c r="AB62" s="18"/>
      <c r="AC62" s="18"/>
    </row>
    <row r="63" spans="23:29" customFormat="1" x14ac:dyDescent="0.25">
      <c r="W63" s="37"/>
      <c r="X63" s="52"/>
      <c r="Y63" s="52"/>
      <c r="Z63" s="37"/>
      <c r="AA63" s="18"/>
      <c r="AB63" s="18"/>
      <c r="AC63" s="18"/>
    </row>
    <row r="64" spans="23:29" customFormat="1" x14ac:dyDescent="0.25">
      <c r="W64" s="37"/>
      <c r="X64" s="52"/>
      <c r="Y64" s="52"/>
      <c r="Z64" s="37"/>
      <c r="AA64" s="18"/>
      <c r="AB64" s="18"/>
      <c r="AC64" s="18"/>
    </row>
    <row r="65" spans="23:29" customFormat="1" x14ac:dyDescent="0.25">
      <c r="W65" s="37"/>
      <c r="X65" s="52"/>
      <c r="Y65" s="52"/>
      <c r="Z65" s="37"/>
      <c r="AA65" s="18"/>
      <c r="AB65" s="18"/>
      <c r="AC65" s="18"/>
    </row>
    <row r="66" spans="23:29" customFormat="1" x14ac:dyDescent="0.25">
      <c r="W66" s="37"/>
      <c r="X66" s="52"/>
      <c r="Y66" s="52"/>
      <c r="Z66" s="37"/>
      <c r="AA66" s="18"/>
      <c r="AB66" s="18"/>
      <c r="AC66" s="18"/>
    </row>
    <row r="67" spans="23:29" customFormat="1" x14ac:dyDescent="0.25">
      <c r="W67" s="37"/>
      <c r="X67" s="52"/>
      <c r="Y67" s="52"/>
      <c r="Z67" s="37"/>
      <c r="AA67" s="18"/>
      <c r="AB67" s="18"/>
      <c r="AC67" s="18"/>
    </row>
    <row r="68" spans="23:29" customFormat="1" x14ac:dyDescent="0.25">
      <c r="W68" s="37"/>
      <c r="X68" s="52"/>
      <c r="Y68" s="52"/>
      <c r="Z68" s="37"/>
      <c r="AA68" s="18"/>
      <c r="AB68" s="18"/>
      <c r="AC68" s="18"/>
    </row>
    <row r="69" spans="23:29" customFormat="1" x14ac:dyDescent="0.25">
      <c r="W69" s="37"/>
      <c r="X69" s="52"/>
      <c r="Y69" s="52"/>
      <c r="Z69" s="37"/>
      <c r="AA69" s="18"/>
      <c r="AB69" s="18"/>
      <c r="AC69" s="18"/>
    </row>
    <row r="70" spans="23:29" customFormat="1" x14ac:dyDescent="0.25">
      <c r="W70" s="37"/>
      <c r="X70" s="52"/>
      <c r="Y70" s="52"/>
      <c r="Z70" s="37"/>
      <c r="AA70" s="18"/>
      <c r="AB70" s="18"/>
      <c r="AC70" s="18"/>
    </row>
    <row r="71" spans="23:29" customFormat="1" x14ac:dyDescent="0.25">
      <c r="W71" s="37"/>
      <c r="X71" s="52"/>
      <c r="Y71" s="52"/>
      <c r="Z71" s="37"/>
      <c r="AA71" s="18"/>
      <c r="AB71" s="18"/>
      <c r="AC71" s="18"/>
    </row>
    <row r="72" spans="23:29" customFormat="1" x14ac:dyDescent="0.25">
      <c r="W72" s="37"/>
      <c r="X72" s="52"/>
      <c r="Y72" s="52"/>
      <c r="Z72" s="37"/>
      <c r="AA72" s="18"/>
      <c r="AB72" s="18"/>
      <c r="AC72" s="18"/>
    </row>
    <row r="73" spans="23:29" customFormat="1" x14ac:dyDescent="0.25">
      <c r="W73" s="37"/>
      <c r="X73" s="52"/>
      <c r="Y73" s="52"/>
      <c r="Z73" s="37"/>
      <c r="AA73" s="18"/>
      <c r="AB73" s="18"/>
      <c r="AC73" s="18"/>
    </row>
    <row r="74" spans="23:29" customFormat="1" x14ac:dyDescent="0.25">
      <c r="W74" s="37"/>
      <c r="X74" s="52"/>
      <c r="Y74" s="52"/>
      <c r="Z74" s="37"/>
      <c r="AA74" s="18"/>
      <c r="AB74" s="18"/>
      <c r="AC74" s="18"/>
    </row>
    <row r="75" spans="23:29" customFormat="1" x14ac:dyDescent="0.25">
      <c r="W75" s="37"/>
      <c r="X75" s="52"/>
      <c r="Y75" s="52"/>
      <c r="Z75" s="37"/>
      <c r="AA75" s="18"/>
      <c r="AB75" s="18"/>
      <c r="AC75" s="18"/>
    </row>
    <row r="76" spans="23:29" customFormat="1" x14ac:dyDescent="0.25">
      <c r="W76" s="37"/>
      <c r="X76" s="52"/>
      <c r="Y76" s="52"/>
      <c r="Z76" s="37"/>
      <c r="AA76" s="18"/>
      <c r="AB76" s="18"/>
      <c r="AC76" s="18"/>
    </row>
    <row r="77" spans="23:29" customFormat="1" x14ac:dyDescent="0.25">
      <c r="W77" s="37"/>
      <c r="X77" s="52"/>
      <c r="Y77" s="52"/>
      <c r="Z77" s="37"/>
      <c r="AA77" s="18"/>
      <c r="AB77" s="18"/>
      <c r="AC77" s="18"/>
    </row>
    <row r="78" spans="23:29" customFormat="1" x14ac:dyDescent="0.25">
      <c r="W78" s="37"/>
      <c r="X78" s="52"/>
      <c r="Y78" s="52"/>
      <c r="Z78" s="37"/>
      <c r="AA78" s="18"/>
      <c r="AB78" s="18"/>
      <c r="AC78" s="18"/>
    </row>
    <row r="79" spans="23:29" customFormat="1" x14ac:dyDescent="0.25">
      <c r="W79" s="37"/>
      <c r="X79" s="52"/>
      <c r="Y79" s="52"/>
      <c r="Z79" s="37"/>
      <c r="AA79" s="18"/>
      <c r="AB79" s="18"/>
      <c r="AC79" s="18"/>
    </row>
    <row r="80" spans="23:29" customFormat="1" x14ac:dyDescent="0.25">
      <c r="W80" s="37"/>
      <c r="X80" s="52"/>
      <c r="Y80" s="52"/>
      <c r="Z80" s="37"/>
      <c r="AA80" s="18"/>
      <c r="AB80" s="18"/>
      <c r="AC80" s="18"/>
    </row>
    <row r="81" spans="23:29" customFormat="1" x14ac:dyDescent="0.25">
      <c r="W81" s="37"/>
      <c r="X81" s="52"/>
      <c r="Y81" s="52"/>
      <c r="Z81" s="37"/>
      <c r="AA81" s="18"/>
      <c r="AB81" s="18"/>
      <c r="AC81" s="18"/>
    </row>
    <row r="82" spans="23:29" customFormat="1" x14ac:dyDescent="0.25">
      <c r="W82" s="37"/>
      <c r="X82" s="52"/>
      <c r="Y82" s="52"/>
      <c r="Z82" s="37"/>
      <c r="AA82" s="18"/>
      <c r="AB82" s="18"/>
      <c r="AC82" s="18"/>
    </row>
    <row r="83" spans="23:29" customFormat="1" x14ac:dyDescent="0.25">
      <c r="W83" s="37"/>
      <c r="X83" s="52"/>
      <c r="Y83" s="52"/>
      <c r="Z83" s="37"/>
      <c r="AA83" s="18"/>
      <c r="AB83" s="18"/>
      <c r="AC83" s="18"/>
    </row>
    <row r="84" spans="23:29" customFormat="1" x14ac:dyDescent="0.25">
      <c r="W84" s="37"/>
      <c r="X84" s="52"/>
      <c r="Y84" s="52"/>
      <c r="Z84" s="37"/>
      <c r="AA84" s="18"/>
      <c r="AB84" s="18"/>
      <c r="AC84" s="18"/>
    </row>
    <row r="85" spans="23:29" customFormat="1" x14ac:dyDescent="0.25">
      <c r="W85" s="37"/>
      <c r="X85" s="52"/>
      <c r="Y85" s="52"/>
      <c r="Z85" s="37"/>
      <c r="AA85" s="18"/>
      <c r="AB85" s="18"/>
      <c r="AC85" s="18"/>
    </row>
    <row r="86" spans="23:29" customFormat="1" x14ac:dyDescent="0.25">
      <c r="W86" s="37"/>
      <c r="X86" s="52"/>
      <c r="Y86" s="52"/>
      <c r="Z86" s="37"/>
      <c r="AA86" s="18"/>
      <c r="AB86" s="18"/>
      <c r="AC86" s="18"/>
    </row>
    <row r="87" spans="23:29" customFormat="1" x14ac:dyDescent="0.25">
      <c r="W87" s="37"/>
      <c r="X87" s="52"/>
      <c r="Y87" s="52"/>
      <c r="Z87" s="37"/>
      <c r="AA87" s="18"/>
      <c r="AB87" s="18"/>
      <c r="AC87" s="18"/>
    </row>
    <row r="88" spans="23:29" customFormat="1" x14ac:dyDescent="0.25">
      <c r="W88" s="37"/>
      <c r="X88" s="52"/>
      <c r="Y88" s="52"/>
      <c r="Z88" s="37"/>
      <c r="AA88" s="18"/>
      <c r="AB88" s="18"/>
      <c r="AC88" s="18"/>
    </row>
    <row r="89" spans="23:29" customFormat="1" x14ac:dyDescent="0.25">
      <c r="W89" s="37"/>
      <c r="X89" s="52"/>
      <c r="Y89" s="52"/>
      <c r="Z89" s="37"/>
      <c r="AA89" s="18"/>
      <c r="AB89" s="18"/>
      <c r="AC89" s="18"/>
    </row>
    <row r="90" spans="23:29" customFormat="1" x14ac:dyDescent="0.25">
      <c r="W90" s="37"/>
      <c r="X90" s="52"/>
      <c r="Y90" s="52"/>
      <c r="Z90" s="37"/>
      <c r="AA90" s="18"/>
      <c r="AB90" s="18"/>
      <c r="AC90" s="18"/>
    </row>
    <row r="91" spans="23:29" customFormat="1" x14ac:dyDescent="0.25">
      <c r="W91" s="37"/>
      <c r="X91" s="52"/>
      <c r="Y91" s="52"/>
      <c r="Z91" s="37"/>
      <c r="AA91" s="18"/>
      <c r="AB91" s="18"/>
      <c r="AC91" s="18"/>
    </row>
    <row r="92" spans="23:29" customFormat="1" x14ac:dyDescent="0.25">
      <c r="W92" s="37"/>
      <c r="X92" s="52"/>
      <c r="Y92" s="52"/>
      <c r="Z92" s="37"/>
      <c r="AA92" s="18"/>
      <c r="AB92" s="18"/>
      <c r="AC92" s="18"/>
    </row>
    <row r="93" spans="23:29" customFormat="1" x14ac:dyDescent="0.25">
      <c r="W93" s="37"/>
      <c r="X93" s="52"/>
      <c r="Y93" s="52"/>
      <c r="Z93" s="37"/>
      <c r="AA93" s="18"/>
      <c r="AB93" s="18"/>
      <c r="AC93" s="18"/>
    </row>
    <row r="94" spans="23:29" customFormat="1" x14ac:dyDescent="0.25">
      <c r="W94" s="37"/>
      <c r="X94" s="52"/>
      <c r="Y94" s="52"/>
      <c r="Z94" s="37"/>
      <c r="AA94" s="18"/>
      <c r="AB94" s="18"/>
      <c r="AC94" s="18"/>
    </row>
    <row r="95" spans="23:29" customFormat="1" x14ac:dyDescent="0.25">
      <c r="W95" s="37"/>
      <c r="X95" s="52"/>
      <c r="Y95" s="52"/>
      <c r="Z95" s="37"/>
      <c r="AA95" s="18"/>
      <c r="AB95" s="18"/>
      <c r="AC95" s="18"/>
    </row>
    <row r="96" spans="23:29" customFormat="1" x14ac:dyDescent="0.25">
      <c r="W96" s="37"/>
      <c r="X96" s="52"/>
      <c r="Y96" s="52"/>
      <c r="Z96" s="37"/>
      <c r="AA96" s="18"/>
      <c r="AB96" s="18"/>
      <c r="AC96" s="18"/>
    </row>
    <row r="97" spans="23:29" customFormat="1" x14ac:dyDescent="0.25">
      <c r="W97" s="37"/>
      <c r="X97" s="52"/>
      <c r="Y97" s="52"/>
      <c r="Z97" s="37"/>
      <c r="AA97" s="18"/>
      <c r="AB97" s="18"/>
      <c r="AC97" s="18"/>
    </row>
    <row r="98" spans="23:29" customFormat="1" x14ac:dyDescent="0.25">
      <c r="W98" s="37"/>
      <c r="X98" s="52"/>
      <c r="Y98" s="52"/>
      <c r="Z98" s="37"/>
      <c r="AA98" s="18"/>
      <c r="AB98" s="18"/>
      <c r="AC98" s="18"/>
    </row>
    <row r="99" spans="23:29" customFormat="1" x14ac:dyDescent="0.25">
      <c r="W99" s="37"/>
      <c r="X99" s="52"/>
      <c r="Y99" s="52"/>
      <c r="Z99" s="37"/>
      <c r="AA99" s="18"/>
      <c r="AB99" s="18"/>
      <c r="AC99" s="18"/>
    </row>
    <row r="100" spans="23:29" customFormat="1" x14ac:dyDescent="0.25">
      <c r="W100" s="37"/>
      <c r="X100" s="52"/>
      <c r="Y100" s="52"/>
      <c r="Z100" s="37"/>
      <c r="AA100" s="18"/>
      <c r="AB100" s="18"/>
      <c r="AC100" s="18"/>
    </row>
    <row r="101" spans="23:29" customFormat="1" x14ac:dyDescent="0.25">
      <c r="W101" s="37"/>
      <c r="X101" s="52"/>
      <c r="Y101" s="52"/>
      <c r="Z101" s="37"/>
      <c r="AA101" s="18"/>
      <c r="AB101" s="18"/>
      <c r="AC101" s="18"/>
    </row>
    <row r="102" spans="23:29" customFormat="1" x14ac:dyDescent="0.25">
      <c r="W102" s="37"/>
      <c r="X102" s="52"/>
      <c r="Y102" s="52"/>
      <c r="Z102" s="37"/>
      <c r="AA102" s="18"/>
      <c r="AB102" s="18"/>
      <c r="AC102" s="18"/>
    </row>
    <row r="103" spans="23:29" customFormat="1" x14ac:dyDescent="0.25">
      <c r="W103" s="37"/>
      <c r="X103" s="52"/>
      <c r="Y103" s="52"/>
      <c r="Z103" s="37"/>
      <c r="AA103" s="18"/>
      <c r="AB103" s="18"/>
      <c r="AC103" s="18"/>
    </row>
    <row r="104" spans="23:29" customFormat="1" x14ac:dyDescent="0.25">
      <c r="W104" s="37"/>
      <c r="X104" s="52"/>
      <c r="Y104" s="52"/>
      <c r="Z104" s="37"/>
      <c r="AA104" s="18"/>
      <c r="AB104" s="18"/>
      <c r="AC104" s="18"/>
    </row>
    <row r="105" spans="23:29" customFormat="1" x14ac:dyDescent="0.25">
      <c r="W105" s="37"/>
      <c r="X105" s="52"/>
      <c r="Y105" s="52"/>
      <c r="Z105" s="37"/>
      <c r="AA105" s="18"/>
      <c r="AB105" s="18"/>
      <c r="AC105" s="18"/>
    </row>
    <row r="106" spans="23:29" customFormat="1" x14ac:dyDescent="0.25">
      <c r="W106" s="37"/>
      <c r="X106" s="52"/>
      <c r="Y106" s="52"/>
      <c r="Z106" s="37"/>
      <c r="AA106" s="18"/>
      <c r="AB106" s="18"/>
      <c r="AC106" s="18"/>
    </row>
    <row r="107" spans="23:29" customFormat="1" x14ac:dyDescent="0.25">
      <c r="W107" s="37"/>
      <c r="X107" s="52"/>
      <c r="Y107" s="52"/>
      <c r="Z107" s="37"/>
      <c r="AA107" s="18"/>
      <c r="AB107" s="18"/>
      <c r="AC107" s="18"/>
    </row>
    <row r="108" spans="23:29" customFormat="1" x14ac:dyDescent="0.25">
      <c r="W108" s="37"/>
      <c r="X108" s="52"/>
      <c r="Y108" s="52"/>
      <c r="Z108" s="37"/>
      <c r="AA108" s="18"/>
      <c r="AB108" s="18"/>
      <c r="AC108" s="18"/>
    </row>
    <row r="109" spans="23:29" customFormat="1" x14ac:dyDescent="0.25">
      <c r="W109" s="37"/>
      <c r="X109" s="52"/>
      <c r="Y109" s="52"/>
      <c r="Z109" s="37"/>
      <c r="AA109" s="18"/>
      <c r="AB109" s="18"/>
      <c r="AC109" s="18"/>
    </row>
    <row r="110" spans="23:29" customFormat="1" x14ac:dyDescent="0.25">
      <c r="W110" s="37"/>
      <c r="X110" s="52"/>
      <c r="Y110" s="52"/>
      <c r="Z110" s="37"/>
      <c r="AA110" s="18"/>
      <c r="AB110" s="18"/>
      <c r="AC110" s="18"/>
    </row>
    <row r="111" spans="23:29" customFormat="1" x14ac:dyDescent="0.25">
      <c r="W111" s="37"/>
      <c r="X111" s="52"/>
      <c r="Y111" s="52"/>
      <c r="Z111" s="37"/>
      <c r="AA111" s="18"/>
      <c r="AB111" s="18"/>
      <c r="AC111" s="18"/>
    </row>
    <row r="112" spans="23:29" customFormat="1" x14ac:dyDescent="0.25">
      <c r="W112" s="37"/>
      <c r="X112" s="52"/>
      <c r="Y112" s="52"/>
      <c r="Z112" s="37"/>
      <c r="AA112" s="18"/>
      <c r="AB112" s="18"/>
      <c r="AC112" s="18"/>
    </row>
    <row r="113" spans="23:29" customFormat="1" x14ac:dyDescent="0.25">
      <c r="W113" s="37"/>
      <c r="X113" s="52"/>
      <c r="Y113" s="52"/>
      <c r="Z113" s="37"/>
      <c r="AA113" s="18"/>
      <c r="AB113" s="18"/>
      <c r="AC113" s="18"/>
    </row>
    <row r="114" spans="23:29" customFormat="1" x14ac:dyDescent="0.25">
      <c r="W114" s="37"/>
      <c r="X114" s="52"/>
      <c r="Y114" s="52"/>
      <c r="Z114" s="37"/>
      <c r="AA114" s="18"/>
      <c r="AB114" s="18"/>
      <c r="AC114" s="18"/>
    </row>
    <row r="115" spans="23:29" customFormat="1" x14ac:dyDescent="0.25">
      <c r="W115" s="37"/>
      <c r="X115" s="52"/>
      <c r="Y115" s="52"/>
      <c r="Z115" s="37"/>
      <c r="AA115" s="18"/>
      <c r="AB115" s="18"/>
      <c r="AC115" s="18"/>
    </row>
    <row r="116" spans="23:29" customFormat="1" x14ac:dyDescent="0.25">
      <c r="W116" s="37"/>
      <c r="X116" s="52"/>
      <c r="Y116" s="52"/>
      <c r="Z116" s="37"/>
      <c r="AA116" s="18"/>
      <c r="AB116" s="18"/>
      <c r="AC116" s="18"/>
    </row>
    <row r="117" spans="23:29" customFormat="1" x14ac:dyDescent="0.25">
      <c r="W117" s="37"/>
      <c r="X117" s="52"/>
      <c r="Y117" s="52"/>
      <c r="Z117" s="37"/>
      <c r="AA117" s="18"/>
      <c r="AB117" s="18"/>
      <c r="AC117" s="18"/>
    </row>
    <row r="118" spans="23:29" customFormat="1" x14ac:dyDescent="0.25">
      <c r="W118" s="37"/>
      <c r="X118" s="52"/>
      <c r="Y118" s="52"/>
      <c r="Z118" s="37"/>
      <c r="AA118" s="18"/>
      <c r="AB118" s="18"/>
      <c r="AC118" s="18"/>
    </row>
    <row r="119" spans="23:29" customFormat="1" x14ac:dyDescent="0.25">
      <c r="W119" s="37"/>
      <c r="X119" s="52"/>
      <c r="Y119" s="52"/>
      <c r="Z119" s="37"/>
      <c r="AA119" s="18"/>
      <c r="AB119" s="18"/>
      <c r="AC119" s="18"/>
    </row>
    <row r="120" spans="23:29" customFormat="1" x14ac:dyDescent="0.25">
      <c r="W120" s="37"/>
      <c r="X120" s="52"/>
      <c r="Y120" s="52"/>
      <c r="Z120" s="37"/>
      <c r="AA120" s="18"/>
      <c r="AB120" s="18"/>
      <c r="AC120" s="18"/>
    </row>
    <row r="121" spans="23:29" customFormat="1" x14ac:dyDescent="0.25">
      <c r="W121" s="37"/>
      <c r="X121" s="52"/>
      <c r="Y121" s="52"/>
      <c r="Z121" s="37"/>
      <c r="AA121" s="18"/>
      <c r="AB121" s="18"/>
      <c r="AC121" s="18"/>
    </row>
    <row r="122" spans="23:29" customFormat="1" x14ac:dyDescent="0.25">
      <c r="W122" s="37"/>
      <c r="X122" s="52"/>
      <c r="Y122" s="52"/>
      <c r="Z122" s="37"/>
      <c r="AA122" s="18"/>
      <c r="AB122" s="18"/>
      <c r="AC122" s="18"/>
    </row>
    <row r="123" spans="23:29" customFormat="1" x14ac:dyDescent="0.25">
      <c r="W123" s="37"/>
      <c r="X123" s="52"/>
      <c r="Y123" s="52"/>
      <c r="Z123" s="37"/>
      <c r="AA123" s="18"/>
      <c r="AB123" s="18"/>
      <c r="AC123" s="18"/>
    </row>
    <row r="124" spans="23:29" customFormat="1" x14ac:dyDescent="0.25">
      <c r="W124" s="37"/>
      <c r="X124" s="52"/>
      <c r="Y124" s="52"/>
      <c r="Z124" s="37"/>
      <c r="AA124" s="18"/>
      <c r="AB124" s="18"/>
      <c r="AC124" s="18"/>
    </row>
    <row r="125" spans="23:29" customFormat="1" x14ac:dyDescent="0.25">
      <c r="W125" s="37"/>
      <c r="X125" s="52"/>
      <c r="Y125" s="52"/>
      <c r="Z125" s="37"/>
      <c r="AA125" s="18"/>
      <c r="AB125" s="18"/>
      <c r="AC125" s="18"/>
    </row>
    <row r="126" spans="23:29" customFormat="1" x14ac:dyDescent="0.25">
      <c r="W126" s="37"/>
      <c r="X126" s="52"/>
      <c r="Y126" s="52"/>
      <c r="Z126" s="37"/>
      <c r="AA126" s="18"/>
      <c r="AB126" s="18"/>
      <c r="AC126" s="18"/>
    </row>
    <row r="127" spans="23:29" customFormat="1" x14ac:dyDescent="0.25">
      <c r="W127" s="37"/>
      <c r="X127" s="52"/>
      <c r="Y127" s="52"/>
      <c r="Z127" s="37"/>
      <c r="AA127" s="18"/>
      <c r="AB127" s="18"/>
      <c r="AC127" s="18"/>
    </row>
    <row r="128" spans="23:29" customFormat="1" x14ac:dyDescent="0.25">
      <c r="W128" s="37"/>
      <c r="X128" s="52"/>
      <c r="Y128" s="52"/>
      <c r="Z128" s="37"/>
      <c r="AA128" s="18"/>
      <c r="AB128" s="18"/>
      <c r="AC128" s="18"/>
    </row>
    <row r="129" spans="23:29" customFormat="1" x14ac:dyDescent="0.25">
      <c r="W129" s="37"/>
      <c r="X129" s="52"/>
      <c r="Y129" s="52"/>
      <c r="Z129" s="37"/>
      <c r="AA129" s="18"/>
      <c r="AB129" s="18"/>
      <c r="AC129" s="18"/>
    </row>
    <row r="130" spans="23:29" customFormat="1" x14ac:dyDescent="0.25">
      <c r="W130" s="37"/>
      <c r="X130" s="52"/>
      <c r="Y130" s="52"/>
      <c r="Z130" s="37"/>
      <c r="AA130" s="18"/>
      <c r="AB130" s="18"/>
      <c r="AC130" s="18"/>
    </row>
    <row r="131" spans="23:29" customFormat="1" x14ac:dyDescent="0.25">
      <c r="W131" s="37"/>
      <c r="X131" s="52"/>
      <c r="Y131" s="52"/>
      <c r="Z131" s="37"/>
      <c r="AA131" s="18"/>
      <c r="AB131" s="18"/>
      <c r="AC131" s="18"/>
    </row>
    <row r="132" spans="23:29" customFormat="1" x14ac:dyDescent="0.25">
      <c r="W132" s="37"/>
      <c r="X132" s="52"/>
      <c r="Y132" s="52"/>
      <c r="Z132" s="37"/>
      <c r="AA132" s="18"/>
      <c r="AB132" s="18"/>
      <c r="AC132" s="18"/>
    </row>
    <row r="133" spans="23:29" customFormat="1" x14ac:dyDescent="0.25">
      <c r="W133" s="37"/>
      <c r="X133" s="52"/>
      <c r="Y133" s="52"/>
      <c r="Z133" s="37"/>
      <c r="AA133" s="18"/>
      <c r="AB133" s="18"/>
      <c r="AC133" s="18"/>
    </row>
    <row r="134" spans="23:29" customFormat="1" x14ac:dyDescent="0.25">
      <c r="W134" s="37"/>
      <c r="X134" s="52"/>
      <c r="Y134" s="52"/>
      <c r="Z134" s="37"/>
      <c r="AA134" s="18"/>
      <c r="AB134" s="18"/>
      <c r="AC134" s="18"/>
    </row>
    <row r="135" spans="23:29" customFormat="1" x14ac:dyDescent="0.25">
      <c r="W135" s="37"/>
      <c r="X135" s="52"/>
      <c r="Y135" s="52"/>
      <c r="Z135" s="37"/>
      <c r="AA135" s="18"/>
      <c r="AB135" s="18"/>
      <c r="AC135" s="18"/>
    </row>
    <row r="136" spans="23:29" customFormat="1" x14ac:dyDescent="0.25">
      <c r="W136" s="37"/>
      <c r="X136" s="52"/>
      <c r="Y136" s="52"/>
      <c r="Z136" s="37"/>
      <c r="AA136" s="18"/>
      <c r="AB136" s="18"/>
      <c r="AC136" s="18"/>
    </row>
    <row r="137" spans="23:29" customFormat="1" x14ac:dyDescent="0.25">
      <c r="W137" s="37"/>
      <c r="X137" s="52"/>
      <c r="Y137" s="52"/>
      <c r="Z137" s="37"/>
      <c r="AA137" s="18"/>
      <c r="AB137" s="18"/>
      <c r="AC137" s="18"/>
    </row>
    <row r="138" spans="23:29" customFormat="1" x14ac:dyDescent="0.25">
      <c r="W138" s="37"/>
      <c r="X138" s="52"/>
      <c r="Y138" s="52"/>
      <c r="Z138" s="37"/>
      <c r="AA138" s="18"/>
      <c r="AB138" s="18"/>
      <c r="AC138" s="18"/>
    </row>
    <row r="139" spans="23:29" customFormat="1" x14ac:dyDescent="0.25">
      <c r="W139" s="37"/>
      <c r="X139" s="52"/>
      <c r="Y139" s="52"/>
      <c r="Z139" s="37"/>
      <c r="AA139" s="18"/>
      <c r="AB139" s="18"/>
      <c r="AC139" s="18"/>
    </row>
    <row r="140" spans="23:29" customFormat="1" x14ac:dyDescent="0.25">
      <c r="W140" s="37"/>
      <c r="X140" s="52"/>
      <c r="Y140" s="52"/>
      <c r="Z140" s="37"/>
      <c r="AA140" s="18"/>
      <c r="AB140" s="18"/>
      <c r="AC140" s="18"/>
    </row>
    <row r="141" spans="23:29" customFormat="1" x14ac:dyDescent="0.25">
      <c r="W141" s="37"/>
      <c r="X141" s="52"/>
      <c r="Y141" s="52"/>
      <c r="Z141" s="37"/>
      <c r="AA141" s="18"/>
      <c r="AB141" s="18"/>
      <c r="AC141" s="18"/>
    </row>
    <row r="142" spans="23:29" customFormat="1" x14ac:dyDescent="0.25">
      <c r="W142" s="37"/>
      <c r="X142" s="52"/>
      <c r="Y142" s="52"/>
      <c r="Z142" s="37"/>
      <c r="AA142" s="18"/>
      <c r="AB142" s="18"/>
      <c r="AC142" s="18"/>
    </row>
    <row r="143" spans="23:29" customFormat="1" x14ac:dyDescent="0.25">
      <c r="W143" s="37"/>
      <c r="X143" s="52"/>
      <c r="Y143" s="52"/>
      <c r="Z143" s="37"/>
      <c r="AA143" s="18"/>
      <c r="AB143" s="18"/>
      <c r="AC143" s="18"/>
    </row>
    <row r="144" spans="23:29" customFormat="1" x14ac:dyDescent="0.25">
      <c r="W144" s="37"/>
      <c r="X144" s="52"/>
      <c r="Y144" s="52"/>
      <c r="Z144" s="37"/>
      <c r="AA144" s="18"/>
      <c r="AB144" s="18"/>
      <c r="AC144" s="18"/>
    </row>
    <row r="145" spans="23:29" customFormat="1" x14ac:dyDescent="0.25">
      <c r="W145" s="37"/>
      <c r="X145" s="52"/>
      <c r="Y145" s="52"/>
      <c r="Z145" s="37"/>
      <c r="AA145" s="18"/>
      <c r="AB145" s="18"/>
      <c r="AC145" s="18"/>
    </row>
    <row r="146" spans="23:29" customFormat="1" x14ac:dyDescent="0.25">
      <c r="W146" s="37"/>
      <c r="X146" s="52"/>
      <c r="Y146" s="52"/>
      <c r="Z146" s="37"/>
      <c r="AA146" s="18"/>
      <c r="AB146" s="18"/>
      <c r="AC146" s="18"/>
    </row>
    <row r="147" spans="23:29" customFormat="1" x14ac:dyDescent="0.25">
      <c r="W147" s="37"/>
      <c r="X147" s="52"/>
      <c r="Y147" s="52"/>
      <c r="Z147" s="37"/>
      <c r="AA147" s="18"/>
      <c r="AB147" s="18"/>
      <c r="AC147" s="18"/>
    </row>
    <row r="148" spans="23:29" customFormat="1" x14ac:dyDescent="0.25">
      <c r="W148" s="37"/>
      <c r="X148" s="52"/>
      <c r="Y148" s="52"/>
      <c r="Z148" s="37"/>
      <c r="AA148" s="18"/>
      <c r="AB148" s="18"/>
      <c r="AC148" s="18"/>
    </row>
    <row r="149" spans="23:29" customFormat="1" x14ac:dyDescent="0.25">
      <c r="W149" s="37"/>
      <c r="X149" s="52"/>
      <c r="Y149" s="52"/>
      <c r="Z149" s="37"/>
      <c r="AA149" s="18"/>
      <c r="AB149" s="18"/>
      <c r="AC149" s="18"/>
    </row>
    <row r="150" spans="23:29" customFormat="1" x14ac:dyDescent="0.25">
      <c r="W150" s="37"/>
      <c r="X150" s="52"/>
      <c r="Y150" s="52"/>
      <c r="Z150" s="37"/>
      <c r="AA150" s="18"/>
      <c r="AB150" s="18"/>
      <c r="AC150" s="18"/>
    </row>
    <row r="151" spans="23:29" customFormat="1" x14ac:dyDescent="0.25">
      <c r="W151" s="37"/>
      <c r="X151" s="52"/>
      <c r="Y151" s="52"/>
      <c r="Z151" s="37"/>
      <c r="AA151" s="18"/>
      <c r="AB151" s="18"/>
      <c r="AC151" s="18"/>
    </row>
    <row r="152" spans="23:29" customFormat="1" x14ac:dyDescent="0.25">
      <c r="W152" s="37"/>
      <c r="X152" s="52"/>
      <c r="Y152" s="52"/>
      <c r="Z152" s="37"/>
      <c r="AA152" s="18"/>
      <c r="AB152" s="18"/>
      <c r="AC152" s="18"/>
    </row>
    <row r="153" spans="23:29" customFormat="1" x14ac:dyDescent="0.25">
      <c r="W153" s="37"/>
      <c r="X153" s="52"/>
      <c r="Y153" s="52"/>
      <c r="Z153" s="37"/>
      <c r="AA153" s="18"/>
      <c r="AB153" s="18"/>
      <c r="AC153" s="18"/>
    </row>
    <row r="154" spans="23:29" customFormat="1" x14ac:dyDescent="0.25">
      <c r="W154" s="37"/>
      <c r="X154" s="52"/>
      <c r="Y154" s="52"/>
      <c r="Z154" s="37"/>
      <c r="AA154" s="18"/>
      <c r="AB154" s="18"/>
      <c r="AC154" s="18"/>
    </row>
    <row r="155" spans="23:29" customFormat="1" x14ac:dyDescent="0.25">
      <c r="W155" s="37"/>
      <c r="X155" s="52"/>
      <c r="Y155" s="52"/>
      <c r="Z155" s="37"/>
      <c r="AA155" s="18"/>
      <c r="AB155" s="18"/>
      <c r="AC155" s="18"/>
    </row>
    <row r="156" spans="23:29" customFormat="1" x14ac:dyDescent="0.25">
      <c r="W156" s="37"/>
      <c r="X156" s="52"/>
      <c r="Y156" s="52"/>
      <c r="Z156" s="37"/>
      <c r="AA156" s="18"/>
      <c r="AB156" s="18"/>
      <c r="AC156" s="18"/>
    </row>
    <row r="157" spans="23:29" customFormat="1" x14ac:dyDescent="0.25">
      <c r="W157" s="37"/>
      <c r="X157" s="52"/>
      <c r="Y157" s="52"/>
      <c r="Z157" s="37"/>
      <c r="AA157" s="18"/>
      <c r="AB157" s="18"/>
      <c r="AC157" s="18"/>
    </row>
    <row r="158" spans="23:29" customFormat="1" x14ac:dyDescent="0.25">
      <c r="W158" s="37"/>
      <c r="X158" s="52"/>
      <c r="Y158" s="52"/>
      <c r="Z158" s="37"/>
      <c r="AA158" s="18"/>
      <c r="AB158" s="18"/>
      <c r="AC158" s="18"/>
    </row>
    <row r="159" spans="23:29" customFormat="1" x14ac:dyDescent="0.25">
      <c r="W159" s="37"/>
      <c r="X159" s="52"/>
      <c r="Y159" s="52"/>
      <c r="Z159" s="37"/>
      <c r="AA159" s="18"/>
      <c r="AB159" s="18"/>
      <c r="AC159" s="18"/>
    </row>
    <row r="160" spans="23:29" customFormat="1" x14ac:dyDescent="0.25">
      <c r="W160" s="37"/>
      <c r="X160" s="52"/>
      <c r="Y160" s="52"/>
      <c r="Z160" s="37"/>
      <c r="AA160" s="18"/>
      <c r="AB160" s="18"/>
      <c r="AC160" s="18"/>
    </row>
    <row r="161" spans="23:29" customFormat="1" x14ac:dyDescent="0.25">
      <c r="W161" s="37"/>
      <c r="X161" s="52"/>
      <c r="Y161" s="52"/>
      <c r="Z161" s="37"/>
      <c r="AA161" s="18"/>
      <c r="AB161" s="18"/>
      <c r="AC161" s="18"/>
    </row>
    <row r="162" spans="23:29" customFormat="1" x14ac:dyDescent="0.25">
      <c r="W162" s="37"/>
      <c r="X162" s="52"/>
      <c r="Y162" s="52"/>
      <c r="Z162" s="37"/>
      <c r="AA162" s="18"/>
      <c r="AB162" s="18"/>
      <c r="AC162" s="18"/>
    </row>
    <row r="163" spans="23:29" customFormat="1" x14ac:dyDescent="0.25">
      <c r="W163" s="37"/>
      <c r="X163" s="52"/>
      <c r="Y163" s="52"/>
      <c r="Z163" s="37"/>
      <c r="AA163" s="18"/>
      <c r="AB163" s="18"/>
      <c r="AC163" s="18"/>
    </row>
    <row r="164" spans="23:29" customFormat="1" x14ac:dyDescent="0.25">
      <c r="W164" s="37"/>
      <c r="X164" s="52"/>
      <c r="Y164" s="52"/>
      <c r="Z164" s="37"/>
      <c r="AA164" s="18"/>
      <c r="AB164" s="18"/>
      <c r="AC164" s="18"/>
    </row>
    <row r="165" spans="23:29" customFormat="1" x14ac:dyDescent="0.25">
      <c r="W165" s="37"/>
      <c r="X165" s="52"/>
      <c r="Y165" s="52"/>
      <c r="Z165" s="37"/>
      <c r="AA165" s="18"/>
      <c r="AB165" s="18"/>
      <c r="AC165" s="18"/>
    </row>
    <row r="166" spans="23:29" customFormat="1" x14ac:dyDescent="0.25">
      <c r="W166" s="37"/>
      <c r="X166" s="52"/>
      <c r="Y166" s="52"/>
      <c r="Z166" s="37"/>
      <c r="AA166" s="18"/>
      <c r="AB166" s="18"/>
      <c r="AC166" s="18"/>
    </row>
    <row r="167" spans="23:29" customFormat="1" x14ac:dyDescent="0.25">
      <c r="W167" s="37"/>
      <c r="X167" s="52"/>
      <c r="Y167" s="52"/>
      <c r="Z167" s="37"/>
      <c r="AA167" s="18"/>
      <c r="AB167" s="18"/>
      <c r="AC167" s="18"/>
    </row>
    <row r="168" spans="23:29" customFormat="1" x14ac:dyDescent="0.25">
      <c r="W168" s="37"/>
      <c r="X168" s="52"/>
      <c r="Y168" s="52"/>
      <c r="Z168" s="37"/>
      <c r="AA168" s="18"/>
      <c r="AB168" s="18"/>
      <c r="AC168" s="18"/>
    </row>
    <row r="169" spans="23:29" customFormat="1" x14ac:dyDescent="0.25">
      <c r="W169" s="37"/>
      <c r="X169" s="52"/>
      <c r="Y169" s="52"/>
      <c r="Z169" s="37"/>
      <c r="AA169" s="18"/>
      <c r="AB169" s="18"/>
      <c r="AC169" s="18"/>
    </row>
    <row r="170" spans="23:29" customFormat="1" x14ac:dyDescent="0.25">
      <c r="W170" s="37"/>
      <c r="X170" s="52"/>
      <c r="Y170" s="52"/>
      <c r="Z170" s="37"/>
      <c r="AA170" s="18"/>
      <c r="AB170" s="18"/>
      <c r="AC170" s="18"/>
    </row>
    <row r="171" spans="23:29" customFormat="1" x14ac:dyDescent="0.25">
      <c r="W171" s="37"/>
      <c r="X171" s="52"/>
      <c r="Y171" s="52"/>
      <c r="Z171" s="37"/>
      <c r="AA171" s="18"/>
      <c r="AB171" s="18"/>
      <c r="AC171" s="18"/>
    </row>
    <row r="172" spans="23:29" customFormat="1" x14ac:dyDescent="0.25">
      <c r="W172" s="37"/>
      <c r="X172" s="52"/>
      <c r="Y172" s="52"/>
      <c r="Z172" s="37"/>
      <c r="AA172" s="18"/>
      <c r="AB172" s="18"/>
      <c r="AC172" s="18"/>
    </row>
    <row r="173" spans="23:29" customFormat="1" x14ac:dyDescent="0.25">
      <c r="W173" s="37"/>
      <c r="X173" s="52"/>
      <c r="Y173" s="52"/>
      <c r="Z173" s="37"/>
      <c r="AA173" s="18"/>
      <c r="AB173" s="18"/>
      <c r="AC173" s="18"/>
    </row>
    <row r="174" spans="23:29" customFormat="1" x14ac:dyDescent="0.25">
      <c r="W174" s="37"/>
      <c r="X174" s="52"/>
      <c r="Y174" s="52"/>
      <c r="Z174" s="37"/>
      <c r="AA174" s="18"/>
      <c r="AB174" s="18"/>
      <c r="AC174" s="18"/>
    </row>
    <row r="175" spans="23:29" customFormat="1" x14ac:dyDescent="0.25">
      <c r="W175" s="37"/>
      <c r="X175" s="52"/>
      <c r="Y175" s="52"/>
      <c r="Z175" s="37"/>
      <c r="AA175" s="18"/>
      <c r="AB175" s="18"/>
      <c r="AC175" s="18"/>
    </row>
    <row r="176" spans="23:29" customFormat="1" x14ac:dyDescent="0.25">
      <c r="W176" s="37"/>
      <c r="X176" s="52"/>
      <c r="Y176" s="52"/>
      <c r="Z176" s="37"/>
      <c r="AA176" s="18"/>
      <c r="AB176" s="18"/>
      <c r="AC176" s="18"/>
    </row>
    <row r="177" spans="23:29" customFormat="1" x14ac:dyDescent="0.25">
      <c r="W177" s="37"/>
      <c r="X177" s="52"/>
      <c r="Y177" s="52"/>
      <c r="Z177" s="37"/>
      <c r="AA177" s="18"/>
      <c r="AB177" s="18"/>
      <c r="AC177" s="18"/>
    </row>
    <row r="178" spans="23:29" customFormat="1" x14ac:dyDescent="0.25">
      <c r="W178" s="37"/>
      <c r="X178" s="52"/>
      <c r="Y178" s="52"/>
      <c r="Z178" s="37"/>
      <c r="AA178" s="18"/>
      <c r="AB178" s="18"/>
      <c r="AC178" s="18"/>
    </row>
    <row r="179" spans="23:29" customFormat="1" x14ac:dyDescent="0.25">
      <c r="W179" s="37"/>
      <c r="X179" s="52"/>
      <c r="Y179" s="52"/>
      <c r="Z179" s="37"/>
      <c r="AA179" s="18"/>
      <c r="AB179" s="18"/>
      <c r="AC179" s="18"/>
    </row>
    <row r="180" spans="23:29" customFormat="1" x14ac:dyDescent="0.25">
      <c r="W180" s="37"/>
      <c r="X180" s="52"/>
      <c r="Y180" s="52"/>
      <c r="Z180" s="37"/>
      <c r="AA180" s="18"/>
      <c r="AB180" s="18"/>
      <c r="AC180" s="18"/>
    </row>
    <row r="181" spans="23:29" customFormat="1" x14ac:dyDescent="0.25">
      <c r="W181" s="37"/>
      <c r="X181" s="52"/>
      <c r="Y181" s="52"/>
      <c r="Z181" s="37"/>
      <c r="AA181" s="18"/>
      <c r="AB181" s="18"/>
      <c r="AC181" s="18"/>
    </row>
    <row r="182" spans="23:29" customFormat="1" x14ac:dyDescent="0.25">
      <c r="W182" s="37"/>
      <c r="X182" s="52"/>
      <c r="Y182" s="52"/>
      <c r="Z182" s="37"/>
      <c r="AA182" s="18"/>
      <c r="AB182" s="18"/>
      <c r="AC182" s="18"/>
    </row>
    <row r="183" spans="23:29" customFormat="1" x14ac:dyDescent="0.25">
      <c r="W183" s="37"/>
      <c r="X183" s="52"/>
      <c r="Y183" s="52"/>
      <c r="Z183" s="37"/>
      <c r="AA183" s="18"/>
      <c r="AB183" s="18"/>
      <c r="AC183" s="18"/>
    </row>
    <row r="184" spans="23:29" customFormat="1" x14ac:dyDescent="0.25">
      <c r="W184" s="37"/>
      <c r="X184" s="52"/>
      <c r="Y184" s="52"/>
      <c r="Z184" s="37"/>
      <c r="AA184" s="18"/>
      <c r="AB184" s="18"/>
      <c r="AC184" s="18"/>
    </row>
    <row r="185" spans="23:29" customFormat="1" x14ac:dyDescent="0.25">
      <c r="W185" s="37"/>
      <c r="X185" s="52"/>
      <c r="Y185" s="52"/>
      <c r="Z185" s="37"/>
      <c r="AA185" s="18"/>
      <c r="AB185" s="18"/>
      <c r="AC185" s="18"/>
    </row>
    <row r="186" spans="23:29" customFormat="1" x14ac:dyDescent="0.25">
      <c r="W186" s="37"/>
      <c r="X186" s="52"/>
      <c r="Y186" s="52"/>
      <c r="Z186" s="37"/>
      <c r="AA186" s="18"/>
      <c r="AB186" s="18"/>
      <c r="AC186" s="18"/>
    </row>
    <row r="187" spans="23:29" customFormat="1" x14ac:dyDescent="0.25">
      <c r="W187" s="37"/>
      <c r="X187" s="52"/>
      <c r="Y187" s="52"/>
      <c r="Z187" s="37"/>
      <c r="AA187" s="18"/>
      <c r="AB187" s="18"/>
      <c r="AC187" s="18"/>
    </row>
    <row r="188" spans="23:29" customFormat="1" x14ac:dyDescent="0.25">
      <c r="W188" s="37"/>
      <c r="X188" s="52"/>
      <c r="Y188" s="52"/>
      <c r="Z188" s="37"/>
      <c r="AA188" s="18"/>
      <c r="AB188" s="18"/>
      <c r="AC188" s="18"/>
    </row>
    <row r="189" spans="23:29" customFormat="1" x14ac:dyDescent="0.25">
      <c r="W189" s="37"/>
      <c r="X189" s="52"/>
      <c r="Y189" s="52"/>
      <c r="Z189" s="37"/>
      <c r="AA189" s="18"/>
      <c r="AB189" s="18"/>
      <c r="AC189" s="18"/>
    </row>
    <row r="190" spans="23:29" customFormat="1" x14ac:dyDescent="0.25">
      <c r="W190" s="37"/>
      <c r="X190" s="52"/>
      <c r="Y190" s="52"/>
      <c r="Z190" s="37"/>
      <c r="AA190" s="18"/>
      <c r="AB190" s="18"/>
      <c r="AC190" s="18"/>
    </row>
    <row r="191" spans="23:29" customFormat="1" x14ac:dyDescent="0.25">
      <c r="W191" s="37"/>
      <c r="X191" s="52"/>
      <c r="Y191" s="52"/>
      <c r="Z191" s="37"/>
      <c r="AA191" s="18"/>
      <c r="AB191" s="18"/>
      <c r="AC191" s="18"/>
    </row>
    <row r="192" spans="23:29" customFormat="1" x14ac:dyDescent="0.25">
      <c r="W192" s="37"/>
      <c r="X192" s="52"/>
      <c r="Y192" s="52"/>
      <c r="Z192" s="37"/>
      <c r="AA192" s="18"/>
      <c r="AB192" s="18"/>
      <c r="AC192" s="18"/>
    </row>
    <row r="193" spans="23:29" customFormat="1" x14ac:dyDescent="0.25">
      <c r="W193" s="37"/>
      <c r="X193" s="52"/>
      <c r="Y193" s="52"/>
      <c r="Z193" s="37"/>
      <c r="AA193" s="18"/>
      <c r="AB193" s="18"/>
      <c r="AC193" s="18"/>
    </row>
    <row r="194" spans="23:29" customFormat="1" x14ac:dyDescent="0.25">
      <c r="W194" s="37"/>
      <c r="X194" s="52"/>
      <c r="Y194" s="52"/>
      <c r="Z194" s="37"/>
      <c r="AA194" s="18"/>
      <c r="AB194" s="18"/>
      <c r="AC194" s="18"/>
    </row>
    <row r="195" spans="23:29" customFormat="1" x14ac:dyDescent="0.25">
      <c r="W195" s="37"/>
      <c r="X195" s="52"/>
      <c r="Y195" s="52"/>
      <c r="Z195" s="37"/>
      <c r="AA195" s="18"/>
      <c r="AB195" s="18"/>
      <c r="AC195" s="18"/>
    </row>
    <row r="196" spans="23:29" customFormat="1" x14ac:dyDescent="0.25">
      <c r="W196" s="37"/>
      <c r="X196" s="52"/>
      <c r="Y196" s="52"/>
      <c r="Z196" s="37"/>
      <c r="AA196" s="18"/>
      <c r="AB196" s="18"/>
      <c r="AC196" s="18"/>
    </row>
    <row r="197" spans="23:29" customFormat="1" x14ac:dyDescent="0.25">
      <c r="W197" s="37"/>
      <c r="X197" s="52"/>
      <c r="Y197" s="52"/>
      <c r="Z197" s="37"/>
      <c r="AA197" s="18"/>
      <c r="AB197" s="18"/>
      <c r="AC197" s="18"/>
    </row>
    <row r="198" spans="23:29" customFormat="1" x14ac:dyDescent="0.25">
      <c r="W198" s="37"/>
      <c r="X198" s="52"/>
      <c r="Y198" s="52"/>
      <c r="Z198" s="37"/>
      <c r="AA198" s="18"/>
      <c r="AB198" s="18"/>
      <c r="AC198" s="18"/>
    </row>
    <row r="199" spans="23:29" customFormat="1" x14ac:dyDescent="0.25">
      <c r="W199" s="37"/>
      <c r="X199" s="52"/>
      <c r="Y199" s="52"/>
      <c r="Z199" s="37"/>
      <c r="AA199" s="18"/>
      <c r="AB199" s="18"/>
      <c r="AC199" s="18"/>
    </row>
    <row r="200" spans="23:29" customFormat="1" x14ac:dyDescent="0.25">
      <c r="W200" s="37"/>
      <c r="X200" s="52"/>
      <c r="Y200" s="52"/>
      <c r="Z200" s="37"/>
      <c r="AA200" s="18"/>
      <c r="AB200" s="18"/>
      <c r="AC200" s="18"/>
    </row>
    <row r="201" spans="23:29" customFormat="1" x14ac:dyDescent="0.25">
      <c r="W201" s="37"/>
      <c r="X201" s="52"/>
      <c r="Y201" s="52"/>
      <c r="Z201" s="37"/>
      <c r="AA201" s="18"/>
      <c r="AB201" s="18"/>
      <c r="AC201" s="18"/>
    </row>
    <row r="202" spans="23:29" customFormat="1" x14ac:dyDescent="0.25">
      <c r="W202" s="37"/>
      <c r="X202" s="52"/>
      <c r="Y202" s="52"/>
      <c r="Z202" s="37"/>
      <c r="AA202" s="18"/>
      <c r="AB202" s="18"/>
      <c r="AC202" s="18"/>
    </row>
    <row r="203" spans="23:29" customFormat="1" x14ac:dyDescent="0.25">
      <c r="W203" s="37"/>
      <c r="X203" s="52"/>
      <c r="Y203" s="52"/>
      <c r="Z203" s="37"/>
      <c r="AA203" s="18"/>
      <c r="AB203" s="18"/>
      <c r="AC203" s="18"/>
    </row>
    <row r="204" spans="23:29" customFormat="1" x14ac:dyDescent="0.25">
      <c r="W204" s="37"/>
      <c r="X204" s="52"/>
      <c r="Y204" s="52"/>
      <c r="Z204" s="37"/>
      <c r="AA204" s="18"/>
      <c r="AB204" s="18"/>
      <c r="AC204" s="18"/>
    </row>
    <row r="205" spans="23:29" customFormat="1" x14ac:dyDescent="0.25">
      <c r="W205" s="37"/>
      <c r="X205" s="52"/>
      <c r="Y205" s="52"/>
      <c r="Z205" s="37"/>
      <c r="AA205" s="18"/>
      <c r="AB205" s="18"/>
      <c r="AC205" s="18"/>
    </row>
    <row r="206" spans="23:29" customFormat="1" x14ac:dyDescent="0.25">
      <c r="W206" s="37"/>
      <c r="X206" s="52"/>
      <c r="Y206" s="52"/>
      <c r="Z206" s="37"/>
      <c r="AA206" s="18"/>
      <c r="AB206" s="18"/>
      <c r="AC206" s="18"/>
    </row>
    <row r="207" spans="23:29" customFormat="1" x14ac:dyDescent="0.25">
      <c r="W207" s="37"/>
      <c r="X207" s="52"/>
      <c r="Y207" s="52"/>
      <c r="Z207" s="37"/>
      <c r="AA207" s="18"/>
      <c r="AB207" s="18"/>
      <c r="AC207" s="18"/>
    </row>
    <row r="208" spans="23:29" customFormat="1" x14ac:dyDescent="0.25">
      <c r="W208" s="37"/>
      <c r="X208" s="52"/>
      <c r="Y208" s="52"/>
      <c r="Z208" s="37"/>
      <c r="AA208" s="18"/>
      <c r="AB208" s="18"/>
      <c r="AC208" s="18"/>
    </row>
    <row r="209" spans="23:29" customFormat="1" x14ac:dyDescent="0.25">
      <c r="W209" s="37"/>
      <c r="X209" s="52"/>
      <c r="Y209" s="52"/>
      <c r="Z209" s="37"/>
      <c r="AA209" s="18"/>
      <c r="AB209" s="18"/>
      <c r="AC209" s="18"/>
    </row>
    <row r="210" spans="23:29" customFormat="1" x14ac:dyDescent="0.25">
      <c r="W210" s="37"/>
      <c r="X210" s="52"/>
      <c r="Y210" s="52"/>
      <c r="Z210" s="37"/>
      <c r="AA210" s="18"/>
      <c r="AB210" s="18"/>
      <c r="AC210" s="18"/>
    </row>
    <row r="211" spans="23:29" customFormat="1" x14ac:dyDescent="0.25">
      <c r="W211" s="37"/>
      <c r="X211" s="52"/>
      <c r="Y211" s="52"/>
      <c r="Z211" s="37"/>
      <c r="AA211" s="18"/>
      <c r="AB211" s="18"/>
      <c r="AC211" s="18"/>
    </row>
    <row r="212" spans="23:29" customFormat="1" x14ac:dyDescent="0.25">
      <c r="W212" s="37"/>
      <c r="X212" s="52"/>
      <c r="Y212" s="52"/>
      <c r="Z212" s="37"/>
      <c r="AA212" s="18"/>
      <c r="AB212" s="18"/>
      <c r="AC212" s="18"/>
    </row>
    <row r="213" spans="23:29" customFormat="1" x14ac:dyDescent="0.25">
      <c r="W213" s="37"/>
      <c r="X213" s="52"/>
      <c r="Y213" s="52"/>
      <c r="Z213" s="37"/>
      <c r="AA213" s="18"/>
      <c r="AB213" s="18"/>
      <c r="AC213" s="18"/>
    </row>
    <row r="214" spans="23:29" customFormat="1" x14ac:dyDescent="0.25">
      <c r="W214" s="37"/>
      <c r="X214" s="52"/>
      <c r="Y214" s="52"/>
      <c r="Z214" s="37"/>
      <c r="AA214" s="18"/>
      <c r="AB214" s="18"/>
      <c r="AC214" s="18"/>
    </row>
    <row r="215" spans="23:29" customFormat="1" x14ac:dyDescent="0.25">
      <c r="W215" s="37"/>
      <c r="X215" s="52"/>
      <c r="Y215" s="52"/>
      <c r="Z215" s="37"/>
      <c r="AA215" s="18"/>
      <c r="AB215" s="18"/>
      <c r="AC215" s="18"/>
    </row>
    <row r="216" spans="23:29" customFormat="1" x14ac:dyDescent="0.25">
      <c r="W216" s="37"/>
      <c r="X216" s="52"/>
      <c r="Y216" s="52"/>
      <c r="Z216" s="37"/>
      <c r="AA216" s="18"/>
      <c r="AB216" s="18"/>
      <c r="AC216" s="18"/>
    </row>
    <row r="217" spans="23:29" customFormat="1" x14ac:dyDescent="0.25">
      <c r="W217" s="37"/>
      <c r="X217" s="52"/>
      <c r="Y217" s="52"/>
      <c r="Z217" s="37"/>
      <c r="AA217" s="18"/>
      <c r="AB217" s="18"/>
      <c r="AC217" s="18"/>
    </row>
    <row r="218" spans="23:29" customFormat="1" x14ac:dyDescent="0.25">
      <c r="W218" s="37"/>
      <c r="X218" s="52"/>
      <c r="Y218" s="52"/>
      <c r="Z218" s="37"/>
      <c r="AA218" s="18"/>
      <c r="AB218" s="18"/>
      <c r="AC218" s="18"/>
    </row>
    <row r="219" spans="23:29" customFormat="1" x14ac:dyDescent="0.25">
      <c r="W219" s="37"/>
      <c r="X219" s="52"/>
      <c r="Y219" s="52"/>
      <c r="Z219" s="37"/>
      <c r="AA219" s="18"/>
      <c r="AB219" s="18"/>
      <c r="AC219" s="18"/>
    </row>
    <row r="220" spans="23:29" customFormat="1" x14ac:dyDescent="0.25">
      <c r="W220" s="37"/>
      <c r="X220" s="52"/>
      <c r="Y220" s="52"/>
      <c r="Z220" s="37"/>
      <c r="AA220" s="18"/>
      <c r="AB220" s="18"/>
      <c r="AC220" s="18"/>
    </row>
    <row r="221" spans="23:29" customFormat="1" x14ac:dyDescent="0.25">
      <c r="W221" s="37"/>
      <c r="X221" s="52"/>
      <c r="Y221" s="52"/>
      <c r="Z221" s="37"/>
      <c r="AA221" s="18"/>
      <c r="AB221" s="18"/>
      <c r="AC221" s="18"/>
    </row>
    <row r="222" spans="23:29" customFormat="1" x14ac:dyDescent="0.25">
      <c r="W222" s="37"/>
      <c r="X222" s="52"/>
      <c r="Y222" s="52"/>
      <c r="Z222" s="37"/>
      <c r="AA222" s="18"/>
      <c r="AB222" s="18"/>
      <c r="AC222" s="18"/>
    </row>
    <row r="223" spans="23:29" customFormat="1" x14ac:dyDescent="0.25">
      <c r="W223" s="37"/>
      <c r="X223" s="52"/>
      <c r="Y223" s="52"/>
      <c r="Z223" s="37"/>
      <c r="AA223" s="18"/>
      <c r="AB223" s="18"/>
      <c r="AC223" s="18"/>
    </row>
    <row r="224" spans="23:29" customFormat="1" x14ac:dyDescent="0.25">
      <c r="W224" s="37"/>
      <c r="X224" s="52"/>
      <c r="Y224" s="52"/>
      <c r="Z224" s="37"/>
      <c r="AA224" s="18"/>
      <c r="AB224" s="18"/>
      <c r="AC224" s="18"/>
    </row>
    <row r="225" spans="23:29" customFormat="1" x14ac:dyDescent="0.25">
      <c r="W225" s="37"/>
      <c r="X225" s="52"/>
      <c r="Y225" s="52"/>
      <c r="Z225" s="37"/>
      <c r="AA225" s="18"/>
      <c r="AB225" s="18"/>
      <c r="AC225" s="18"/>
    </row>
    <row r="226" spans="23:29" customFormat="1" x14ac:dyDescent="0.25">
      <c r="W226" s="37"/>
      <c r="X226" s="52"/>
      <c r="Y226" s="52"/>
      <c r="Z226" s="37"/>
      <c r="AA226" s="18"/>
      <c r="AB226" s="18"/>
      <c r="AC226" s="18"/>
    </row>
    <row r="227" spans="23:29" customFormat="1" x14ac:dyDescent="0.25">
      <c r="W227" s="37"/>
      <c r="X227" s="52"/>
      <c r="Y227" s="52"/>
      <c r="Z227" s="37"/>
      <c r="AA227" s="18"/>
      <c r="AB227" s="18"/>
      <c r="AC227" s="18"/>
    </row>
    <row r="228" spans="23:29" customFormat="1" x14ac:dyDescent="0.25">
      <c r="W228" s="37"/>
      <c r="X228" s="52"/>
      <c r="Y228" s="52"/>
      <c r="Z228" s="37"/>
      <c r="AA228" s="18"/>
      <c r="AB228" s="18"/>
      <c r="AC228" s="18"/>
    </row>
    <row r="229" spans="23:29" customFormat="1" x14ac:dyDescent="0.25">
      <c r="W229" s="37"/>
      <c r="X229" s="52"/>
      <c r="Y229" s="52"/>
      <c r="Z229" s="37"/>
      <c r="AA229" s="18"/>
      <c r="AB229" s="18"/>
      <c r="AC229" s="18"/>
    </row>
    <row r="230" spans="23:29" customFormat="1" x14ac:dyDescent="0.25">
      <c r="W230" s="37"/>
      <c r="X230" s="52"/>
      <c r="Y230" s="52"/>
      <c r="Z230" s="37"/>
      <c r="AA230" s="18"/>
      <c r="AB230" s="18"/>
      <c r="AC230" s="18"/>
    </row>
    <row r="231" spans="23:29" customFormat="1" x14ac:dyDescent="0.25">
      <c r="W231" s="37"/>
      <c r="X231" s="52"/>
      <c r="Y231" s="52"/>
      <c r="Z231" s="37"/>
      <c r="AA231" s="18"/>
      <c r="AB231" s="18"/>
      <c r="AC231" s="18"/>
    </row>
    <row r="232" spans="23:29" customFormat="1" x14ac:dyDescent="0.25">
      <c r="W232" s="37"/>
      <c r="X232" s="52"/>
      <c r="Y232" s="52"/>
      <c r="Z232" s="37"/>
      <c r="AA232" s="18"/>
      <c r="AB232" s="18"/>
      <c r="AC232" s="18"/>
    </row>
    <row r="233" spans="23:29" customFormat="1" x14ac:dyDescent="0.25">
      <c r="W233" s="37"/>
      <c r="X233" s="52"/>
      <c r="Y233" s="52"/>
      <c r="Z233" s="37"/>
      <c r="AA233" s="18"/>
      <c r="AB233" s="18"/>
      <c r="AC233" s="18"/>
    </row>
    <row r="234" spans="23:29" customFormat="1" x14ac:dyDescent="0.25">
      <c r="W234" s="37"/>
      <c r="X234" s="52"/>
      <c r="Y234" s="52"/>
      <c r="Z234" s="37"/>
      <c r="AA234" s="18"/>
      <c r="AB234" s="18"/>
      <c r="AC234" s="18"/>
    </row>
    <row r="235" spans="23:29" customFormat="1" x14ac:dyDescent="0.25">
      <c r="W235" s="37"/>
      <c r="X235" s="52"/>
      <c r="Y235" s="52"/>
      <c r="Z235" s="37"/>
      <c r="AA235" s="18"/>
      <c r="AB235" s="18"/>
      <c r="AC235" s="18"/>
    </row>
    <row r="236" spans="23:29" customFormat="1" x14ac:dyDescent="0.25">
      <c r="W236" s="37"/>
      <c r="X236" s="52"/>
      <c r="Y236" s="52"/>
      <c r="Z236" s="37"/>
      <c r="AA236" s="18"/>
      <c r="AB236" s="18"/>
      <c r="AC236" s="18"/>
    </row>
    <row r="237" spans="23:29" customFormat="1" x14ac:dyDescent="0.25">
      <c r="W237" s="37"/>
      <c r="X237" s="52"/>
      <c r="Y237" s="52"/>
      <c r="Z237" s="37"/>
      <c r="AA237" s="18"/>
      <c r="AB237" s="18"/>
      <c r="AC237" s="18"/>
    </row>
    <row r="238" spans="23:29" customFormat="1" x14ac:dyDescent="0.25">
      <c r="W238" s="37"/>
      <c r="X238" s="52"/>
      <c r="Y238" s="52"/>
      <c r="Z238" s="37"/>
      <c r="AA238" s="18"/>
      <c r="AB238" s="18"/>
      <c r="AC238" s="18"/>
    </row>
    <row r="239" spans="23:29" customFormat="1" x14ac:dyDescent="0.25">
      <c r="W239" s="37"/>
      <c r="X239" s="52"/>
      <c r="Y239" s="52"/>
      <c r="Z239" s="37"/>
      <c r="AA239" s="18"/>
      <c r="AB239" s="18"/>
      <c r="AC239" s="18"/>
    </row>
    <row r="240" spans="23:29" customFormat="1" x14ac:dyDescent="0.25">
      <c r="W240" s="37"/>
      <c r="X240" s="52"/>
      <c r="Y240" s="52"/>
      <c r="Z240" s="37"/>
      <c r="AA240" s="18"/>
      <c r="AB240" s="18"/>
      <c r="AC240" s="18"/>
    </row>
    <row r="241" spans="23:29" customFormat="1" x14ac:dyDescent="0.25">
      <c r="W241" s="37"/>
      <c r="X241" s="52"/>
      <c r="Y241" s="52"/>
      <c r="Z241" s="37"/>
      <c r="AA241" s="18"/>
      <c r="AB241" s="18"/>
      <c r="AC241" s="18"/>
    </row>
    <row r="242" spans="23:29" customFormat="1" x14ac:dyDescent="0.25">
      <c r="W242" s="37"/>
      <c r="X242" s="52"/>
      <c r="Y242" s="52"/>
      <c r="Z242" s="37"/>
      <c r="AA242" s="18"/>
      <c r="AB242" s="18"/>
      <c r="AC242" s="18"/>
    </row>
    <row r="243" spans="23:29" customFormat="1" x14ac:dyDescent="0.25">
      <c r="W243" s="37"/>
      <c r="X243" s="52"/>
      <c r="Y243" s="52"/>
      <c r="Z243" s="37"/>
      <c r="AA243" s="18"/>
      <c r="AB243" s="18"/>
      <c r="AC243" s="18"/>
    </row>
    <row r="244" spans="23:29" customFormat="1" x14ac:dyDescent="0.25">
      <c r="W244" s="37"/>
      <c r="X244" s="52"/>
      <c r="Y244" s="52"/>
      <c r="Z244" s="37"/>
      <c r="AA244" s="18"/>
      <c r="AB244" s="18"/>
      <c r="AC244" s="18"/>
    </row>
    <row r="245" spans="23:29" customFormat="1" x14ac:dyDescent="0.25">
      <c r="W245" s="37"/>
      <c r="X245" s="52"/>
      <c r="Y245" s="52"/>
      <c r="Z245" s="37"/>
      <c r="AA245" s="18"/>
      <c r="AB245" s="18"/>
      <c r="AC245" s="18"/>
    </row>
    <row r="246" spans="23:29" customFormat="1" x14ac:dyDescent="0.25">
      <c r="W246" s="37"/>
      <c r="X246" s="52"/>
      <c r="Y246" s="52"/>
      <c r="Z246" s="37"/>
      <c r="AA246" s="18"/>
      <c r="AB246" s="18"/>
      <c r="AC246" s="18"/>
    </row>
    <row r="247" spans="23:29" customFormat="1" x14ac:dyDescent="0.25">
      <c r="W247" s="37"/>
      <c r="X247" s="52"/>
      <c r="Y247" s="52"/>
      <c r="Z247" s="37"/>
      <c r="AA247" s="18"/>
      <c r="AB247" s="18"/>
      <c r="AC247" s="18"/>
    </row>
    <row r="248" spans="23:29" customFormat="1" x14ac:dyDescent="0.25">
      <c r="W248" s="37"/>
      <c r="X248" s="52"/>
      <c r="Y248" s="52"/>
      <c r="Z248" s="37"/>
      <c r="AA248" s="18"/>
      <c r="AB248" s="18"/>
      <c r="AC248" s="18"/>
    </row>
    <row r="249" spans="23:29" customFormat="1" x14ac:dyDescent="0.25">
      <c r="W249" s="37"/>
      <c r="X249" s="52"/>
      <c r="Y249" s="52"/>
      <c r="Z249" s="37"/>
      <c r="AA249" s="18"/>
      <c r="AB249" s="18"/>
      <c r="AC249" s="18"/>
    </row>
    <row r="250" spans="23:29" customFormat="1" x14ac:dyDescent="0.25">
      <c r="W250" s="37"/>
      <c r="X250" s="52"/>
      <c r="Y250" s="52"/>
      <c r="Z250" s="37"/>
      <c r="AA250" s="18"/>
      <c r="AB250" s="18"/>
      <c r="AC250" s="18"/>
    </row>
    <row r="251" spans="23:29" customFormat="1" x14ac:dyDescent="0.25">
      <c r="W251" s="37"/>
      <c r="X251" s="52"/>
      <c r="Y251" s="52"/>
      <c r="Z251" s="37"/>
      <c r="AA251" s="18"/>
      <c r="AB251" s="18"/>
      <c r="AC251" s="18"/>
    </row>
    <row r="252" spans="23:29" customFormat="1" x14ac:dyDescent="0.25">
      <c r="W252" s="37"/>
      <c r="X252" s="52"/>
      <c r="Y252" s="52"/>
      <c r="Z252" s="37"/>
      <c r="AA252" s="18"/>
      <c r="AB252" s="18"/>
      <c r="AC252" s="18"/>
    </row>
    <row r="253" spans="23:29" customFormat="1" x14ac:dyDescent="0.25">
      <c r="W253" s="37"/>
      <c r="X253" s="52"/>
      <c r="Y253" s="52"/>
      <c r="Z253" s="37"/>
      <c r="AA253" s="18"/>
      <c r="AB253" s="18"/>
      <c r="AC253" s="18"/>
    </row>
    <row r="254" spans="23:29" customFormat="1" x14ac:dyDescent="0.25">
      <c r="W254" s="37"/>
      <c r="X254" s="52"/>
      <c r="Y254" s="52"/>
      <c r="Z254" s="37"/>
      <c r="AA254" s="18"/>
      <c r="AB254" s="18"/>
      <c r="AC254" s="18"/>
    </row>
    <row r="255" spans="23:29" customFormat="1" x14ac:dyDescent="0.25">
      <c r="W255" s="37"/>
      <c r="X255" s="52"/>
      <c r="Y255" s="52"/>
      <c r="Z255" s="37"/>
      <c r="AA255" s="18"/>
      <c r="AB255" s="18"/>
      <c r="AC255" s="18"/>
    </row>
    <row r="256" spans="23:29" customFormat="1" x14ac:dyDescent="0.25">
      <c r="W256" s="37"/>
      <c r="X256" s="52"/>
      <c r="Y256" s="52"/>
      <c r="Z256" s="37"/>
      <c r="AA256" s="18"/>
      <c r="AB256" s="18"/>
      <c r="AC256" s="18"/>
    </row>
    <row r="257" spans="23:29" customFormat="1" x14ac:dyDescent="0.25">
      <c r="W257" s="37"/>
      <c r="X257" s="52"/>
      <c r="Y257" s="52"/>
      <c r="Z257" s="37"/>
      <c r="AA257" s="18"/>
      <c r="AB257" s="18"/>
      <c r="AC257" s="18"/>
    </row>
    <row r="258" spans="23:29" customFormat="1" x14ac:dyDescent="0.25">
      <c r="W258" s="37"/>
      <c r="X258" s="52"/>
      <c r="Y258" s="52"/>
      <c r="Z258" s="37"/>
      <c r="AA258" s="18"/>
      <c r="AB258" s="18"/>
      <c r="AC258" s="18"/>
    </row>
    <row r="259" spans="23:29" customFormat="1" x14ac:dyDescent="0.25">
      <c r="W259" s="37"/>
      <c r="X259" s="52"/>
      <c r="Y259" s="52"/>
      <c r="Z259" s="37"/>
      <c r="AA259" s="18"/>
      <c r="AB259" s="18"/>
      <c r="AC259" s="18"/>
    </row>
    <row r="260" spans="23:29" customFormat="1" x14ac:dyDescent="0.25">
      <c r="W260" s="37"/>
      <c r="X260" s="52"/>
      <c r="Y260" s="52"/>
      <c r="Z260" s="37"/>
      <c r="AA260" s="18"/>
      <c r="AB260" s="18"/>
      <c r="AC260" s="18"/>
    </row>
    <row r="261" spans="23:29" customFormat="1" x14ac:dyDescent="0.25">
      <c r="W261" s="37"/>
      <c r="X261" s="52"/>
      <c r="Y261" s="52"/>
      <c r="Z261" s="37"/>
      <c r="AA261" s="18"/>
      <c r="AB261" s="18"/>
      <c r="AC261" s="18"/>
    </row>
    <row r="262" spans="23:29" customFormat="1" x14ac:dyDescent="0.25">
      <c r="W262" s="37"/>
      <c r="X262" s="52"/>
      <c r="Y262" s="52"/>
      <c r="Z262" s="37"/>
      <c r="AA262" s="18"/>
      <c r="AB262" s="18"/>
      <c r="AC262" s="18"/>
    </row>
    <row r="263" spans="23:29" customFormat="1" x14ac:dyDescent="0.25">
      <c r="W263" s="37"/>
      <c r="X263" s="52"/>
      <c r="Y263" s="52"/>
      <c r="Z263" s="37"/>
      <c r="AA263" s="18"/>
      <c r="AB263" s="18"/>
      <c r="AC263" s="18"/>
    </row>
    <row r="264" spans="23:29" customFormat="1" x14ac:dyDescent="0.25">
      <c r="W264" s="37"/>
      <c r="X264" s="52"/>
      <c r="Y264" s="52"/>
      <c r="Z264" s="37"/>
      <c r="AA264" s="18"/>
      <c r="AB264" s="18"/>
      <c r="AC264" s="18"/>
    </row>
    <row r="265" spans="23:29" customFormat="1" x14ac:dyDescent="0.25">
      <c r="W265" s="37"/>
      <c r="X265" s="52"/>
      <c r="Y265" s="52"/>
      <c r="Z265" s="37"/>
      <c r="AA265" s="18"/>
      <c r="AB265" s="18"/>
      <c r="AC265" s="18"/>
    </row>
    <row r="266" spans="23:29" customFormat="1" x14ac:dyDescent="0.25">
      <c r="W266" s="37"/>
      <c r="X266" s="52"/>
      <c r="Y266" s="52"/>
      <c r="Z266" s="37"/>
      <c r="AA266" s="18"/>
      <c r="AB266" s="18"/>
      <c r="AC266" s="18"/>
    </row>
    <row r="267" spans="23:29" customFormat="1" x14ac:dyDescent="0.25">
      <c r="W267" s="37"/>
      <c r="X267" s="52"/>
      <c r="Y267" s="52"/>
      <c r="Z267" s="37"/>
      <c r="AA267" s="18"/>
      <c r="AB267" s="18"/>
      <c r="AC267" s="18"/>
    </row>
    <row r="268" spans="23:29" customFormat="1" x14ac:dyDescent="0.25">
      <c r="W268" s="37"/>
      <c r="X268" s="52"/>
      <c r="Y268" s="52"/>
      <c r="Z268" s="37"/>
      <c r="AA268" s="18"/>
      <c r="AB268" s="18"/>
      <c r="AC268" s="18"/>
    </row>
    <row r="269" spans="23:29" customFormat="1" x14ac:dyDescent="0.25">
      <c r="W269" s="37"/>
      <c r="X269" s="52"/>
      <c r="Y269" s="52"/>
      <c r="Z269" s="37"/>
      <c r="AA269" s="18"/>
      <c r="AB269" s="18"/>
      <c r="AC269" s="18"/>
    </row>
    <row r="270" spans="23:29" customFormat="1" x14ac:dyDescent="0.25">
      <c r="W270" s="37"/>
      <c r="X270" s="52"/>
      <c r="Y270" s="52"/>
      <c r="Z270" s="37"/>
      <c r="AA270" s="18"/>
      <c r="AB270" s="18"/>
      <c r="AC270" s="18"/>
    </row>
    <row r="271" spans="23:29" customFormat="1" x14ac:dyDescent="0.25">
      <c r="W271" s="37"/>
      <c r="X271" s="52"/>
      <c r="Y271" s="52"/>
      <c r="Z271" s="37"/>
      <c r="AA271" s="18"/>
      <c r="AB271" s="18"/>
      <c r="AC271" s="18"/>
    </row>
    <row r="272" spans="23:29" customFormat="1" x14ac:dyDescent="0.25">
      <c r="W272" s="37"/>
      <c r="X272" s="52"/>
      <c r="Y272" s="52"/>
      <c r="Z272" s="37"/>
      <c r="AA272" s="18"/>
      <c r="AB272" s="18"/>
      <c r="AC272" s="18"/>
    </row>
    <row r="273" spans="23:29" customFormat="1" x14ac:dyDescent="0.25">
      <c r="W273" s="37"/>
      <c r="X273" s="52"/>
      <c r="Y273" s="52"/>
      <c r="Z273" s="37"/>
      <c r="AA273" s="18"/>
      <c r="AB273" s="18"/>
      <c r="AC273" s="18"/>
    </row>
    <row r="274" spans="23:29" customFormat="1" x14ac:dyDescent="0.25">
      <c r="W274" s="37"/>
      <c r="X274" s="52"/>
      <c r="Y274" s="52"/>
      <c r="Z274" s="37"/>
      <c r="AA274" s="18"/>
      <c r="AB274" s="18"/>
      <c r="AC274" s="18"/>
    </row>
    <row r="275" spans="23:29" customFormat="1" x14ac:dyDescent="0.25">
      <c r="W275" s="37"/>
      <c r="X275" s="52"/>
      <c r="Y275" s="52"/>
      <c r="Z275" s="37"/>
      <c r="AA275" s="18"/>
      <c r="AB275" s="18"/>
      <c r="AC275" s="18"/>
    </row>
    <row r="276" spans="23:29" customFormat="1" x14ac:dyDescent="0.25">
      <c r="W276" s="37"/>
      <c r="X276" s="52"/>
      <c r="Y276" s="52"/>
      <c r="Z276" s="37"/>
      <c r="AA276" s="18"/>
      <c r="AB276" s="18"/>
      <c r="AC276" s="18"/>
    </row>
    <row r="277" spans="23:29" customFormat="1" x14ac:dyDescent="0.25">
      <c r="W277" s="37"/>
      <c r="X277" s="52"/>
      <c r="Y277" s="52"/>
      <c r="Z277" s="37"/>
      <c r="AA277" s="18"/>
      <c r="AB277" s="18"/>
      <c r="AC277" s="18"/>
    </row>
    <row r="278" spans="23:29" customFormat="1" x14ac:dyDescent="0.25">
      <c r="W278" s="37"/>
      <c r="X278" s="52"/>
      <c r="Y278" s="52"/>
      <c r="Z278" s="37"/>
      <c r="AA278" s="18"/>
      <c r="AB278" s="18"/>
      <c r="AC278" s="18"/>
    </row>
    <row r="279" spans="23:29" customFormat="1" x14ac:dyDescent="0.25">
      <c r="W279" s="37"/>
      <c r="X279" s="52"/>
      <c r="Y279" s="52"/>
      <c r="Z279" s="37"/>
      <c r="AA279" s="18"/>
      <c r="AB279" s="18"/>
      <c r="AC279" s="18"/>
    </row>
    <row r="280" spans="23:29" customFormat="1" x14ac:dyDescent="0.25">
      <c r="W280" s="37"/>
      <c r="X280" s="52"/>
      <c r="Y280" s="52"/>
      <c r="Z280" s="37"/>
      <c r="AA280" s="18"/>
      <c r="AB280" s="18"/>
      <c r="AC280" s="18"/>
    </row>
    <row r="281" spans="23:29" customFormat="1" x14ac:dyDescent="0.25">
      <c r="W281" s="37"/>
      <c r="X281" s="52"/>
      <c r="Y281" s="52"/>
      <c r="Z281" s="37"/>
      <c r="AA281" s="18"/>
      <c r="AB281" s="18"/>
      <c r="AC281" s="18"/>
    </row>
    <row r="282" spans="23:29" customFormat="1" x14ac:dyDescent="0.25">
      <c r="W282" s="37"/>
      <c r="X282" s="52"/>
      <c r="Y282" s="52"/>
      <c r="Z282" s="37"/>
      <c r="AA282" s="18"/>
      <c r="AB282" s="18"/>
      <c r="AC282" s="18"/>
    </row>
    <row r="283" spans="23:29" customFormat="1" x14ac:dyDescent="0.25">
      <c r="W283" s="37"/>
      <c r="X283" s="52"/>
      <c r="Y283" s="52"/>
      <c r="Z283" s="37"/>
      <c r="AA283" s="18"/>
      <c r="AB283" s="18"/>
      <c r="AC283" s="18"/>
    </row>
    <row r="284" spans="23:29" customFormat="1" x14ac:dyDescent="0.25">
      <c r="W284" s="37"/>
      <c r="X284" s="52"/>
      <c r="Y284" s="52"/>
      <c r="Z284" s="37"/>
      <c r="AA284" s="18"/>
      <c r="AB284" s="18"/>
      <c r="AC284" s="18"/>
    </row>
    <row r="285" spans="23:29" customFormat="1" x14ac:dyDescent="0.25">
      <c r="W285" s="37"/>
      <c r="X285" s="52"/>
      <c r="Y285" s="52"/>
      <c r="Z285" s="37"/>
      <c r="AA285" s="18"/>
      <c r="AB285" s="18"/>
      <c r="AC285" s="18"/>
    </row>
    <row r="286" spans="23:29" customFormat="1" x14ac:dyDescent="0.25">
      <c r="W286" s="37"/>
      <c r="X286" s="52"/>
      <c r="Y286" s="52"/>
      <c r="Z286" s="37"/>
      <c r="AA286" s="18"/>
      <c r="AB286" s="18"/>
      <c r="AC286" s="18"/>
    </row>
    <row r="287" spans="23:29" customFormat="1" x14ac:dyDescent="0.25">
      <c r="W287" s="37"/>
      <c r="X287" s="52"/>
      <c r="Y287" s="52"/>
      <c r="Z287" s="37"/>
      <c r="AA287" s="18"/>
      <c r="AB287" s="18"/>
      <c r="AC287" s="18"/>
    </row>
    <row r="288" spans="23:29" customFormat="1" x14ac:dyDescent="0.25">
      <c r="W288" s="37"/>
      <c r="X288" s="52"/>
      <c r="Y288" s="52"/>
      <c r="Z288" s="37"/>
      <c r="AA288" s="18"/>
      <c r="AB288" s="18"/>
      <c r="AC288" s="18"/>
    </row>
    <row r="289" spans="23:29" customFormat="1" x14ac:dyDescent="0.25">
      <c r="W289" s="37"/>
      <c r="X289" s="52"/>
      <c r="Y289" s="52"/>
      <c r="Z289" s="37"/>
      <c r="AA289" s="18"/>
      <c r="AB289" s="18"/>
      <c r="AC289" s="18"/>
    </row>
    <row r="290" spans="23:29" customFormat="1" x14ac:dyDescent="0.25">
      <c r="W290" s="37"/>
      <c r="X290" s="52"/>
      <c r="Y290" s="52"/>
      <c r="Z290" s="37"/>
      <c r="AA290" s="18"/>
      <c r="AB290" s="18"/>
      <c r="AC290" s="18"/>
    </row>
    <row r="291" spans="23:29" customFormat="1" x14ac:dyDescent="0.25">
      <c r="W291" s="37"/>
      <c r="X291" s="52"/>
      <c r="Y291" s="52"/>
      <c r="Z291" s="37"/>
      <c r="AA291" s="18"/>
      <c r="AB291" s="18"/>
      <c r="AC291" s="18"/>
    </row>
    <row r="292" spans="23:29" customFormat="1" x14ac:dyDescent="0.25">
      <c r="W292" s="37"/>
      <c r="X292" s="52"/>
      <c r="Y292" s="52"/>
      <c r="Z292" s="37"/>
      <c r="AA292" s="18"/>
      <c r="AB292" s="18"/>
      <c r="AC292" s="18"/>
    </row>
    <row r="293" spans="23:29" customFormat="1" x14ac:dyDescent="0.25">
      <c r="W293" s="37"/>
      <c r="X293" s="52"/>
      <c r="Y293" s="52"/>
      <c r="Z293" s="37"/>
      <c r="AA293" s="18"/>
      <c r="AB293" s="18"/>
      <c r="AC293" s="18"/>
    </row>
    <row r="294" spans="23:29" customFormat="1" x14ac:dyDescent="0.25">
      <c r="W294" s="37"/>
      <c r="X294" s="52"/>
      <c r="Y294" s="52"/>
      <c r="Z294" s="37"/>
      <c r="AA294" s="18"/>
      <c r="AB294" s="18"/>
      <c r="AC294" s="18"/>
    </row>
    <row r="295" spans="23:29" customFormat="1" x14ac:dyDescent="0.25">
      <c r="W295" s="37"/>
      <c r="X295" s="52"/>
      <c r="Y295" s="52"/>
      <c r="Z295" s="37"/>
      <c r="AA295" s="18"/>
      <c r="AB295" s="18"/>
      <c r="AC295" s="18"/>
    </row>
    <row r="296" spans="23:29" customFormat="1" x14ac:dyDescent="0.25">
      <c r="W296" s="37"/>
      <c r="X296" s="52"/>
      <c r="Y296" s="52"/>
      <c r="Z296" s="37"/>
      <c r="AA296" s="18"/>
      <c r="AB296" s="18"/>
      <c r="AC296" s="18"/>
    </row>
    <row r="297" spans="23:29" customFormat="1" x14ac:dyDescent="0.25">
      <c r="W297" s="37"/>
      <c r="X297" s="52"/>
      <c r="Y297" s="52"/>
      <c r="Z297" s="37"/>
      <c r="AA297" s="18"/>
      <c r="AB297" s="18"/>
      <c r="AC297" s="18"/>
    </row>
    <row r="298" spans="23:29" customFormat="1" x14ac:dyDescent="0.25">
      <c r="W298" s="37"/>
      <c r="X298" s="52"/>
      <c r="Y298" s="52"/>
      <c r="Z298" s="37"/>
      <c r="AA298" s="18"/>
      <c r="AB298" s="18"/>
      <c r="AC298" s="18"/>
    </row>
    <row r="299" spans="23:29" customFormat="1" x14ac:dyDescent="0.25">
      <c r="W299" s="37"/>
      <c r="X299" s="52"/>
      <c r="Y299" s="52"/>
      <c r="Z299" s="37"/>
      <c r="AA299" s="18"/>
      <c r="AB299" s="18"/>
      <c r="AC299" s="18"/>
    </row>
    <row r="300" spans="23:29" customFormat="1" x14ac:dyDescent="0.25">
      <c r="W300" s="37"/>
      <c r="X300" s="52"/>
      <c r="Y300" s="52"/>
      <c r="Z300" s="37"/>
      <c r="AA300" s="18"/>
      <c r="AB300" s="18"/>
      <c r="AC300" s="18"/>
    </row>
    <row r="301" spans="23:29" customFormat="1" x14ac:dyDescent="0.25">
      <c r="W301" s="37"/>
      <c r="X301" s="52"/>
      <c r="Y301" s="52"/>
      <c r="Z301" s="37"/>
      <c r="AA301" s="18"/>
      <c r="AB301" s="18"/>
      <c r="AC301" s="18"/>
    </row>
    <row r="302" spans="23:29" customFormat="1" x14ac:dyDescent="0.25">
      <c r="W302" s="37"/>
      <c r="X302" s="52"/>
      <c r="Y302" s="52"/>
      <c r="Z302" s="37"/>
      <c r="AA302" s="18"/>
      <c r="AB302" s="18"/>
      <c r="AC302" s="18"/>
    </row>
    <row r="303" spans="23:29" customFormat="1" x14ac:dyDescent="0.25">
      <c r="W303" s="37"/>
      <c r="X303" s="52"/>
      <c r="Y303" s="52"/>
      <c r="Z303" s="37"/>
      <c r="AA303" s="18"/>
      <c r="AB303" s="18"/>
      <c r="AC303" s="18"/>
    </row>
    <row r="304" spans="23:29" customFormat="1" x14ac:dyDescent="0.25">
      <c r="W304" s="37"/>
      <c r="X304" s="52"/>
      <c r="Y304" s="52"/>
      <c r="Z304" s="37"/>
      <c r="AA304" s="18"/>
      <c r="AB304" s="18"/>
      <c r="AC304" s="18"/>
    </row>
    <row r="305" spans="23:29" customFormat="1" x14ac:dyDescent="0.25">
      <c r="W305" s="37"/>
      <c r="X305" s="52"/>
      <c r="Y305" s="52"/>
      <c r="Z305" s="37"/>
      <c r="AA305" s="18"/>
      <c r="AB305" s="18"/>
      <c r="AC305" s="18"/>
    </row>
    <row r="306" spans="23:29" customFormat="1" x14ac:dyDescent="0.25">
      <c r="W306" s="37"/>
      <c r="X306" s="52"/>
      <c r="Y306" s="52"/>
      <c r="Z306" s="37"/>
      <c r="AA306" s="18"/>
      <c r="AB306" s="18"/>
      <c r="AC306" s="18"/>
    </row>
    <row r="307" spans="23:29" customFormat="1" x14ac:dyDescent="0.25">
      <c r="W307" s="37"/>
      <c r="X307" s="52"/>
      <c r="Y307" s="52"/>
      <c r="Z307" s="37"/>
      <c r="AA307" s="18"/>
      <c r="AB307" s="18"/>
      <c r="AC307" s="18"/>
    </row>
    <row r="308" spans="23:29" customFormat="1" x14ac:dyDescent="0.25">
      <c r="W308" s="37"/>
      <c r="X308" s="52"/>
      <c r="Y308" s="52"/>
      <c r="Z308" s="37"/>
      <c r="AA308" s="18"/>
      <c r="AB308" s="18"/>
      <c r="AC308" s="18"/>
    </row>
    <row r="309" spans="23:29" customFormat="1" x14ac:dyDescent="0.25">
      <c r="W309" s="37"/>
      <c r="X309" s="52"/>
      <c r="Y309" s="52"/>
      <c r="Z309" s="37"/>
      <c r="AA309" s="18"/>
      <c r="AB309" s="18"/>
      <c r="AC309" s="18"/>
    </row>
    <row r="310" spans="23:29" customFormat="1" x14ac:dyDescent="0.25">
      <c r="W310" s="37"/>
      <c r="X310" s="52"/>
      <c r="Y310" s="52"/>
      <c r="Z310" s="37"/>
      <c r="AA310" s="18"/>
      <c r="AB310" s="18"/>
      <c r="AC310" s="18"/>
    </row>
    <row r="311" spans="23:29" customFormat="1" x14ac:dyDescent="0.25">
      <c r="W311" s="37"/>
      <c r="X311" s="52"/>
      <c r="Y311" s="52"/>
      <c r="Z311" s="37"/>
      <c r="AA311" s="18"/>
      <c r="AB311" s="18"/>
      <c r="AC311" s="18"/>
    </row>
    <row r="312" spans="23:29" customFormat="1" x14ac:dyDescent="0.25">
      <c r="W312" s="37"/>
      <c r="X312" s="52"/>
      <c r="Y312" s="52"/>
      <c r="Z312" s="37"/>
      <c r="AA312" s="18"/>
      <c r="AB312" s="18"/>
      <c r="AC312" s="18"/>
    </row>
    <row r="313" spans="23:29" customFormat="1" x14ac:dyDescent="0.25">
      <c r="W313" s="37"/>
      <c r="X313" s="52"/>
      <c r="Y313" s="52"/>
      <c r="Z313" s="37"/>
      <c r="AA313" s="18"/>
      <c r="AB313" s="18"/>
      <c r="AC313" s="18"/>
    </row>
    <row r="314" spans="23:29" customFormat="1" x14ac:dyDescent="0.25">
      <c r="W314" s="37"/>
      <c r="X314" s="52"/>
      <c r="Y314" s="52"/>
      <c r="Z314" s="37"/>
      <c r="AA314" s="18"/>
      <c r="AB314" s="18"/>
      <c r="AC314" s="18"/>
    </row>
    <row r="315" spans="23:29" customFormat="1" x14ac:dyDescent="0.25">
      <c r="W315" s="37"/>
      <c r="X315" s="52"/>
      <c r="Y315" s="52"/>
      <c r="Z315" s="37"/>
      <c r="AA315" s="18"/>
      <c r="AB315" s="18"/>
      <c r="AC315" s="18"/>
    </row>
    <row r="316" spans="23:29" customFormat="1" x14ac:dyDescent="0.25">
      <c r="W316" s="37"/>
      <c r="X316" s="52"/>
      <c r="Y316" s="52"/>
      <c r="Z316" s="37"/>
      <c r="AA316" s="18"/>
      <c r="AB316" s="18"/>
      <c r="AC316" s="18"/>
    </row>
    <row r="317" spans="23:29" customFormat="1" x14ac:dyDescent="0.25">
      <c r="W317" s="37"/>
      <c r="X317" s="52"/>
      <c r="Y317" s="52"/>
      <c r="Z317" s="37"/>
      <c r="AA317" s="18"/>
      <c r="AB317" s="18"/>
      <c r="AC317" s="18"/>
    </row>
    <row r="318" spans="23:29" customFormat="1" x14ac:dyDescent="0.25">
      <c r="W318" s="37"/>
      <c r="X318" s="52"/>
      <c r="Y318" s="52"/>
      <c r="Z318" s="37"/>
      <c r="AA318" s="18"/>
      <c r="AB318" s="18"/>
      <c r="AC318" s="18"/>
    </row>
    <row r="319" spans="23:29" customFormat="1" x14ac:dyDescent="0.25">
      <c r="W319" s="37"/>
      <c r="X319" s="52"/>
      <c r="Y319" s="52"/>
      <c r="Z319" s="37"/>
      <c r="AA319" s="18"/>
      <c r="AB319" s="18"/>
      <c r="AC319" s="18"/>
    </row>
    <row r="320" spans="23:29" customFormat="1" x14ac:dyDescent="0.25">
      <c r="W320" s="37"/>
      <c r="X320" s="52"/>
      <c r="Y320" s="52"/>
      <c r="Z320" s="37"/>
      <c r="AA320" s="18"/>
      <c r="AB320" s="18"/>
      <c r="AC320" s="18"/>
    </row>
    <row r="321" spans="23:29" customFormat="1" x14ac:dyDescent="0.25">
      <c r="W321" s="37"/>
      <c r="X321" s="52"/>
      <c r="Y321" s="52"/>
      <c r="Z321" s="37"/>
      <c r="AA321" s="18"/>
      <c r="AB321" s="18"/>
      <c r="AC321" s="18"/>
    </row>
    <row r="322" spans="23:29" customFormat="1" x14ac:dyDescent="0.25">
      <c r="W322" s="37"/>
      <c r="X322" s="52"/>
      <c r="Y322" s="52"/>
      <c r="Z322" s="37"/>
      <c r="AA322" s="18"/>
      <c r="AB322" s="18"/>
      <c r="AC322" s="18"/>
    </row>
    <row r="323" spans="23:29" customFormat="1" x14ac:dyDescent="0.25">
      <c r="W323" s="37"/>
      <c r="X323" s="52"/>
      <c r="Y323" s="52"/>
      <c r="Z323" s="37"/>
      <c r="AA323" s="18"/>
      <c r="AB323" s="18"/>
      <c r="AC323" s="18"/>
    </row>
    <row r="324" spans="23:29" customFormat="1" x14ac:dyDescent="0.25">
      <c r="W324" s="37"/>
      <c r="X324" s="52"/>
      <c r="Y324" s="52"/>
      <c r="Z324" s="37"/>
      <c r="AA324" s="18"/>
      <c r="AB324" s="18"/>
      <c r="AC324" s="18"/>
    </row>
    <row r="325" spans="23:29" customFormat="1" x14ac:dyDescent="0.25">
      <c r="W325" s="37"/>
      <c r="X325" s="52"/>
      <c r="Y325" s="52"/>
      <c r="Z325" s="37"/>
      <c r="AA325" s="18"/>
      <c r="AB325" s="18"/>
      <c r="AC325" s="18"/>
    </row>
    <row r="326" spans="23:29" customFormat="1" x14ac:dyDescent="0.25">
      <c r="W326" s="37"/>
      <c r="X326" s="52"/>
      <c r="Y326" s="52"/>
      <c r="Z326" s="37"/>
      <c r="AA326" s="18"/>
      <c r="AB326" s="18"/>
      <c r="AC326" s="18"/>
    </row>
    <row r="327" spans="23:29" customFormat="1" x14ac:dyDescent="0.25">
      <c r="W327" s="37"/>
      <c r="X327" s="52"/>
      <c r="Y327" s="52"/>
      <c r="Z327" s="37"/>
      <c r="AA327" s="18"/>
      <c r="AB327" s="18"/>
      <c r="AC327" s="18"/>
    </row>
    <row r="328" spans="23:29" customFormat="1" x14ac:dyDescent="0.25">
      <c r="W328" s="37"/>
      <c r="X328" s="52"/>
      <c r="Y328" s="52"/>
      <c r="Z328" s="37"/>
      <c r="AA328" s="18"/>
      <c r="AB328" s="18"/>
      <c r="AC328" s="18"/>
    </row>
    <row r="329" spans="23:29" customFormat="1" x14ac:dyDescent="0.25">
      <c r="W329" s="37"/>
      <c r="X329" s="52"/>
      <c r="Y329" s="52"/>
      <c r="Z329" s="37"/>
      <c r="AA329" s="18"/>
      <c r="AB329" s="18"/>
      <c r="AC329" s="18"/>
    </row>
    <row r="330" spans="23:29" customFormat="1" x14ac:dyDescent="0.25">
      <c r="W330" s="37"/>
      <c r="X330" s="52"/>
      <c r="Y330" s="52"/>
      <c r="Z330" s="37"/>
      <c r="AA330" s="18"/>
      <c r="AB330" s="18"/>
      <c r="AC330" s="18"/>
    </row>
    <row r="331" spans="23:29" customFormat="1" x14ac:dyDescent="0.25">
      <c r="W331" s="37"/>
      <c r="X331" s="52"/>
      <c r="Y331" s="52"/>
      <c r="Z331" s="37"/>
      <c r="AA331" s="18"/>
      <c r="AB331" s="18"/>
      <c r="AC331" s="18"/>
    </row>
    <row r="332" spans="23:29" customFormat="1" x14ac:dyDescent="0.25">
      <c r="W332" s="37"/>
      <c r="X332" s="52"/>
      <c r="Y332" s="52"/>
      <c r="Z332" s="37"/>
      <c r="AA332" s="18"/>
      <c r="AB332" s="18"/>
      <c r="AC332" s="18"/>
    </row>
    <row r="333" spans="23:29" customFormat="1" x14ac:dyDescent="0.25">
      <c r="W333" s="37"/>
      <c r="X333" s="52"/>
      <c r="Y333" s="52"/>
      <c r="Z333" s="37"/>
      <c r="AA333" s="18"/>
      <c r="AB333" s="18"/>
      <c r="AC333" s="18"/>
    </row>
    <row r="334" spans="23:29" customFormat="1" x14ac:dyDescent="0.25">
      <c r="W334" s="37"/>
      <c r="X334" s="52"/>
      <c r="Y334" s="52"/>
      <c r="Z334" s="37"/>
      <c r="AA334" s="18"/>
      <c r="AB334" s="18"/>
      <c r="AC334" s="18"/>
    </row>
    <row r="335" spans="23:29" customFormat="1" x14ac:dyDescent="0.25">
      <c r="W335" s="37"/>
      <c r="X335" s="52"/>
      <c r="Y335" s="52"/>
      <c r="Z335" s="37"/>
      <c r="AA335" s="18"/>
      <c r="AB335" s="18"/>
      <c r="AC335" s="18"/>
    </row>
    <row r="336" spans="23:29" customFormat="1" x14ac:dyDescent="0.25">
      <c r="W336" s="37"/>
      <c r="X336" s="52"/>
      <c r="Y336" s="52"/>
      <c r="Z336" s="37"/>
      <c r="AA336" s="18"/>
      <c r="AB336" s="18"/>
      <c r="AC336" s="18"/>
    </row>
    <row r="337" spans="23:29" customFormat="1" x14ac:dyDescent="0.25">
      <c r="W337" s="37"/>
      <c r="X337" s="52"/>
      <c r="Y337" s="52"/>
      <c r="Z337" s="37"/>
      <c r="AA337" s="18"/>
      <c r="AB337" s="18"/>
      <c r="AC337" s="18"/>
    </row>
    <row r="338" spans="23:29" customFormat="1" x14ac:dyDescent="0.25">
      <c r="W338" s="37"/>
      <c r="X338" s="52"/>
      <c r="Y338" s="52"/>
      <c r="Z338" s="37"/>
      <c r="AA338" s="18"/>
      <c r="AB338" s="18"/>
      <c r="AC338" s="18"/>
    </row>
    <row r="339" spans="23:29" customFormat="1" x14ac:dyDescent="0.25">
      <c r="W339" s="37"/>
      <c r="X339" s="52"/>
      <c r="Y339" s="52"/>
      <c r="Z339" s="37"/>
      <c r="AA339" s="18"/>
      <c r="AB339" s="18"/>
      <c r="AC339" s="18"/>
    </row>
    <row r="340" spans="23:29" customFormat="1" x14ac:dyDescent="0.25">
      <c r="W340" s="37"/>
      <c r="X340" s="52"/>
      <c r="Y340" s="52"/>
      <c r="Z340" s="37"/>
      <c r="AA340" s="18"/>
      <c r="AB340" s="18"/>
      <c r="AC340" s="18"/>
    </row>
    <row r="341" spans="23:29" customFormat="1" x14ac:dyDescent="0.25">
      <c r="W341" s="37"/>
      <c r="X341" s="52"/>
      <c r="Y341" s="52"/>
      <c r="Z341" s="37"/>
      <c r="AA341" s="18"/>
      <c r="AB341" s="18"/>
      <c r="AC341" s="18"/>
    </row>
    <row r="342" spans="23:29" customFormat="1" x14ac:dyDescent="0.25">
      <c r="W342" s="37"/>
      <c r="X342" s="52"/>
      <c r="Y342" s="52"/>
      <c r="Z342" s="37"/>
      <c r="AA342" s="18"/>
      <c r="AB342" s="18"/>
      <c r="AC342" s="18"/>
    </row>
    <row r="343" spans="23:29" customFormat="1" x14ac:dyDescent="0.25">
      <c r="W343" s="37"/>
      <c r="X343" s="52"/>
      <c r="Y343" s="52"/>
      <c r="Z343" s="37"/>
      <c r="AA343" s="18"/>
      <c r="AB343" s="18"/>
      <c r="AC343" s="18"/>
    </row>
    <row r="344" spans="23:29" customFormat="1" x14ac:dyDescent="0.25">
      <c r="W344" s="37"/>
      <c r="X344" s="52"/>
      <c r="Y344" s="52"/>
      <c r="Z344" s="37"/>
      <c r="AA344" s="18"/>
      <c r="AB344" s="18"/>
      <c r="AC344" s="18"/>
    </row>
    <row r="345" spans="23:29" customFormat="1" x14ac:dyDescent="0.25">
      <c r="W345" s="37"/>
      <c r="X345" s="52"/>
      <c r="Y345" s="52"/>
      <c r="Z345" s="37"/>
      <c r="AA345" s="18"/>
      <c r="AB345" s="18"/>
      <c r="AC345" s="18"/>
    </row>
    <row r="346" spans="23:29" customFormat="1" x14ac:dyDescent="0.25">
      <c r="W346" s="37"/>
      <c r="X346" s="52"/>
      <c r="Y346" s="52"/>
      <c r="Z346" s="37"/>
      <c r="AA346" s="18"/>
      <c r="AB346" s="18"/>
      <c r="AC346" s="18"/>
    </row>
    <row r="347" spans="23:29" customFormat="1" x14ac:dyDescent="0.25">
      <c r="W347" s="37"/>
      <c r="X347" s="52"/>
      <c r="Y347" s="52"/>
      <c r="Z347" s="37"/>
      <c r="AA347" s="18"/>
      <c r="AB347" s="18"/>
      <c r="AC347" s="18"/>
    </row>
    <row r="348" spans="23:29" customFormat="1" x14ac:dyDescent="0.25">
      <c r="W348" s="37"/>
      <c r="X348" s="52"/>
      <c r="Y348" s="52"/>
      <c r="Z348" s="37"/>
      <c r="AA348" s="18"/>
      <c r="AB348" s="18"/>
      <c r="AC348" s="18"/>
    </row>
    <row r="349" spans="23:29" customFormat="1" x14ac:dyDescent="0.25">
      <c r="W349" s="37"/>
      <c r="X349" s="52"/>
      <c r="Y349" s="52"/>
      <c r="Z349" s="37"/>
      <c r="AA349" s="18"/>
      <c r="AB349" s="18"/>
      <c r="AC349" s="18"/>
    </row>
    <row r="350" spans="23:29" customFormat="1" x14ac:dyDescent="0.25">
      <c r="W350" s="37"/>
      <c r="X350" s="52"/>
      <c r="Y350" s="52"/>
      <c r="Z350" s="37"/>
      <c r="AA350" s="18"/>
      <c r="AB350" s="18"/>
      <c r="AC350" s="18"/>
    </row>
    <row r="351" spans="23:29" customFormat="1" x14ac:dyDescent="0.25">
      <c r="W351" s="37"/>
      <c r="X351" s="52"/>
      <c r="Y351" s="52"/>
      <c r="Z351" s="37"/>
      <c r="AA351" s="18"/>
      <c r="AB351" s="18"/>
      <c r="AC351" s="18"/>
    </row>
    <row r="352" spans="23:29" customFormat="1" x14ac:dyDescent="0.25">
      <c r="W352" s="37"/>
      <c r="X352" s="52"/>
      <c r="Y352" s="52"/>
      <c r="Z352" s="37"/>
      <c r="AA352" s="18"/>
      <c r="AB352" s="18"/>
      <c r="AC352" s="18"/>
    </row>
    <row r="353" spans="23:29" customFormat="1" x14ac:dyDescent="0.25">
      <c r="W353" s="37"/>
      <c r="X353" s="52"/>
      <c r="Y353" s="52"/>
      <c r="Z353" s="37"/>
      <c r="AA353" s="18"/>
      <c r="AB353" s="18"/>
      <c r="AC353" s="18"/>
    </row>
    <row r="354" spans="23:29" customFormat="1" x14ac:dyDescent="0.25">
      <c r="W354" s="37"/>
      <c r="X354" s="52"/>
      <c r="Y354" s="52"/>
      <c r="Z354" s="37"/>
      <c r="AA354" s="18"/>
      <c r="AB354" s="18"/>
      <c r="AC354" s="18"/>
    </row>
    <row r="355" spans="23:29" customFormat="1" x14ac:dyDescent="0.25">
      <c r="W355" s="37"/>
      <c r="X355" s="52"/>
      <c r="Y355" s="52"/>
      <c r="Z355" s="37"/>
      <c r="AA355" s="18"/>
      <c r="AB355" s="18"/>
      <c r="AC355" s="18"/>
    </row>
    <row r="356" spans="23:29" customFormat="1" x14ac:dyDescent="0.25">
      <c r="W356" s="37"/>
      <c r="X356" s="52"/>
      <c r="Y356" s="52"/>
      <c r="Z356" s="37"/>
      <c r="AA356" s="18"/>
      <c r="AB356" s="18"/>
      <c r="AC356" s="18"/>
    </row>
    <row r="357" spans="23:29" customFormat="1" x14ac:dyDescent="0.25">
      <c r="W357" s="37"/>
      <c r="X357" s="52"/>
      <c r="Y357" s="52"/>
      <c r="Z357" s="37"/>
      <c r="AA357" s="18"/>
      <c r="AB357" s="18"/>
      <c r="AC357" s="18"/>
    </row>
    <row r="358" spans="23:29" customFormat="1" x14ac:dyDescent="0.25">
      <c r="W358" s="37"/>
      <c r="X358" s="52"/>
      <c r="Y358" s="52"/>
      <c r="Z358" s="37"/>
      <c r="AA358" s="18"/>
      <c r="AB358" s="18"/>
      <c r="AC358" s="18"/>
    </row>
    <row r="359" spans="23:29" customFormat="1" x14ac:dyDescent="0.25">
      <c r="W359" s="37"/>
      <c r="X359" s="52"/>
      <c r="Y359" s="52"/>
      <c r="Z359" s="37"/>
      <c r="AA359" s="18"/>
      <c r="AB359" s="18"/>
      <c r="AC359" s="18"/>
    </row>
    <row r="360" spans="23:29" customFormat="1" x14ac:dyDescent="0.25">
      <c r="W360" s="37"/>
      <c r="X360" s="52"/>
      <c r="Y360" s="52"/>
      <c r="Z360" s="37"/>
      <c r="AA360" s="18"/>
      <c r="AB360" s="18"/>
      <c r="AC360" s="18"/>
    </row>
    <row r="361" spans="23:29" customFormat="1" x14ac:dyDescent="0.25">
      <c r="W361" s="37"/>
      <c r="X361" s="52"/>
      <c r="Y361" s="52"/>
      <c r="Z361" s="37"/>
      <c r="AA361" s="18"/>
      <c r="AB361" s="18"/>
      <c r="AC361" s="18"/>
    </row>
    <row r="362" spans="23:29" customFormat="1" x14ac:dyDescent="0.25">
      <c r="W362" s="37"/>
      <c r="X362" s="52"/>
      <c r="Y362" s="52"/>
      <c r="Z362" s="37"/>
      <c r="AA362" s="18"/>
      <c r="AB362" s="18"/>
      <c r="AC362" s="18"/>
    </row>
    <row r="363" spans="23:29" customFormat="1" x14ac:dyDescent="0.25">
      <c r="W363" s="37"/>
      <c r="X363" s="52"/>
      <c r="Y363" s="52"/>
      <c r="Z363" s="37"/>
      <c r="AA363" s="18"/>
      <c r="AB363" s="18"/>
      <c r="AC363" s="18"/>
    </row>
    <row r="364" spans="23:29" customFormat="1" x14ac:dyDescent="0.25">
      <c r="W364" s="37"/>
      <c r="X364" s="52"/>
      <c r="Y364" s="52"/>
      <c r="Z364" s="37"/>
      <c r="AA364" s="18"/>
      <c r="AB364" s="18"/>
      <c r="AC364" s="18"/>
    </row>
    <row r="365" spans="23:29" customFormat="1" x14ac:dyDescent="0.25">
      <c r="W365" s="37"/>
      <c r="X365" s="52"/>
      <c r="Y365" s="52"/>
      <c r="Z365" s="37"/>
      <c r="AA365" s="18"/>
      <c r="AB365" s="18"/>
      <c r="AC365" s="18"/>
    </row>
    <row r="366" spans="23:29" customFormat="1" x14ac:dyDescent="0.25">
      <c r="W366" s="37"/>
      <c r="X366" s="52"/>
      <c r="Y366" s="52"/>
      <c r="Z366" s="37"/>
      <c r="AA366" s="18"/>
      <c r="AB366" s="18"/>
      <c r="AC366" s="18"/>
    </row>
    <row r="367" spans="23:29" customFormat="1" x14ac:dyDescent="0.25">
      <c r="W367" s="37"/>
      <c r="X367" s="52"/>
      <c r="Y367" s="52"/>
      <c r="Z367" s="37"/>
      <c r="AA367" s="18"/>
      <c r="AB367" s="18"/>
      <c r="AC367" s="18"/>
    </row>
    <row r="368" spans="23:29" customFormat="1" x14ac:dyDescent="0.25">
      <c r="W368" s="37"/>
      <c r="X368" s="52"/>
      <c r="Y368" s="52"/>
      <c r="Z368" s="37"/>
      <c r="AA368" s="18"/>
      <c r="AB368" s="18"/>
      <c r="AC368" s="18"/>
    </row>
    <row r="369" spans="23:29" customFormat="1" x14ac:dyDescent="0.25">
      <c r="W369" s="37"/>
      <c r="X369" s="52"/>
      <c r="Y369" s="52"/>
      <c r="Z369" s="37"/>
      <c r="AA369" s="18"/>
      <c r="AB369" s="18"/>
      <c r="AC369" s="18"/>
    </row>
    <row r="370" spans="23:29" customFormat="1" x14ac:dyDescent="0.25">
      <c r="W370" s="37"/>
      <c r="X370" s="52"/>
      <c r="Y370" s="52"/>
      <c r="Z370" s="37"/>
      <c r="AA370" s="18"/>
      <c r="AB370" s="18"/>
      <c r="AC370" s="18"/>
    </row>
    <row r="371" spans="23:29" customFormat="1" x14ac:dyDescent="0.25">
      <c r="W371" s="37"/>
      <c r="X371" s="52"/>
      <c r="Y371" s="52"/>
      <c r="Z371" s="37"/>
      <c r="AA371" s="18"/>
      <c r="AB371" s="18"/>
      <c r="AC371" s="18"/>
    </row>
    <row r="372" spans="23:29" customFormat="1" x14ac:dyDescent="0.25">
      <c r="W372" s="37"/>
      <c r="X372" s="52"/>
      <c r="Y372" s="52"/>
      <c r="Z372" s="37"/>
      <c r="AA372" s="18"/>
      <c r="AB372" s="18"/>
      <c r="AC372" s="18"/>
    </row>
    <row r="373" spans="23:29" customFormat="1" x14ac:dyDescent="0.25">
      <c r="W373" s="37"/>
      <c r="X373" s="52"/>
      <c r="Y373" s="52"/>
      <c r="Z373" s="37"/>
      <c r="AA373" s="18"/>
      <c r="AB373" s="18"/>
      <c r="AC373" s="18"/>
    </row>
    <row r="374" spans="23:29" customFormat="1" x14ac:dyDescent="0.25">
      <c r="W374" s="37"/>
      <c r="X374" s="52"/>
      <c r="Y374" s="52"/>
      <c r="Z374" s="37"/>
      <c r="AA374" s="18"/>
      <c r="AB374" s="18"/>
      <c r="AC374" s="18"/>
    </row>
    <row r="375" spans="23:29" customFormat="1" x14ac:dyDescent="0.25">
      <c r="W375" s="37"/>
      <c r="X375" s="52"/>
      <c r="Y375" s="52"/>
      <c r="Z375" s="37"/>
      <c r="AA375" s="18"/>
      <c r="AB375" s="18"/>
      <c r="AC375" s="18"/>
    </row>
    <row r="376" spans="23:29" customFormat="1" x14ac:dyDescent="0.25">
      <c r="W376" s="37"/>
      <c r="X376" s="52"/>
      <c r="Y376" s="52"/>
      <c r="Z376" s="37"/>
      <c r="AA376" s="18"/>
      <c r="AB376" s="18"/>
      <c r="AC376" s="18"/>
    </row>
    <row r="377" spans="23:29" customFormat="1" x14ac:dyDescent="0.25">
      <c r="W377" s="37"/>
      <c r="X377" s="52"/>
      <c r="Y377" s="52"/>
      <c r="Z377" s="37"/>
      <c r="AA377" s="18"/>
      <c r="AB377" s="18"/>
      <c r="AC377" s="18"/>
    </row>
    <row r="378" spans="23:29" customFormat="1" x14ac:dyDescent="0.25">
      <c r="W378" s="37"/>
      <c r="X378" s="52"/>
      <c r="Y378" s="52"/>
      <c r="Z378" s="37"/>
      <c r="AA378" s="18"/>
      <c r="AB378" s="18"/>
      <c r="AC378" s="18"/>
    </row>
    <row r="379" spans="23:29" customFormat="1" x14ac:dyDescent="0.25">
      <c r="W379" s="37"/>
      <c r="X379" s="52"/>
      <c r="Y379" s="52"/>
      <c r="Z379" s="37"/>
      <c r="AA379" s="18"/>
      <c r="AB379" s="18"/>
      <c r="AC379" s="18"/>
    </row>
    <row r="380" spans="23:29" customFormat="1" x14ac:dyDescent="0.25">
      <c r="W380" s="37"/>
      <c r="X380" s="52"/>
      <c r="Y380" s="52"/>
      <c r="Z380" s="37"/>
      <c r="AA380" s="18"/>
      <c r="AB380" s="18"/>
      <c r="AC380" s="18"/>
    </row>
    <row r="381" spans="23:29" customFormat="1" x14ac:dyDescent="0.25">
      <c r="W381" s="37"/>
      <c r="X381" s="52"/>
      <c r="Y381" s="52"/>
      <c r="Z381" s="37"/>
      <c r="AA381" s="18"/>
      <c r="AB381" s="18"/>
      <c r="AC381" s="18"/>
    </row>
    <row r="382" spans="23:29" customFormat="1" x14ac:dyDescent="0.25">
      <c r="W382" s="37"/>
      <c r="X382" s="52"/>
      <c r="Y382" s="52"/>
      <c r="Z382" s="37"/>
      <c r="AA382" s="18"/>
      <c r="AB382" s="18"/>
      <c r="AC382" s="18"/>
    </row>
    <row r="383" spans="23:29" customFormat="1" x14ac:dyDescent="0.25">
      <c r="W383" s="37"/>
      <c r="X383" s="52"/>
      <c r="Y383" s="52"/>
      <c r="Z383" s="37"/>
      <c r="AA383" s="18"/>
      <c r="AB383" s="18"/>
      <c r="AC383" s="18"/>
    </row>
    <row r="384" spans="23:29" customFormat="1" x14ac:dyDescent="0.25">
      <c r="W384" s="37"/>
      <c r="X384" s="52"/>
      <c r="Y384" s="52"/>
      <c r="Z384" s="37"/>
      <c r="AA384" s="18"/>
      <c r="AB384" s="18"/>
      <c r="AC384" s="18"/>
    </row>
    <row r="385" spans="23:29" customFormat="1" x14ac:dyDescent="0.25">
      <c r="W385" s="37"/>
      <c r="X385" s="52"/>
      <c r="Y385" s="52"/>
      <c r="Z385" s="37"/>
      <c r="AA385" s="18"/>
      <c r="AB385" s="18"/>
      <c r="AC385" s="18"/>
    </row>
    <row r="386" spans="23:29" customFormat="1" x14ac:dyDescent="0.25">
      <c r="W386" s="37"/>
      <c r="X386" s="52"/>
      <c r="Y386" s="52"/>
      <c r="Z386" s="37"/>
      <c r="AA386" s="18"/>
      <c r="AB386" s="18"/>
      <c r="AC386" s="18"/>
    </row>
    <row r="387" spans="23:29" customFormat="1" x14ac:dyDescent="0.25">
      <c r="W387" s="37"/>
      <c r="X387" s="52"/>
      <c r="Y387" s="52"/>
      <c r="Z387" s="37"/>
      <c r="AA387" s="18"/>
      <c r="AB387" s="18"/>
      <c r="AC387" s="18"/>
    </row>
    <row r="388" spans="23:29" customFormat="1" x14ac:dyDescent="0.25">
      <c r="W388" s="37"/>
      <c r="X388" s="52"/>
      <c r="Y388" s="52"/>
      <c r="Z388" s="37"/>
      <c r="AA388" s="18"/>
      <c r="AB388" s="18"/>
      <c r="AC388" s="18"/>
    </row>
    <row r="389" spans="23:29" customFormat="1" x14ac:dyDescent="0.25">
      <c r="W389" s="37"/>
      <c r="X389" s="52"/>
      <c r="Y389" s="52"/>
      <c r="Z389" s="37"/>
      <c r="AA389" s="18"/>
      <c r="AB389" s="18"/>
      <c r="AC389" s="18"/>
    </row>
    <row r="390" spans="23:29" customFormat="1" x14ac:dyDescent="0.25">
      <c r="W390" s="37"/>
      <c r="X390" s="52"/>
      <c r="Y390" s="52"/>
      <c r="Z390" s="37"/>
      <c r="AA390" s="18"/>
      <c r="AB390" s="18"/>
      <c r="AC390" s="18"/>
    </row>
    <row r="391" spans="23:29" customFormat="1" x14ac:dyDescent="0.25">
      <c r="W391" s="37"/>
      <c r="X391" s="52"/>
      <c r="Y391" s="52"/>
      <c r="Z391" s="37"/>
      <c r="AA391" s="18"/>
      <c r="AB391" s="18"/>
      <c r="AC391" s="18"/>
    </row>
    <row r="392" spans="23:29" customFormat="1" x14ac:dyDescent="0.25">
      <c r="W392" s="37"/>
      <c r="X392" s="52"/>
      <c r="Y392" s="52"/>
      <c r="Z392" s="37"/>
      <c r="AA392" s="18"/>
      <c r="AB392" s="18"/>
      <c r="AC392" s="18"/>
    </row>
    <row r="393" spans="23:29" customFormat="1" x14ac:dyDescent="0.25">
      <c r="W393" s="37"/>
      <c r="X393" s="52"/>
      <c r="Y393" s="52"/>
      <c r="Z393" s="37"/>
      <c r="AA393" s="18"/>
      <c r="AB393" s="18"/>
      <c r="AC393" s="18"/>
    </row>
    <row r="394" spans="23:29" customFormat="1" x14ac:dyDescent="0.25">
      <c r="W394" s="37"/>
      <c r="X394" s="52"/>
      <c r="Y394" s="52"/>
      <c r="Z394" s="37"/>
      <c r="AA394" s="18"/>
      <c r="AB394" s="18"/>
      <c r="AC394" s="18"/>
    </row>
    <row r="395" spans="23:29" customFormat="1" x14ac:dyDescent="0.25">
      <c r="W395" s="37"/>
      <c r="X395" s="52"/>
      <c r="Y395" s="52"/>
      <c r="Z395" s="37"/>
      <c r="AA395" s="18"/>
      <c r="AB395" s="18"/>
      <c r="AC395" s="18"/>
    </row>
    <row r="396" spans="23:29" customFormat="1" x14ac:dyDescent="0.25">
      <c r="W396" s="37"/>
      <c r="X396" s="52"/>
      <c r="Y396" s="52"/>
      <c r="Z396" s="37"/>
      <c r="AA396" s="18"/>
      <c r="AB396" s="18"/>
      <c r="AC396" s="18"/>
    </row>
    <row r="397" spans="23:29" customFormat="1" x14ac:dyDescent="0.25">
      <c r="W397" s="37"/>
      <c r="X397" s="52"/>
      <c r="Y397" s="52"/>
      <c r="Z397" s="37"/>
      <c r="AA397" s="18"/>
      <c r="AB397" s="18"/>
      <c r="AC397" s="18"/>
    </row>
    <row r="398" spans="23:29" customFormat="1" x14ac:dyDescent="0.25">
      <c r="W398" s="37"/>
      <c r="X398" s="52"/>
      <c r="Y398" s="52"/>
      <c r="Z398" s="37"/>
      <c r="AA398" s="18"/>
      <c r="AB398" s="18"/>
      <c r="AC398" s="18"/>
    </row>
    <row r="399" spans="23:29" customFormat="1" x14ac:dyDescent="0.25">
      <c r="W399" s="37"/>
      <c r="X399" s="52"/>
      <c r="Y399" s="52"/>
      <c r="Z399" s="37"/>
      <c r="AA399" s="18"/>
      <c r="AB399" s="18"/>
      <c r="AC399" s="18"/>
    </row>
    <row r="400" spans="23:29" customFormat="1" x14ac:dyDescent="0.25">
      <c r="W400" s="37"/>
      <c r="X400" s="52"/>
      <c r="Y400" s="52"/>
      <c r="Z400" s="37"/>
      <c r="AA400" s="18"/>
      <c r="AB400" s="18"/>
      <c r="AC400" s="18"/>
    </row>
    <row r="401" spans="23:29" customFormat="1" x14ac:dyDescent="0.25">
      <c r="W401" s="37"/>
      <c r="X401" s="52"/>
      <c r="Y401" s="52"/>
      <c r="Z401" s="37"/>
      <c r="AA401" s="18"/>
      <c r="AB401" s="18"/>
      <c r="AC401" s="18"/>
    </row>
    <row r="402" spans="23:29" customFormat="1" x14ac:dyDescent="0.25">
      <c r="W402" s="37"/>
      <c r="X402" s="52"/>
      <c r="Y402" s="52"/>
      <c r="Z402" s="37"/>
      <c r="AA402" s="18"/>
      <c r="AB402" s="18"/>
      <c r="AC402" s="18"/>
    </row>
    <row r="403" spans="23:29" customFormat="1" x14ac:dyDescent="0.25">
      <c r="W403" s="37"/>
      <c r="X403" s="52"/>
      <c r="Y403" s="52"/>
      <c r="Z403" s="37"/>
      <c r="AA403" s="18"/>
      <c r="AB403" s="18"/>
      <c r="AC403" s="18"/>
    </row>
    <row r="404" spans="23:29" customFormat="1" x14ac:dyDescent="0.25">
      <c r="W404" s="37"/>
      <c r="X404" s="52"/>
      <c r="Y404" s="52"/>
      <c r="Z404" s="37"/>
      <c r="AA404" s="18"/>
      <c r="AB404" s="18"/>
      <c r="AC404" s="18"/>
    </row>
    <row r="405" spans="23:29" customFormat="1" x14ac:dyDescent="0.25">
      <c r="W405" s="37"/>
      <c r="X405" s="52"/>
      <c r="Y405" s="52"/>
      <c r="Z405" s="37"/>
      <c r="AA405" s="18"/>
      <c r="AB405" s="18"/>
      <c r="AC405" s="18"/>
    </row>
    <row r="406" spans="23:29" customFormat="1" x14ac:dyDescent="0.25">
      <c r="W406" s="37"/>
      <c r="X406" s="52"/>
      <c r="Y406" s="52"/>
      <c r="Z406" s="37"/>
      <c r="AA406" s="18"/>
      <c r="AB406" s="18"/>
      <c r="AC406" s="18"/>
    </row>
    <row r="407" spans="23:29" customFormat="1" x14ac:dyDescent="0.25">
      <c r="W407" s="37"/>
      <c r="X407" s="52"/>
      <c r="Y407" s="52"/>
      <c r="Z407" s="37"/>
      <c r="AA407" s="18"/>
      <c r="AB407" s="18"/>
      <c r="AC407" s="18"/>
    </row>
    <row r="408" spans="23:29" customFormat="1" x14ac:dyDescent="0.25">
      <c r="W408" s="37"/>
      <c r="X408" s="52"/>
      <c r="Y408" s="52"/>
      <c r="Z408" s="37"/>
      <c r="AA408" s="18"/>
      <c r="AB408" s="18"/>
      <c r="AC408" s="18"/>
    </row>
    <row r="409" spans="23:29" customFormat="1" x14ac:dyDescent="0.25">
      <c r="W409" s="37"/>
      <c r="X409" s="52"/>
      <c r="Y409" s="52"/>
      <c r="Z409" s="37"/>
      <c r="AA409" s="18"/>
      <c r="AB409" s="18"/>
      <c r="AC409" s="18"/>
    </row>
    <row r="410" spans="23:29" customFormat="1" x14ac:dyDescent="0.25">
      <c r="W410" s="37"/>
      <c r="X410" s="52"/>
      <c r="Y410" s="52"/>
      <c r="Z410" s="37"/>
      <c r="AA410" s="18"/>
      <c r="AB410" s="18"/>
      <c r="AC410" s="18"/>
    </row>
    <row r="411" spans="23:29" customFormat="1" x14ac:dyDescent="0.25">
      <c r="W411" s="37"/>
      <c r="X411" s="52"/>
      <c r="Y411" s="52"/>
      <c r="Z411" s="37"/>
      <c r="AA411" s="18"/>
      <c r="AB411" s="18"/>
      <c r="AC411" s="18"/>
    </row>
    <row r="412" spans="23:29" customFormat="1" x14ac:dyDescent="0.25">
      <c r="W412" s="37"/>
      <c r="X412" s="52"/>
      <c r="Y412" s="52"/>
      <c r="Z412" s="37"/>
      <c r="AA412" s="18"/>
      <c r="AB412" s="18"/>
      <c r="AC412" s="18"/>
    </row>
    <row r="413" spans="23:29" customFormat="1" x14ac:dyDescent="0.25">
      <c r="W413" s="37"/>
      <c r="X413" s="52"/>
      <c r="Y413" s="52"/>
      <c r="Z413" s="37"/>
      <c r="AA413" s="18"/>
      <c r="AB413" s="18"/>
      <c r="AC413" s="18"/>
    </row>
    <row r="414" spans="23:29" customFormat="1" x14ac:dyDescent="0.25">
      <c r="W414" s="37"/>
      <c r="X414" s="52"/>
      <c r="Y414" s="52"/>
      <c r="Z414" s="37"/>
      <c r="AA414" s="18"/>
      <c r="AB414" s="18"/>
      <c r="AC414" s="18"/>
    </row>
    <row r="415" spans="23:29" customFormat="1" x14ac:dyDescent="0.25">
      <c r="W415" s="37"/>
      <c r="X415" s="52"/>
      <c r="Y415" s="52"/>
      <c r="Z415" s="37"/>
      <c r="AA415" s="18"/>
      <c r="AB415" s="18"/>
      <c r="AC415" s="18"/>
    </row>
    <row r="416" spans="23:29" customFormat="1" x14ac:dyDescent="0.25">
      <c r="W416" s="37"/>
      <c r="X416" s="52"/>
      <c r="Y416" s="52"/>
      <c r="Z416" s="37"/>
      <c r="AA416" s="18"/>
      <c r="AB416" s="18"/>
      <c r="AC416" s="18"/>
    </row>
    <row r="417" spans="23:29" customFormat="1" x14ac:dyDescent="0.25">
      <c r="W417" s="37"/>
      <c r="X417" s="52"/>
      <c r="Y417" s="52"/>
      <c r="Z417" s="37"/>
      <c r="AA417" s="18"/>
      <c r="AB417" s="18"/>
      <c r="AC417" s="18"/>
    </row>
    <row r="418" spans="23:29" customFormat="1" x14ac:dyDescent="0.25">
      <c r="W418" s="37"/>
      <c r="X418" s="52"/>
      <c r="Y418" s="52"/>
      <c r="Z418" s="37"/>
      <c r="AA418" s="18"/>
      <c r="AB418" s="18"/>
      <c r="AC418" s="18"/>
    </row>
    <row r="419" spans="23:29" customFormat="1" x14ac:dyDescent="0.25">
      <c r="W419" s="37"/>
      <c r="X419" s="52"/>
      <c r="Y419" s="52"/>
      <c r="Z419" s="37"/>
      <c r="AA419" s="18"/>
      <c r="AB419" s="18"/>
      <c r="AC419" s="18"/>
    </row>
    <row r="420" spans="23:29" customFormat="1" x14ac:dyDescent="0.25">
      <c r="W420" s="37"/>
      <c r="X420" s="52"/>
      <c r="Y420" s="52"/>
      <c r="Z420" s="37"/>
      <c r="AA420" s="18"/>
      <c r="AB420" s="18"/>
      <c r="AC420" s="18"/>
    </row>
    <row r="421" spans="23:29" customFormat="1" x14ac:dyDescent="0.25">
      <c r="W421" s="37"/>
      <c r="X421" s="52"/>
      <c r="Y421" s="52"/>
      <c r="Z421" s="37"/>
      <c r="AA421" s="18"/>
      <c r="AB421" s="18"/>
      <c r="AC421" s="18"/>
    </row>
    <row r="422" spans="23:29" customFormat="1" x14ac:dyDescent="0.25">
      <c r="W422" s="37"/>
      <c r="X422" s="52"/>
      <c r="Y422" s="52"/>
      <c r="Z422" s="37"/>
      <c r="AA422" s="18"/>
      <c r="AB422" s="18"/>
      <c r="AC422" s="18"/>
    </row>
    <row r="423" spans="23:29" customFormat="1" x14ac:dyDescent="0.25">
      <c r="W423" s="37"/>
      <c r="X423" s="52"/>
      <c r="Y423" s="52"/>
      <c r="Z423" s="37"/>
      <c r="AA423" s="18"/>
      <c r="AB423" s="18"/>
      <c r="AC423" s="18"/>
    </row>
    <row r="424" spans="23:29" customFormat="1" x14ac:dyDescent="0.25">
      <c r="W424" s="37"/>
      <c r="X424" s="52"/>
      <c r="Y424" s="52"/>
      <c r="Z424" s="37"/>
      <c r="AA424" s="18"/>
      <c r="AB424" s="18"/>
      <c r="AC424" s="18"/>
    </row>
    <row r="425" spans="23:29" customFormat="1" x14ac:dyDescent="0.25">
      <c r="W425" s="37"/>
      <c r="X425" s="52"/>
      <c r="Y425" s="52"/>
      <c r="Z425" s="37"/>
      <c r="AA425" s="18"/>
      <c r="AB425" s="18"/>
      <c r="AC425" s="18"/>
    </row>
    <row r="426" spans="23:29" customFormat="1" x14ac:dyDescent="0.25">
      <c r="W426" s="37"/>
      <c r="X426" s="52"/>
      <c r="Y426" s="52"/>
      <c r="Z426" s="37"/>
      <c r="AA426" s="18"/>
      <c r="AB426" s="18"/>
      <c r="AC426" s="18"/>
    </row>
    <row r="427" spans="23:29" customFormat="1" x14ac:dyDescent="0.25">
      <c r="W427" s="37"/>
      <c r="X427" s="52"/>
      <c r="Y427" s="52"/>
      <c r="Z427" s="37"/>
      <c r="AA427" s="18"/>
      <c r="AB427" s="18"/>
      <c r="AC427" s="18"/>
    </row>
    <row r="428" spans="23:29" customFormat="1" x14ac:dyDescent="0.25">
      <c r="W428" s="37"/>
      <c r="X428" s="52"/>
      <c r="Y428" s="52"/>
      <c r="Z428" s="37"/>
      <c r="AA428" s="18"/>
      <c r="AB428" s="18"/>
      <c r="AC428" s="18"/>
    </row>
    <row r="429" spans="23:29" customFormat="1" x14ac:dyDescent="0.25">
      <c r="W429" s="37"/>
      <c r="X429" s="52"/>
      <c r="Y429" s="52"/>
      <c r="Z429" s="37"/>
      <c r="AA429" s="18"/>
      <c r="AB429" s="18"/>
      <c r="AC429" s="18"/>
    </row>
    <row r="430" spans="23:29" customFormat="1" x14ac:dyDescent="0.25">
      <c r="W430" s="37"/>
      <c r="X430" s="52"/>
      <c r="Y430" s="52"/>
      <c r="Z430" s="37"/>
      <c r="AA430" s="18"/>
      <c r="AB430" s="18"/>
      <c r="AC430" s="18"/>
    </row>
    <row r="431" spans="23:29" customFormat="1" x14ac:dyDescent="0.25">
      <c r="W431" s="37"/>
      <c r="X431" s="52"/>
      <c r="Y431" s="52"/>
      <c r="Z431" s="37"/>
      <c r="AA431" s="18"/>
      <c r="AB431" s="18"/>
      <c r="AC431" s="18"/>
    </row>
    <row r="432" spans="23:29" customFormat="1" x14ac:dyDescent="0.25">
      <c r="W432" s="37"/>
      <c r="X432" s="52"/>
      <c r="Y432" s="52"/>
      <c r="Z432" s="37"/>
      <c r="AA432" s="18"/>
      <c r="AB432" s="18"/>
      <c r="AC432" s="18"/>
    </row>
    <row r="433" spans="23:29" customFormat="1" x14ac:dyDescent="0.25">
      <c r="W433" s="37"/>
      <c r="X433" s="52"/>
      <c r="Y433" s="52"/>
      <c r="Z433" s="37"/>
      <c r="AA433" s="18"/>
      <c r="AB433" s="18"/>
      <c r="AC433" s="18"/>
    </row>
    <row r="434" spans="23:29" customFormat="1" x14ac:dyDescent="0.25">
      <c r="W434" s="37"/>
      <c r="X434" s="52"/>
      <c r="Y434" s="52"/>
      <c r="Z434" s="37"/>
      <c r="AA434" s="18"/>
      <c r="AB434" s="18"/>
      <c r="AC434" s="18"/>
    </row>
    <row r="435" spans="23:29" customFormat="1" x14ac:dyDescent="0.25">
      <c r="W435" s="37"/>
      <c r="X435" s="52"/>
      <c r="Y435" s="52"/>
      <c r="Z435" s="37"/>
      <c r="AA435" s="18"/>
      <c r="AB435" s="18"/>
      <c r="AC435" s="18"/>
    </row>
    <row r="436" spans="23:29" customFormat="1" x14ac:dyDescent="0.25">
      <c r="W436" s="37"/>
      <c r="X436" s="52"/>
      <c r="Y436" s="52"/>
      <c r="Z436" s="37"/>
      <c r="AA436" s="18"/>
      <c r="AB436" s="18"/>
      <c r="AC436" s="18"/>
    </row>
    <row r="437" spans="23:29" customFormat="1" x14ac:dyDescent="0.25">
      <c r="W437" s="37"/>
      <c r="X437" s="52"/>
      <c r="Y437" s="52"/>
      <c r="Z437" s="37"/>
      <c r="AA437" s="18"/>
      <c r="AB437" s="18"/>
      <c r="AC437" s="18"/>
    </row>
    <row r="438" spans="23:29" customFormat="1" x14ac:dyDescent="0.25">
      <c r="W438" s="37"/>
      <c r="X438" s="52"/>
      <c r="Y438" s="52"/>
      <c r="Z438" s="37"/>
      <c r="AA438" s="18"/>
      <c r="AB438" s="18"/>
      <c r="AC438" s="18"/>
    </row>
    <row r="439" spans="23:29" customFormat="1" x14ac:dyDescent="0.25">
      <c r="W439" s="37"/>
      <c r="X439" s="52"/>
      <c r="Y439" s="52"/>
      <c r="Z439" s="37"/>
      <c r="AA439" s="18"/>
      <c r="AB439" s="18"/>
      <c r="AC439" s="18"/>
    </row>
    <row r="440" spans="23:29" customFormat="1" x14ac:dyDescent="0.25">
      <c r="W440" s="37"/>
      <c r="X440" s="52"/>
      <c r="Y440" s="52"/>
      <c r="Z440" s="37"/>
      <c r="AA440" s="18"/>
      <c r="AB440" s="18"/>
      <c r="AC440" s="18"/>
    </row>
    <row r="441" spans="23:29" customFormat="1" x14ac:dyDescent="0.25">
      <c r="W441" s="37"/>
      <c r="X441" s="52"/>
      <c r="Y441" s="52"/>
      <c r="Z441" s="37"/>
      <c r="AA441" s="18"/>
      <c r="AB441" s="18"/>
      <c r="AC441" s="18"/>
    </row>
    <row r="442" spans="23:29" customFormat="1" x14ac:dyDescent="0.25">
      <c r="W442" s="37"/>
      <c r="X442" s="52"/>
      <c r="Y442" s="52"/>
      <c r="Z442" s="37"/>
      <c r="AA442" s="18"/>
      <c r="AB442" s="18"/>
      <c r="AC442" s="18"/>
    </row>
    <row r="443" spans="23:29" customFormat="1" x14ac:dyDescent="0.25">
      <c r="W443" s="37"/>
      <c r="X443" s="52"/>
      <c r="Y443" s="52"/>
      <c r="Z443" s="37"/>
      <c r="AA443" s="18"/>
      <c r="AB443" s="18"/>
      <c r="AC443" s="18"/>
    </row>
    <row r="444" spans="23:29" customFormat="1" x14ac:dyDescent="0.25">
      <c r="W444" s="37"/>
      <c r="X444" s="52"/>
      <c r="Y444" s="52"/>
      <c r="Z444" s="37"/>
      <c r="AA444" s="18"/>
      <c r="AB444" s="18"/>
      <c r="AC444" s="18"/>
    </row>
    <row r="445" spans="23:29" customFormat="1" x14ac:dyDescent="0.25">
      <c r="W445" s="37"/>
      <c r="X445" s="52"/>
      <c r="Y445" s="52"/>
      <c r="Z445" s="37"/>
      <c r="AA445" s="18"/>
      <c r="AB445" s="18"/>
      <c r="AC445" s="18"/>
    </row>
    <row r="446" spans="23:29" customFormat="1" x14ac:dyDescent="0.25">
      <c r="W446" s="37"/>
      <c r="X446" s="52"/>
      <c r="Y446" s="52"/>
      <c r="Z446" s="37"/>
      <c r="AA446" s="18"/>
      <c r="AB446" s="18"/>
      <c r="AC446" s="18"/>
    </row>
    <row r="447" spans="23:29" customFormat="1" x14ac:dyDescent="0.25">
      <c r="W447" s="37"/>
      <c r="X447" s="52"/>
      <c r="Y447" s="52"/>
      <c r="Z447" s="37"/>
      <c r="AA447" s="18"/>
      <c r="AB447" s="18"/>
      <c r="AC447" s="18"/>
    </row>
    <row r="448" spans="23:29" customFormat="1" x14ac:dyDescent="0.25">
      <c r="W448" s="37"/>
      <c r="X448" s="52"/>
      <c r="Y448" s="52"/>
      <c r="Z448" s="37"/>
      <c r="AA448" s="18"/>
      <c r="AB448" s="18"/>
      <c r="AC448" s="18"/>
    </row>
    <row r="449" spans="23:29" customFormat="1" x14ac:dyDescent="0.25">
      <c r="W449" s="37"/>
      <c r="X449" s="52"/>
      <c r="Y449" s="52"/>
      <c r="Z449" s="37"/>
      <c r="AA449" s="18"/>
      <c r="AB449" s="18"/>
      <c r="AC449" s="18"/>
    </row>
    <row r="450" spans="23:29" customFormat="1" x14ac:dyDescent="0.25">
      <c r="W450" s="37"/>
      <c r="X450" s="52"/>
      <c r="Y450" s="52"/>
      <c r="Z450" s="37"/>
      <c r="AA450" s="18"/>
      <c r="AB450" s="18"/>
      <c r="AC450" s="18"/>
    </row>
    <row r="451" spans="23:29" customFormat="1" x14ac:dyDescent="0.25">
      <c r="W451" s="37"/>
      <c r="X451" s="52"/>
      <c r="Y451" s="52"/>
      <c r="Z451" s="37"/>
      <c r="AA451" s="18"/>
      <c r="AB451" s="18"/>
      <c r="AC451" s="18"/>
    </row>
    <row r="452" spans="23:29" customFormat="1" x14ac:dyDescent="0.25">
      <c r="W452" s="37"/>
      <c r="X452" s="52"/>
      <c r="Y452" s="52"/>
      <c r="Z452" s="37"/>
      <c r="AA452" s="18"/>
      <c r="AB452" s="18"/>
      <c r="AC452" s="18"/>
    </row>
    <row r="453" spans="23:29" customFormat="1" x14ac:dyDescent="0.25">
      <c r="W453" s="37"/>
      <c r="X453" s="52"/>
      <c r="Y453" s="52"/>
      <c r="Z453" s="37"/>
      <c r="AA453" s="18"/>
      <c r="AB453" s="18"/>
      <c r="AC453" s="18"/>
    </row>
    <row r="454" spans="23:29" customFormat="1" x14ac:dyDescent="0.25">
      <c r="W454" s="37"/>
      <c r="X454" s="52"/>
      <c r="Y454" s="52"/>
      <c r="Z454" s="37"/>
      <c r="AA454" s="18"/>
      <c r="AB454" s="18"/>
      <c r="AC454" s="18"/>
    </row>
    <row r="455" spans="23:29" customFormat="1" x14ac:dyDescent="0.25">
      <c r="W455" s="37"/>
      <c r="X455" s="52"/>
      <c r="Y455" s="52"/>
      <c r="Z455" s="37"/>
      <c r="AA455" s="18"/>
      <c r="AB455" s="18"/>
      <c r="AC455" s="18"/>
    </row>
    <row r="456" spans="23:29" customFormat="1" x14ac:dyDescent="0.25">
      <c r="W456" s="37"/>
      <c r="X456" s="52"/>
      <c r="Y456" s="52"/>
      <c r="Z456" s="37"/>
      <c r="AA456" s="18"/>
      <c r="AB456" s="18"/>
      <c r="AC456" s="18"/>
    </row>
    <row r="457" spans="23:29" customFormat="1" x14ac:dyDescent="0.25">
      <c r="W457" s="37"/>
      <c r="X457" s="52"/>
      <c r="Y457" s="52"/>
      <c r="Z457" s="37"/>
      <c r="AA457" s="18"/>
      <c r="AB457" s="18"/>
      <c r="AC457" s="18"/>
    </row>
    <row r="458" spans="23:29" customFormat="1" x14ac:dyDescent="0.25">
      <c r="W458" s="37"/>
      <c r="X458" s="52"/>
      <c r="Y458" s="52"/>
      <c r="Z458" s="37"/>
      <c r="AA458" s="18"/>
      <c r="AB458" s="18"/>
      <c r="AC458" s="18"/>
    </row>
    <row r="459" spans="23:29" customFormat="1" x14ac:dyDescent="0.25">
      <c r="W459" s="37"/>
      <c r="X459" s="52"/>
      <c r="Y459" s="52"/>
      <c r="Z459" s="37"/>
      <c r="AA459" s="18"/>
      <c r="AB459" s="18"/>
      <c r="AC459" s="18"/>
    </row>
    <row r="460" spans="23:29" customFormat="1" x14ac:dyDescent="0.25">
      <c r="W460" s="37"/>
      <c r="X460" s="52"/>
      <c r="Y460" s="52"/>
      <c r="Z460" s="37"/>
      <c r="AA460" s="18"/>
      <c r="AB460" s="18"/>
      <c r="AC460" s="18"/>
    </row>
    <row r="461" spans="23:29" customFormat="1" x14ac:dyDescent="0.25">
      <c r="W461" s="37"/>
      <c r="X461" s="52"/>
      <c r="Y461" s="52"/>
      <c r="Z461" s="37"/>
      <c r="AA461" s="18"/>
      <c r="AB461" s="18"/>
      <c r="AC461" s="18"/>
    </row>
    <row r="462" spans="23:29" customFormat="1" x14ac:dyDescent="0.25">
      <c r="W462" s="37"/>
      <c r="X462" s="52"/>
      <c r="Y462" s="52"/>
      <c r="Z462" s="37"/>
      <c r="AA462" s="18"/>
      <c r="AB462" s="18"/>
      <c r="AC462" s="18"/>
    </row>
    <row r="463" spans="23:29" customFormat="1" x14ac:dyDescent="0.25">
      <c r="W463" s="37"/>
      <c r="X463" s="52"/>
      <c r="Y463" s="52"/>
      <c r="Z463" s="37"/>
      <c r="AA463" s="18"/>
      <c r="AB463" s="18"/>
      <c r="AC463" s="18"/>
    </row>
    <row r="464" spans="23:29" customFormat="1" x14ac:dyDescent="0.25">
      <c r="W464" s="37"/>
      <c r="X464" s="52"/>
      <c r="Y464" s="52"/>
      <c r="Z464" s="37"/>
      <c r="AA464" s="18"/>
      <c r="AB464" s="18"/>
      <c r="AC464" s="18"/>
    </row>
    <row r="465" spans="23:29" customFormat="1" x14ac:dyDescent="0.25">
      <c r="W465" s="37"/>
      <c r="X465" s="52"/>
      <c r="Y465" s="52"/>
      <c r="Z465" s="37"/>
      <c r="AA465" s="18"/>
      <c r="AB465" s="18"/>
      <c r="AC465" s="18"/>
    </row>
    <row r="466" spans="23:29" customFormat="1" x14ac:dyDescent="0.25">
      <c r="W466" s="37"/>
      <c r="X466" s="52"/>
      <c r="Y466" s="52"/>
      <c r="Z466" s="37"/>
      <c r="AA466" s="18"/>
      <c r="AB466" s="18"/>
      <c r="AC466" s="18"/>
    </row>
    <row r="467" spans="23:29" customFormat="1" x14ac:dyDescent="0.25">
      <c r="W467" s="37"/>
      <c r="X467" s="52"/>
      <c r="Y467" s="52"/>
      <c r="Z467" s="37"/>
      <c r="AA467" s="18"/>
      <c r="AB467" s="18"/>
      <c r="AC467" s="18"/>
    </row>
    <row r="468" spans="23:29" customFormat="1" x14ac:dyDescent="0.25">
      <c r="W468" s="37"/>
      <c r="X468" s="52"/>
      <c r="Y468" s="52"/>
      <c r="Z468" s="37"/>
      <c r="AA468" s="18"/>
      <c r="AB468" s="18"/>
      <c r="AC468" s="18"/>
    </row>
    <row r="469" spans="23:29" customFormat="1" x14ac:dyDescent="0.25">
      <c r="W469" s="37"/>
      <c r="X469" s="52"/>
      <c r="Y469" s="52"/>
      <c r="Z469" s="37"/>
      <c r="AA469" s="18"/>
      <c r="AB469" s="18"/>
      <c r="AC469" s="18"/>
    </row>
    <row r="470" spans="23:29" customFormat="1" x14ac:dyDescent="0.25">
      <c r="W470" s="37"/>
      <c r="X470" s="52"/>
      <c r="Y470" s="52"/>
      <c r="Z470" s="37"/>
      <c r="AA470" s="18"/>
      <c r="AB470" s="18"/>
      <c r="AC470" s="18"/>
    </row>
    <row r="471" spans="23:29" customFormat="1" x14ac:dyDescent="0.25">
      <c r="W471" s="37"/>
      <c r="X471" s="52"/>
      <c r="Y471" s="52"/>
      <c r="Z471" s="37"/>
      <c r="AA471" s="18"/>
      <c r="AB471" s="18"/>
      <c r="AC471" s="18"/>
    </row>
    <row r="472" spans="23:29" customFormat="1" x14ac:dyDescent="0.25">
      <c r="W472" s="37"/>
      <c r="X472" s="52"/>
      <c r="Y472" s="52"/>
      <c r="Z472" s="37"/>
      <c r="AA472" s="18"/>
      <c r="AB472" s="18"/>
      <c r="AC472" s="18"/>
    </row>
    <row r="473" spans="23:29" customFormat="1" x14ac:dyDescent="0.25">
      <c r="W473" s="37"/>
      <c r="X473" s="52"/>
      <c r="Y473" s="52"/>
      <c r="Z473" s="37"/>
      <c r="AA473" s="18"/>
      <c r="AB473" s="18"/>
      <c r="AC473" s="18"/>
    </row>
    <row r="474" spans="23:29" customFormat="1" x14ac:dyDescent="0.25">
      <c r="W474" s="37"/>
      <c r="X474" s="52"/>
      <c r="Y474" s="52"/>
      <c r="Z474" s="37"/>
      <c r="AA474" s="18"/>
      <c r="AB474" s="18"/>
      <c r="AC474" s="18"/>
    </row>
    <row r="475" spans="23:29" customFormat="1" x14ac:dyDescent="0.25">
      <c r="W475" s="37"/>
      <c r="X475" s="52"/>
      <c r="Y475" s="52"/>
      <c r="Z475" s="37"/>
      <c r="AA475" s="18"/>
      <c r="AB475" s="18"/>
      <c r="AC475" s="18"/>
    </row>
    <row r="476" spans="23:29" customFormat="1" x14ac:dyDescent="0.25">
      <c r="W476" s="37"/>
      <c r="X476" s="52"/>
      <c r="Y476" s="52"/>
      <c r="Z476" s="37"/>
      <c r="AA476" s="18"/>
      <c r="AB476" s="18"/>
      <c r="AC476" s="18"/>
    </row>
    <row r="477" spans="23:29" customFormat="1" x14ac:dyDescent="0.25">
      <c r="W477" s="37"/>
      <c r="X477" s="52"/>
      <c r="Y477" s="52"/>
      <c r="Z477" s="37"/>
      <c r="AA477" s="18"/>
      <c r="AB477" s="18"/>
      <c r="AC477" s="18"/>
    </row>
    <row r="478" spans="23:29" customFormat="1" x14ac:dyDescent="0.25">
      <c r="W478" s="37"/>
      <c r="X478" s="52"/>
      <c r="Y478" s="52"/>
      <c r="Z478" s="37"/>
      <c r="AA478" s="18"/>
      <c r="AB478" s="18"/>
      <c r="AC478" s="18"/>
    </row>
    <row r="479" spans="23:29" customFormat="1" x14ac:dyDescent="0.25">
      <c r="W479" s="37"/>
      <c r="X479" s="52"/>
      <c r="Y479" s="52"/>
      <c r="Z479" s="37"/>
      <c r="AA479" s="18"/>
      <c r="AB479" s="18"/>
      <c r="AC479" s="18"/>
    </row>
    <row r="480" spans="23:29" customFormat="1" x14ac:dyDescent="0.25">
      <c r="W480" s="37"/>
      <c r="X480" s="52"/>
      <c r="Y480" s="52"/>
      <c r="Z480" s="37"/>
      <c r="AA480" s="18"/>
      <c r="AB480" s="18"/>
      <c r="AC480" s="18"/>
    </row>
    <row r="481" spans="23:29" customFormat="1" x14ac:dyDescent="0.25">
      <c r="W481" s="37"/>
      <c r="X481" s="52"/>
      <c r="Y481" s="52"/>
      <c r="Z481" s="37"/>
      <c r="AA481" s="18"/>
      <c r="AB481" s="18"/>
      <c r="AC481" s="18"/>
    </row>
    <row r="482" spans="23:29" customFormat="1" x14ac:dyDescent="0.25">
      <c r="W482" s="37"/>
      <c r="X482" s="52"/>
      <c r="Y482" s="52"/>
      <c r="Z482" s="37"/>
      <c r="AA482" s="18"/>
      <c r="AB482" s="18"/>
      <c r="AC482" s="18"/>
    </row>
    <row r="483" spans="23:29" customFormat="1" x14ac:dyDescent="0.25">
      <c r="W483" s="37"/>
      <c r="X483" s="52"/>
      <c r="Y483" s="52"/>
      <c r="Z483" s="37"/>
      <c r="AA483" s="18"/>
      <c r="AB483" s="18"/>
      <c r="AC483" s="18"/>
    </row>
    <row r="484" spans="23:29" customFormat="1" x14ac:dyDescent="0.25">
      <c r="W484" s="37"/>
      <c r="X484" s="52"/>
      <c r="Y484" s="52"/>
      <c r="Z484" s="37"/>
      <c r="AA484" s="18"/>
      <c r="AB484" s="18"/>
      <c r="AC484" s="18"/>
    </row>
    <row r="485" spans="23:29" customFormat="1" x14ac:dyDescent="0.25">
      <c r="W485" s="37"/>
      <c r="X485" s="52"/>
      <c r="Y485" s="52"/>
      <c r="Z485" s="37"/>
      <c r="AA485" s="18"/>
      <c r="AB485" s="18"/>
      <c r="AC485" s="18"/>
    </row>
    <row r="486" spans="23:29" customFormat="1" x14ac:dyDescent="0.25">
      <c r="W486" s="37"/>
      <c r="X486" s="52"/>
      <c r="Y486" s="52"/>
      <c r="Z486" s="37"/>
      <c r="AA486" s="18"/>
      <c r="AB486" s="18"/>
      <c r="AC486" s="18"/>
    </row>
    <row r="487" spans="23:29" customFormat="1" x14ac:dyDescent="0.25">
      <c r="W487" s="37"/>
      <c r="X487" s="52"/>
      <c r="Y487" s="52"/>
      <c r="Z487" s="37"/>
      <c r="AA487" s="18"/>
      <c r="AB487" s="18"/>
      <c r="AC487" s="18"/>
    </row>
    <row r="488" spans="23:29" customFormat="1" x14ac:dyDescent="0.25">
      <c r="W488" s="37"/>
      <c r="X488" s="52"/>
      <c r="Y488" s="52"/>
      <c r="Z488" s="37"/>
      <c r="AA488" s="18"/>
      <c r="AB488" s="18"/>
      <c r="AC488" s="18"/>
    </row>
    <row r="489" spans="23:29" customFormat="1" x14ac:dyDescent="0.25">
      <c r="W489" s="37"/>
      <c r="X489" s="52"/>
      <c r="Y489" s="52"/>
      <c r="Z489" s="37"/>
      <c r="AA489" s="18"/>
      <c r="AB489" s="18"/>
      <c r="AC489" s="18"/>
    </row>
    <row r="490" spans="23:29" customFormat="1" x14ac:dyDescent="0.25">
      <c r="W490" s="37"/>
      <c r="X490" s="52"/>
      <c r="Y490" s="52"/>
      <c r="Z490" s="37"/>
      <c r="AA490" s="18"/>
      <c r="AB490" s="18"/>
      <c r="AC490" s="18"/>
    </row>
    <row r="491" spans="23:29" customFormat="1" x14ac:dyDescent="0.25">
      <c r="W491" s="37"/>
      <c r="X491" s="52"/>
      <c r="Y491" s="52"/>
      <c r="Z491" s="37"/>
      <c r="AA491" s="18"/>
      <c r="AB491" s="18"/>
      <c r="AC491" s="18"/>
    </row>
    <row r="492" spans="23:29" customFormat="1" x14ac:dyDescent="0.25">
      <c r="W492" s="37"/>
      <c r="X492" s="52"/>
      <c r="Y492" s="52"/>
      <c r="Z492" s="37"/>
      <c r="AA492" s="18"/>
      <c r="AB492" s="18"/>
      <c r="AC492" s="18"/>
    </row>
    <row r="493" spans="23:29" customFormat="1" x14ac:dyDescent="0.25">
      <c r="W493" s="37"/>
      <c r="X493" s="52"/>
      <c r="Y493" s="52"/>
      <c r="Z493" s="37"/>
      <c r="AA493" s="18"/>
      <c r="AB493" s="18"/>
      <c r="AC493" s="18"/>
    </row>
    <row r="494" spans="23:29" customFormat="1" x14ac:dyDescent="0.25">
      <c r="W494" s="37"/>
      <c r="X494" s="52"/>
      <c r="Y494" s="52"/>
      <c r="Z494" s="37"/>
      <c r="AA494" s="18"/>
      <c r="AB494" s="18"/>
      <c r="AC494" s="18"/>
    </row>
    <row r="495" spans="23:29" customFormat="1" x14ac:dyDescent="0.25">
      <c r="W495" s="37"/>
      <c r="X495" s="52"/>
      <c r="Y495" s="52"/>
      <c r="Z495" s="37"/>
      <c r="AA495" s="18"/>
      <c r="AB495" s="18"/>
      <c r="AC495" s="18"/>
    </row>
    <row r="496" spans="23:29" customFormat="1" x14ac:dyDescent="0.25">
      <c r="W496" s="37"/>
      <c r="X496" s="52"/>
      <c r="Y496" s="52"/>
      <c r="Z496" s="37"/>
      <c r="AA496" s="18"/>
      <c r="AB496" s="18"/>
      <c r="AC496" s="18"/>
    </row>
    <row r="497" spans="23:29" customFormat="1" x14ac:dyDescent="0.25">
      <c r="W497" s="37"/>
      <c r="X497" s="52"/>
      <c r="Y497" s="52"/>
      <c r="Z497" s="37"/>
      <c r="AA497" s="18"/>
      <c r="AB497" s="18"/>
      <c r="AC497" s="18"/>
    </row>
    <row r="498" spans="23:29" customFormat="1" x14ac:dyDescent="0.25">
      <c r="W498" s="37"/>
      <c r="X498" s="52"/>
      <c r="Y498" s="52"/>
      <c r="Z498" s="37"/>
      <c r="AA498" s="18"/>
      <c r="AB498" s="18"/>
      <c r="AC498" s="18"/>
    </row>
    <row r="499" spans="23:29" customFormat="1" x14ac:dyDescent="0.25">
      <c r="W499" s="37"/>
      <c r="X499" s="52"/>
      <c r="Y499" s="52"/>
      <c r="Z499" s="37"/>
      <c r="AA499" s="18"/>
      <c r="AB499" s="18"/>
      <c r="AC499" s="18"/>
    </row>
    <row r="500" spans="23:29" customFormat="1" x14ac:dyDescent="0.25">
      <c r="W500" s="37"/>
      <c r="X500" s="52"/>
      <c r="Y500" s="52"/>
      <c r="Z500" s="37"/>
      <c r="AA500" s="18"/>
      <c r="AB500" s="18"/>
      <c r="AC500" s="18"/>
    </row>
    <row r="501" spans="23:29" customFormat="1" x14ac:dyDescent="0.25">
      <c r="W501" s="37"/>
      <c r="X501" s="52"/>
      <c r="Y501" s="52"/>
      <c r="Z501" s="37"/>
      <c r="AA501" s="18"/>
      <c r="AB501" s="18"/>
      <c r="AC501" s="18"/>
    </row>
    <row r="502" spans="23:29" customFormat="1" x14ac:dyDescent="0.25">
      <c r="W502" s="37"/>
      <c r="X502" s="52"/>
      <c r="Y502" s="52"/>
      <c r="Z502" s="37"/>
      <c r="AA502" s="18"/>
      <c r="AB502" s="18"/>
      <c r="AC502" s="18"/>
    </row>
    <row r="503" spans="23:29" customFormat="1" x14ac:dyDescent="0.25">
      <c r="W503" s="37"/>
      <c r="X503" s="52"/>
      <c r="Y503" s="52"/>
      <c r="Z503" s="37"/>
      <c r="AA503" s="18"/>
      <c r="AB503" s="18"/>
      <c r="AC503" s="18"/>
    </row>
    <row r="504" spans="23:29" customFormat="1" x14ac:dyDescent="0.25">
      <c r="W504" s="37"/>
      <c r="X504" s="52"/>
      <c r="Y504" s="52"/>
      <c r="Z504" s="37"/>
      <c r="AA504" s="18"/>
      <c r="AB504" s="18"/>
      <c r="AC504" s="18"/>
    </row>
    <row r="505" spans="23:29" customFormat="1" x14ac:dyDescent="0.25">
      <c r="W505" s="37"/>
      <c r="X505" s="52"/>
      <c r="Y505" s="52"/>
      <c r="Z505" s="37"/>
      <c r="AA505" s="18"/>
      <c r="AB505" s="18"/>
      <c r="AC505" s="18"/>
    </row>
    <row r="506" spans="23:29" customFormat="1" x14ac:dyDescent="0.25">
      <c r="W506" s="37"/>
      <c r="X506" s="52"/>
      <c r="Y506" s="52"/>
      <c r="Z506" s="37"/>
      <c r="AA506" s="18"/>
      <c r="AB506" s="18"/>
      <c r="AC506" s="18"/>
    </row>
    <row r="507" spans="23:29" customFormat="1" x14ac:dyDescent="0.25">
      <c r="W507" s="37"/>
      <c r="X507" s="52"/>
      <c r="Y507" s="52"/>
      <c r="Z507" s="37"/>
      <c r="AA507" s="18"/>
      <c r="AB507" s="18"/>
      <c r="AC507" s="18"/>
    </row>
    <row r="508" spans="23:29" customFormat="1" x14ac:dyDescent="0.25">
      <c r="W508" s="37"/>
      <c r="X508" s="52"/>
      <c r="Y508" s="52"/>
      <c r="Z508" s="37"/>
      <c r="AA508" s="18"/>
      <c r="AB508" s="18"/>
      <c r="AC508" s="18"/>
    </row>
    <row r="509" spans="23:29" customFormat="1" x14ac:dyDescent="0.25">
      <c r="W509" s="37"/>
      <c r="X509" s="52"/>
      <c r="Y509" s="52"/>
      <c r="Z509" s="37"/>
      <c r="AA509" s="18"/>
      <c r="AB509" s="18"/>
      <c r="AC509" s="18"/>
    </row>
    <row r="510" spans="23:29" customFormat="1" x14ac:dyDescent="0.25">
      <c r="W510" s="37"/>
      <c r="X510" s="52"/>
      <c r="Y510" s="52"/>
      <c r="Z510" s="37"/>
      <c r="AA510" s="18"/>
      <c r="AB510" s="18"/>
      <c r="AC510" s="18"/>
    </row>
    <row r="511" spans="23:29" customFormat="1" x14ac:dyDescent="0.25">
      <c r="W511" s="37"/>
      <c r="X511" s="52"/>
      <c r="Y511" s="52"/>
      <c r="Z511" s="37"/>
      <c r="AA511" s="18"/>
      <c r="AB511" s="18"/>
      <c r="AC511" s="18"/>
    </row>
    <row r="512" spans="23:29" customFormat="1" x14ac:dyDescent="0.25">
      <c r="W512" s="37"/>
      <c r="X512" s="52"/>
      <c r="Y512" s="52"/>
      <c r="Z512" s="37"/>
      <c r="AA512" s="18"/>
      <c r="AB512" s="18"/>
      <c r="AC512" s="18"/>
    </row>
    <row r="513" spans="23:29" customFormat="1" x14ac:dyDescent="0.25">
      <c r="W513" s="37"/>
      <c r="X513" s="52"/>
      <c r="Y513" s="52"/>
      <c r="Z513" s="37"/>
      <c r="AA513" s="18"/>
      <c r="AB513" s="18"/>
      <c r="AC513" s="18"/>
    </row>
    <row r="514" spans="23:29" customFormat="1" x14ac:dyDescent="0.25">
      <c r="W514" s="37"/>
      <c r="X514" s="52"/>
      <c r="Y514" s="52"/>
      <c r="Z514" s="37"/>
      <c r="AA514" s="18"/>
      <c r="AB514" s="18"/>
      <c r="AC514" s="18"/>
    </row>
    <row r="515" spans="23:29" customFormat="1" x14ac:dyDescent="0.25">
      <c r="W515" s="37"/>
      <c r="X515" s="52"/>
      <c r="Y515" s="52"/>
      <c r="Z515" s="37"/>
      <c r="AA515" s="18"/>
      <c r="AB515" s="18"/>
      <c r="AC515" s="18"/>
    </row>
    <row r="516" spans="23:29" customFormat="1" x14ac:dyDescent="0.25">
      <c r="W516" s="37"/>
      <c r="X516" s="52"/>
      <c r="Y516" s="52"/>
      <c r="Z516" s="37"/>
      <c r="AA516" s="18"/>
      <c r="AB516" s="18"/>
      <c r="AC516" s="18"/>
    </row>
    <row r="517" spans="23:29" customFormat="1" x14ac:dyDescent="0.25">
      <c r="W517" s="37"/>
      <c r="X517" s="52"/>
      <c r="Y517" s="52"/>
      <c r="Z517" s="37"/>
      <c r="AA517" s="18"/>
      <c r="AB517" s="18"/>
      <c r="AC517" s="18"/>
    </row>
    <row r="518" spans="23:29" customFormat="1" x14ac:dyDescent="0.25">
      <c r="W518" s="37"/>
      <c r="X518" s="52"/>
      <c r="Y518" s="52"/>
      <c r="Z518" s="37"/>
      <c r="AA518" s="18"/>
      <c r="AB518" s="18"/>
      <c r="AC518" s="18"/>
    </row>
    <row r="519" spans="23:29" customFormat="1" x14ac:dyDescent="0.25">
      <c r="W519" s="37"/>
      <c r="X519" s="52"/>
      <c r="Y519" s="52"/>
      <c r="Z519" s="37"/>
      <c r="AA519" s="18"/>
      <c r="AB519" s="18"/>
      <c r="AC519" s="18"/>
    </row>
    <row r="520" spans="23:29" customFormat="1" x14ac:dyDescent="0.25">
      <c r="W520" s="37"/>
      <c r="X520" s="52"/>
      <c r="Y520" s="52"/>
      <c r="Z520" s="37"/>
      <c r="AA520" s="18"/>
      <c r="AB520" s="18"/>
      <c r="AC520" s="18"/>
    </row>
    <row r="521" spans="23:29" customFormat="1" x14ac:dyDescent="0.25">
      <c r="W521" s="37"/>
      <c r="X521" s="52"/>
      <c r="Y521" s="52"/>
      <c r="Z521" s="37"/>
      <c r="AA521" s="18"/>
      <c r="AB521" s="18"/>
      <c r="AC521" s="18"/>
    </row>
    <row r="522" spans="23:29" customFormat="1" x14ac:dyDescent="0.25">
      <c r="W522" s="37"/>
      <c r="X522" s="52"/>
      <c r="Y522" s="52"/>
      <c r="Z522" s="37"/>
      <c r="AA522" s="18"/>
      <c r="AB522" s="18"/>
      <c r="AC522" s="18"/>
    </row>
    <row r="523" spans="23:29" customFormat="1" x14ac:dyDescent="0.25">
      <c r="W523" s="37"/>
      <c r="X523" s="52"/>
      <c r="Y523" s="52"/>
      <c r="Z523" s="37"/>
      <c r="AA523" s="18"/>
      <c r="AB523" s="18"/>
      <c r="AC523" s="18"/>
    </row>
    <row r="524" spans="23:29" customFormat="1" x14ac:dyDescent="0.25">
      <c r="W524" s="37"/>
      <c r="X524" s="52"/>
      <c r="Y524" s="52"/>
      <c r="Z524" s="37"/>
      <c r="AA524" s="18"/>
      <c r="AB524" s="18"/>
      <c r="AC524" s="18"/>
    </row>
    <row r="525" spans="23:29" customFormat="1" x14ac:dyDescent="0.25">
      <c r="W525" s="37"/>
      <c r="X525" s="52"/>
      <c r="Y525" s="52"/>
      <c r="Z525" s="37"/>
      <c r="AA525" s="18"/>
      <c r="AB525" s="18"/>
      <c r="AC525" s="18"/>
    </row>
    <row r="526" spans="23:29" customFormat="1" x14ac:dyDescent="0.25">
      <c r="W526" s="37"/>
      <c r="X526" s="52"/>
      <c r="Y526" s="52"/>
      <c r="Z526" s="37"/>
      <c r="AA526" s="18"/>
      <c r="AB526" s="18"/>
      <c r="AC526" s="18"/>
    </row>
    <row r="527" spans="23:29" customFormat="1" x14ac:dyDescent="0.25">
      <c r="W527" s="37"/>
      <c r="X527" s="52"/>
      <c r="Y527" s="52"/>
      <c r="Z527" s="37"/>
      <c r="AA527" s="18"/>
      <c r="AB527" s="18"/>
      <c r="AC527" s="18"/>
    </row>
    <row r="528" spans="23:29" customFormat="1" x14ac:dyDescent="0.25">
      <c r="W528" s="37"/>
      <c r="X528" s="52"/>
      <c r="Y528" s="52"/>
      <c r="Z528" s="37"/>
      <c r="AA528" s="18"/>
      <c r="AB528" s="18"/>
      <c r="AC528" s="18"/>
    </row>
    <row r="529" spans="23:29" customFormat="1" x14ac:dyDescent="0.25">
      <c r="W529" s="37"/>
      <c r="X529" s="52"/>
      <c r="Y529" s="52"/>
      <c r="Z529" s="37"/>
      <c r="AA529" s="18"/>
      <c r="AB529" s="18"/>
      <c r="AC529" s="18"/>
    </row>
    <row r="530" spans="23:29" customFormat="1" x14ac:dyDescent="0.25">
      <c r="W530" s="37"/>
      <c r="X530" s="52"/>
      <c r="Y530" s="52"/>
      <c r="Z530" s="37"/>
      <c r="AA530" s="18"/>
      <c r="AB530" s="18"/>
      <c r="AC530" s="18"/>
    </row>
    <row r="531" spans="23:29" customFormat="1" x14ac:dyDescent="0.25">
      <c r="W531" s="37"/>
      <c r="X531" s="52"/>
      <c r="Y531" s="52"/>
      <c r="Z531" s="37"/>
      <c r="AA531" s="18"/>
      <c r="AB531" s="18"/>
      <c r="AC531" s="18"/>
    </row>
    <row r="532" spans="23:29" customFormat="1" x14ac:dyDescent="0.25">
      <c r="W532" s="37"/>
      <c r="X532" s="52"/>
      <c r="Y532" s="52"/>
      <c r="Z532" s="37"/>
      <c r="AA532" s="18"/>
      <c r="AB532" s="18"/>
      <c r="AC532" s="18"/>
    </row>
    <row r="533" spans="23:29" customFormat="1" x14ac:dyDescent="0.25">
      <c r="W533" s="37"/>
      <c r="X533" s="52"/>
      <c r="Y533" s="52"/>
      <c r="Z533" s="37"/>
      <c r="AA533" s="18"/>
      <c r="AB533" s="18"/>
      <c r="AC533" s="18"/>
    </row>
    <row r="534" spans="23:29" customFormat="1" x14ac:dyDescent="0.25">
      <c r="W534" s="37"/>
      <c r="X534" s="52"/>
      <c r="Y534" s="52"/>
      <c r="Z534" s="37"/>
      <c r="AA534" s="18"/>
      <c r="AB534" s="18"/>
      <c r="AC534" s="18"/>
    </row>
    <row r="535" spans="23:29" customFormat="1" x14ac:dyDescent="0.25">
      <c r="W535" s="37"/>
      <c r="X535" s="52"/>
      <c r="Y535" s="52"/>
      <c r="Z535" s="37"/>
      <c r="AA535" s="18"/>
      <c r="AB535" s="18"/>
      <c r="AC535" s="18"/>
    </row>
    <row r="536" spans="23:29" customFormat="1" x14ac:dyDescent="0.25">
      <c r="W536" s="37"/>
      <c r="X536" s="52"/>
      <c r="Y536" s="52"/>
      <c r="Z536" s="37"/>
      <c r="AA536" s="18"/>
      <c r="AB536" s="18"/>
      <c r="AC536" s="18"/>
    </row>
    <row r="537" spans="23:29" customFormat="1" x14ac:dyDescent="0.25">
      <c r="W537" s="37"/>
      <c r="X537" s="52"/>
      <c r="Y537" s="52"/>
      <c r="Z537" s="37"/>
      <c r="AA537" s="18"/>
      <c r="AB537" s="18"/>
      <c r="AC537" s="18"/>
    </row>
    <row r="538" spans="23:29" customFormat="1" x14ac:dyDescent="0.25">
      <c r="W538" s="37"/>
      <c r="X538" s="52"/>
      <c r="Y538" s="52"/>
      <c r="Z538" s="37"/>
      <c r="AA538" s="18"/>
      <c r="AB538" s="18"/>
      <c r="AC538" s="18"/>
    </row>
    <row r="539" spans="23:29" customFormat="1" x14ac:dyDescent="0.25">
      <c r="W539" s="37"/>
      <c r="X539" s="52"/>
      <c r="Y539" s="52"/>
      <c r="Z539" s="37"/>
      <c r="AA539" s="18"/>
      <c r="AB539" s="18"/>
      <c r="AC539" s="18"/>
    </row>
    <row r="540" spans="23:29" customFormat="1" x14ac:dyDescent="0.25">
      <c r="W540" s="37"/>
      <c r="X540" s="52"/>
      <c r="Y540" s="52"/>
      <c r="Z540" s="37"/>
      <c r="AA540" s="18"/>
      <c r="AB540" s="18"/>
      <c r="AC540" s="18"/>
    </row>
    <row r="541" spans="23:29" customFormat="1" x14ac:dyDescent="0.25">
      <c r="W541" s="37"/>
      <c r="X541" s="52"/>
      <c r="Y541" s="52"/>
      <c r="Z541" s="37"/>
      <c r="AA541" s="18"/>
      <c r="AB541" s="18"/>
      <c r="AC541" s="18"/>
    </row>
    <row r="542" spans="23:29" customFormat="1" x14ac:dyDescent="0.25">
      <c r="W542" s="37"/>
      <c r="X542" s="52"/>
      <c r="Y542" s="52"/>
      <c r="Z542" s="37"/>
      <c r="AA542" s="18"/>
      <c r="AB542" s="18"/>
      <c r="AC542" s="18"/>
    </row>
    <row r="543" spans="23:29" customFormat="1" x14ac:dyDescent="0.25">
      <c r="W543" s="37"/>
      <c r="X543" s="52"/>
      <c r="Y543" s="52"/>
      <c r="Z543" s="37"/>
      <c r="AA543" s="18"/>
      <c r="AB543" s="18"/>
      <c r="AC543" s="18"/>
    </row>
    <row r="544" spans="23:29" customFormat="1" x14ac:dyDescent="0.25">
      <c r="W544" s="37"/>
      <c r="X544" s="52"/>
      <c r="Y544" s="52"/>
      <c r="Z544" s="37"/>
      <c r="AA544" s="18"/>
      <c r="AB544" s="18"/>
      <c r="AC544" s="18"/>
    </row>
    <row r="545" spans="23:29" customFormat="1" x14ac:dyDescent="0.25">
      <c r="W545" s="37"/>
      <c r="X545" s="52"/>
      <c r="Y545" s="52"/>
      <c r="Z545" s="37"/>
      <c r="AA545" s="18"/>
      <c r="AB545" s="18"/>
      <c r="AC545" s="18"/>
    </row>
    <row r="546" spans="23:29" customFormat="1" x14ac:dyDescent="0.25">
      <c r="W546" s="37"/>
      <c r="X546" s="52"/>
      <c r="Y546" s="52"/>
      <c r="Z546" s="37"/>
      <c r="AA546" s="18"/>
      <c r="AB546" s="18"/>
      <c r="AC546" s="18"/>
    </row>
    <row r="547" spans="23:29" customFormat="1" x14ac:dyDescent="0.25">
      <c r="W547" s="37"/>
      <c r="X547" s="52"/>
      <c r="Y547" s="52"/>
      <c r="Z547" s="37"/>
      <c r="AA547" s="18"/>
      <c r="AB547" s="18"/>
      <c r="AC547" s="18"/>
    </row>
    <row r="548" spans="23:29" customFormat="1" x14ac:dyDescent="0.25">
      <c r="W548" s="37"/>
      <c r="X548" s="52"/>
      <c r="Y548" s="52"/>
      <c r="Z548" s="37"/>
      <c r="AA548" s="18"/>
      <c r="AB548" s="18"/>
      <c r="AC548" s="18"/>
    </row>
    <row r="549" spans="23:29" customFormat="1" x14ac:dyDescent="0.25">
      <c r="W549" s="37"/>
      <c r="X549" s="52"/>
      <c r="Y549" s="52"/>
      <c r="Z549" s="37"/>
      <c r="AA549" s="18"/>
      <c r="AB549" s="18"/>
      <c r="AC549" s="18"/>
    </row>
    <row r="550" spans="23:29" customFormat="1" x14ac:dyDescent="0.25">
      <c r="W550" s="37"/>
      <c r="X550" s="52"/>
      <c r="Y550" s="52"/>
      <c r="Z550" s="37"/>
      <c r="AA550" s="18"/>
      <c r="AB550" s="18"/>
      <c r="AC550" s="18"/>
    </row>
    <row r="551" spans="23:29" customFormat="1" x14ac:dyDescent="0.25">
      <c r="W551" s="37"/>
      <c r="X551" s="52"/>
      <c r="Y551" s="52"/>
      <c r="Z551" s="37"/>
      <c r="AA551" s="18"/>
      <c r="AB551" s="18"/>
      <c r="AC551" s="18"/>
    </row>
    <row r="552" spans="23:29" customFormat="1" x14ac:dyDescent="0.25">
      <c r="W552" s="37"/>
      <c r="X552" s="52"/>
      <c r="Y552" s="52"/>
      <c r="Z552" s="37"/>
      <c r="AA552" s="18"/>
      <c r="AB552" s="18"/>
      <c r="AC552" s="18"/>
    </row>
    <row r="553" spans="23:29" customFormat="1" x14ac:dyDescent="0.25">
      <c r="W553" s="37"/>
      <c r="X553" s="52"/>
      <c r="Y553" s="52"/>
      <c r="Z553" s="37"/>
      <c r="AA553" s="18"/>
      <c r="AB553" s="18"/>
      <c r="AC553" s="18"/>
    </row>
    <row r="554" spans="23:29" customFormat="1" x14ac:dyDescent="0.25">
      <c r="W554" s="37"/>
      <c r="X554" s="52"/>
      <c r="Y554" s="52"/>
      <c r="Z554" s="37"/>
      <c r="AA554" s="18"/>
      <c r="AB554" s="18"/>
      <c r="AC554" s="18"/>
    </row>
    <row r="555" spans="23:29" customFormat="1" x14ac:dyDescent="0.25">
      <c r="W555" s="37"/>
      <c r="X555" s="52"/>
      <c r="Y555" s="52"/>
      <c r="Z555" s="37"/>
      <c r="AA555" s="18"/>
      <c r="AB555" s="18"/>
      <c r="AC555" s="18"/>
    </row>
    <row r="556" spans="23:29" customFormat="1" x14ac:dyDescent="0.25">
      <c r="W556" s="37"/>
      <c r="X556" s="52"/>
      <c r="Y556" s="52"/>
      <c r="Z556" s="37"/>
      <c r="AA556" s="18"/>
      <c r="AB556" s="18"/>
      <c r="AC556" s="18"/>
    </row>
    <row r="557" spans="23:29" customFormat="1" x14ac:dyDescent="0.25">
      <c r="W557" s="37"/>
      <c r="X557" s="52"/>
      <c r="Y557" s="52"/>
      <c r="Z557" s="37"/>
      <c r="AA557" s="18"/>
      <c r="AB557" s="18"/>
      <c r="AC557" s="18"/>
    </row>
    <row r="558" spans="23:29" customFormat="1" x14ac:dyDescent="0.25">
      <c r="W558" s="37"/>
      <c r="X558" s="52"/>
      <c r="Y558" s="52"/>
      <c r="Z558" s="37"/>
      <c r="AA558" s="18"/>
      <c r="AB558" s="18"/>
      <c r="AC558" s="18"/>
    </row>
    <row r="559" spans="23:29" customFormat="1" x14ac:dyDescent="0.25">
      <c r="W559" s="37"/>
      <c r="X559" s="52"/>
      <c r="Y559" s="52"/>
      <c r="Z559" s="37"/>
      <c r="AA559" s="18"/>
      <c r="AB559" s="18"/>
      <c r="AC559" s="18"/>
    </row>
    <row r="560" spans="23:29" customFormat="1" x14ac:dyDescent="0.25">
      <c r="W560" s="37"/>
      <c r="X560" s="52"/>
      <c r="Y560" s="52"/>
      <c r="Z560" s="37"/>
      <c r="AA560" s="18"/>
      <c r="AB560" s="18"/>
      <c r="AC560" s="18"/>
    </row>
    <row r="561" spans="23:29" customFormat="1" x14ac:dyDescent="0.25">
      <c r="W561" s="37"/>
      <c r="X561" s="52"/>
      <c r="Y561" s="52"/>
      <c r="Z561" s="37"/>
      <c r="AA561" s="18"/>
      <c r="AB561" s="18"/>
      <c r="AC561" s="18"/>
    </row>
    <row r="562" spans="23:29" customFormat="1" x14ac:dyDescent="0.25">
      <c r="W562" s="37"/>
      <c r="X562" s="52"/>
      <c r="Y562" s="52"/>
      <c r="Z562" s="37"/>
      <c r="AA562" s="18"/>
      <c r="AB562" s="18"/>
      <c r="AC562" s="18"/>
    </row>
    <row r="563" spans="23:29" customFormat="1" x14ac:dyDescent="0.25">
      <c r="W563" s="37"/>
      <c r="X563" s="52"/>
      <c r="Y563" s="52"/>
      <c r="Z563" s="37"/>
      <c r="AA563" s="18"/>
      <c r="AB563" s="18"/>
      <c r="AC563" s="18"/>
    </row>
    <row r="564" spans="23:29" customFormat="1" x14ac:dyDescent="0.25">
      <c r="W564" s="37"/>
      <c r="X564" s="52"/>
      <c r="Y564" s="52"/>
      <c r="Z564" s="37"/>
      <c r="AA564" s="18"/>
      <c r="AB564" s="18"/>
      <c r="AC564" s="18"/>
    </row>
    <row r="565" spans="23:29" customFormat="1" x14ac:dyDescent="0.25">
      <c r="W565" s="37"/>
      <c r="X565" s="52"/>
      <c r="Y565" s="52"/>
      <c r="Z565" s="37"/>
      <c r="AA565" s="18"/>
      <c r="AB565" s="18"/>
      <c r="AC565" s="18"/>
    </row>
    <row r="566" spans="23:29" customFormat="1" x14ac:dyDescent="0.25">
      <c r="W566" s="37"/>
      <c r="X566" s="52"/>
      <c r="Y566" s="52"/>
      <c r="Z566" s="37"/>
      <c r="AA566" s="18"/>
      <c r="AB566" s="18"/>
      <c r="AC566" s="18"/>
    </row>
    <row r="567" spans="23:29" customFormat="1" x14ac:dyDescent="0.25">
      <c r="W567" s="37"/>
      <c r="X567" s="52"/>
      <c r="Y567" s="52"/>
      <c r="Z567" s="37"/>
      <c r="AA567" s="18"/>
      <c r="AB567" s="18"/>
      <c r="AC567" s="18"/>
    </row>
    <row r="568" spans="23:29" customFormat="1" x14ac:dyDescent="0.25">
      <c r="W568" s="37"/>
      <c r="X568" s="52"/>
      <c r="Y568" s="52"/>
      <c r="Z568" s="37"/>
      <c r="AA568" s="18"/>
      <c r="AB568" s="18"/>
      <c r="AC568" s="18"/>
    </row>
    <row r="569" spans="23:29" customFormat="1" x14ac:dyDescent="0.25">
      <c r="W569" s="37"/>
      <c r="X569" s="52"/>
      <c r="Y569" s="52"/>
      <c r="Z569" s="37"/>
      <c r="AA569" s="18"/>
      <c r="AB569" s="18"/>
      <c r="AC569" s="18"/>
    </row>
    <row r="570" spans="23:29" customFormat="1" x14ac:dyDescent="0.25">
      <c r="W570" s="37"/>
      <c r="X570" s="52"/>
      <c r="Y570" s="52"/>
      <c r="Z570" s="37"/>
      <c r="AA570" s="18"/>
      <c r="AB570" s="18"/>
      <c r="AC570" s="18"/>
    </row>
    <row r="571" spans="23:29" customFormat="1" x14ac:dyDescent="0.25">
      <c r="W571" s="37"/>
      <c r="X571" s="52"/>
      <c r="Y571" s="52"/>
      <c r="Z571" s="37"/>
      <c r="AA571" s="18"/>
      <c r="AB571" s="18"/>
      <c r="AC571" s="18"/>
    </row>
    <row r="572" spans="23:29" customFormat="1" x14ac:dyDescent="0.25">
      <c r="W572" s="37"/>
      <c r="X572" s="52"/>
      <c r="Y572" s="52"/>
      <c r="Z572" s="37"/>
      <c r="AA572" s="18"/>
      <c r="AB572" s="18"/>
      <c r="AC572" s="18"/>
    </row>
    <row r="573" spans="23:29" customFormat="1" x14ac:dyDescent="0.25">
      <c r="W573" s="37"/>
      <c r="X573" s="52"/>
      <c r="Y573" s="52"/>
      <c r="Z573" s="37"/>
      <c r="AA573" s="18"/>
      <c r="AB573" s="18"/>
      <c r="AC573" s="18"/>
    </row>
    <row r="574" spans="23:29" customFormat="1" x14ac:dyDescent="0.25">
      <c r="W574" s="37"/>
      <c r="X574" s="52"/>
      <c r="Y574" s="52"/>
      <c r="Z574" s="37"/>
      <c r="AA574" s="18"/>
      <c r="AB574" s="18"/>
      <c r="AC574" s="18"/>
    </row>
    <row r="575" spans="23:29" customFormat="1" x14ac:dyDescent="0.25">
      <c r="W575" s="37"/>
      <c r="X575" s="52"/>
      <c r="Y575" s="52"/>
      <c r="Z575" s="37"/>
      <c r="AA575" s="18"/>
      <c r="AB575" s="18"/>
      <c r="AC575" s="18"/>
    </row>
    <row r="576" spans="23:29" customFormat="1" x14ac:dyDescent="0.25">
      <c r="W576" s="37"/>
      <c r="X576" s="52"/>
      <c r="Y576" s="52"/>
      <c r="Z576" s="37"/>
      <c r="AA576" s="18"/>
      <c r="AB576" s="18"/>
      <c r="AC576" s="18"/>
    </row>
    <row r="577" spans="23:29" customFormat="1" x14ac:dyDescent="0.25">
      <c r="W577" s="37"/>
      <c r="X577" s="52"/>
      <c r="Y577" s="52"/>
      <c r="Z577" s="37"/>
      <c r="AA577" s="18"/>
      <c r="AB577" s="18"/>
      <c r="AC577" s="18"/>
    </row>
    <row r="578" spans="23:29" customFormat="1" x14ac:dyDescent="0.25">
      <c r="W578" s="37"/>
      <c r="X578" s="52"/>
      <c r="Y578" s="52"/>
      <c r="Z578" s="37"/>
      <c r="AA578" s="18"/>
      <c r="AB578" s="18"/>
      <c r="AC578" s="18"/>
    </row>
    <row r="579" spans="23:29" customFormat="1" x14ac:dyDescent="0.25">
      <c r="W579" s="37"/>
      <c r="X579" s="52"/>
      <c r="Y579" s="52"/>
      <c r="Z579" s="37"/>
      <c r="AA579" s="18"/>
      <c r="AB579" s="18"/>
      <c r="AC579" s="18"/>
    </row>
    <row r="580" spans="23:29" customFormat="1" x14ac:dyDescent="0.25">
      <c r="W580" s="37"/>
      <c r="X580" s="52"/>
      <c r="Y580" s="52"/>
      <c r="Z580" s="37"/>
      <c r="AA580" s="18"/>
      <c r="AB580" s="18"/>
      <c r="AC580" s="18"/>
    </row>
    <row r="581" spans="23:29" customFormat="1" x14ac:dyDescent="0.25">
      <c r="W581" s="37"/>
      <c r="X581" s="52"/>
      <c r="Y581" s="52"/>
      <c r="Z581" s="37"/>
      <c r="AA581" s="18"/>
      <c r="AB581" s="18"/>
      <c r="AC581" s="18"/>
    </row>
    <row r="582" spans="23:29" customFormat="1" x14ac:dyDescent="0.25">
      <c r="W582" s="37"/>
      <c r="X582" s="52"/>
      <c r="Y582" s="52"/>
      <c r="Z582" s="37"/>
      <c r="AA582" s="18"/>
      <c r="AB582" s="18"/>
      <c r="AC582" s="18"/>
    </row>
    <row r="583" spans="23:29" customFormat="1" x14ac:dyDescent="0.25">
      <c r="W583" s="37"/>
      <c r="X583" s="52"/>
      <c r="Y583" s="52"/>
      <c r="Z583" s="37"/>
      <c r="AA583" s="18"/>
      <c r="AB583" s="18"/>
      <c r="AC583" s="18"/>
    </row>
    <row r="584" spans="23:29" customFormat="1" x14ac:dyDescent="0.25">
      <c r="W584" s="37"/>
      <c r="X584" s="52"/>
      <c r="Y584" s="52"/>
      <c r="Z584" s="37"/>
      <c r="AA584" s="18"/>
      <c r="AB584" s="18"/>
      <c r="AC584" s="18"/>
    </row>
    <row r="585" spans="23:29" customFormat="1" x14ac:dyDescent="0.25">
      <c r="W585" s="37"/>
      <c r="X585" s="52"/>
      <c r="Y585" s="52"/>
      <c r="Z585" s="37"/>
      <c r="AA585" s="18"/>
      <c r="AB585" s="18"/>
      <c r="AC585" s="18"/>
    </row>
    <row r="586" spans="23:29" customFormat="1" x14ac:dyDescent="0.25">
      <c r="W586" s="37"/>
      <c r="X586" s="52"/>
      <c r="Y586" s="52"/>
      <c r="Z586" s="37"/>
      <c r="AA586" s="18"/>
      <c r="AB586" s="18"/>
      <c r="AC586" s="18"/>
    </row>
    <row r="587" spans="23:29" customFormat="1" x14ac:dyDescent="0.25">
      <c r="W587" s="37"/>
      <c r="X587" s="52"/>
      <c r="Y587" s="52"/>
      <c r="Z587" s="37"/>
      <c r="AA587" s="18"/>
      <c r="AB587" s="18"/>
      <c r="AC587" s="18"/>
    </row>
    <row r="588" spans="23:29" customFormat="1" x14ac:dyDescent="0.25">
      <c r="W588" s="37"/>
      <c r="X588" s="52"/>
      <c r="Y588" s="52"/>
      <c r="Z588" s="37"/>
      <c r="AA588" s="18"/>
      <c r="AB588" s="18"/>
      <c r="AC588" s="18"/>
    </row>
    <row r="589" spans="23:29" customFormat="1" x14ac:dyDescent="0.25">
      <c r="W589" s="37"/>
      <c r="X589" s="52"/>
      <c r="Y589" s="52"/>
      <c r="Z589" s="37"/>
      <c r="AA589" s="18"/>
      <c r="AB589" s="18"/>
      <c r="AC589" s="18"/>
    </row>
    <row r="590" spans="23:29" customFormat="1" x14ac:dyDescent="0.25">
      <c r="W590" s="37"/>
      <c r="X590" s="52"/>
      <c r="Y590" s="52"/>
      <c r="Z590" s="37"/>
      <c r="AA590" s="18"/>
      <c r="AB590" s="18"/>
      <c r="AC590" s="18"/>
    </row>
    <row r="591" spans="23:29" customFormat="1" x14ac:dyDescent="0.25">
      <c r="W591" s="37"/>
      <c r="X591" s="52"/>
      <c r="Y591" s="52"/>
      <c r="Z591" s="37"/>
      <c r="AA591" s="18"/>
      <c r="AB591" s="18"/>
      <c r="AC591" s="18"/>
    </row>
    <row r="592" spans="23:29" customFormat="1" x14ac:dyDescent="0.25">
      <c r="W592" s="37"/>
      <c r="X592" s="52"/>
      <c r="Y592" s="52"/>
      <c r="Z592" s="37"/>
      <c r="AA592" s="18"/>
      <c r="AB592" s="18"/>
      <c r="AC592" s="18"/>
    </row>
    <row r="593" spans="23:29" customFormat="1" x14ac:dyDescent="0.25">
      <c r="W593" s="37"/>
      <c r="X593" s="52"/>
      <c r="Y593" s="52"/>
      <c r="Z593" s="37"/>
      <c r="AA593" s="18"/>
      <c r="AB593" s="18"/>
      <c r="AC593" s="18"/>
    </row>
    <row r="594" spans="23:29" customFormat="1" x14ac:dyDescent="0.25">
      <c r="W594" s="37"/>
      <c r="X594" s="52"/>
      <c r="Y594" s="52"/>
      <c r="Z594" s="37"/>
      <c r="AA594" s="18"/>
      <c r="AB594" s="18"/>
      <c r="AC594" s="18"/>
    </row>
    <row r="595" spans="23:29" customFormat="1" x14ac:dyDescent="0.25">
      <c r="W595" s="37"/>
      <c r="X595" s="52"/>
      <c r="Y595" s="52"/>
      <c r="Z595" s="37"/>
      <c r="AA595" s="18"/>
      <c r="AB595" s="18"/>
      <c r="AC595" s="18"/>
    </row>
    <row r="596" spans="23:29" customFormat="1" x14ac:dyDescent="0.25">
      <c r="W596" s="37"/>
      <c r="X596" s="52"/>
      <c r="Y596" s="52"/>
      <c r="Z596" s="37"/>
      <c r="AA596" s="18"/>
      <c r="AB596" s="18"/>
      <c r="AC596" s="18"/>
    </row>
    <row r="597" spans="23:29" customFormat="1" x14ac:dyDescent="0.25">
      <c r="W597" s="37"/>
      <c r="X597" s="52"/>
      <c r="Y597" s="52"/>
      <c r="Z597" s="37"/>
      <c r="AA597" s="18"/>
      <c r="AB597" s="18"/>
      <c r="AC597" s="18"/>
    </row>
    <row r="598" spans="23:29" customFormat="1" x14ac:dyDescent="0.25">
      <c r="W598" s="37"/>
      <c r="X598" s="52"/>
      <c r="Y598" s="52"/>
      <c r="Z598" s="37"/>
      <c r="AA598" s="18"/>
      <c r="AB598" s="18"/>
      <c r="AC598" s="18"/>
    </row>
    <row r="599" spans="23:29" customFormat="1" x14ac:dyDescent="0.25">
      <c r="W599" s="37"/>
      <c r="X599" s="52"/>
      <c r="Y599" s="52"/>
      <c r="Z599" s="37"/>
      <c r="AA599" s="18"/>
      <c r="AB599" s="18"/>
      <c r="AC599" s="18"/>
    </row>
    <row r="600" spans="23:29" customFormat="1" x14ac:dyDescent="0.25">
      <c r="W600" s="37"/>
      <c r="X600" s="52"/>
      <c r="Y600" s="52"/>
      <c r="Z600" s="37"/>
      <c r="AA600" s="18"/>
      <c r="AB600" s="18"/>
      <c r="AC600" s="18"/>
    </row>
    <row r="601" spans="23:29" customFormat="1" x14ac:dyDescent="0.25">
      <c r="W601" s="37"/>
      <c r="X601" s="52"/>
      <c r="Y601" s="52"/>
      <c r="Z601" s="37"/>
      <c r="AA601" s="18"/>
      <c r="AB601" s="18"/>
      <c r="AC601" s="18"/>
    </row>
    <row r="602" spans="23:29" customFormat="1" x14ac:dyDescent="0.25">
      <c r="W602" s="37"/>
      <c r="X602" s="52"/>
      <c r="Y602" s="52"/>
      <c r="Z602" s="37"/>
      <c r="AA602" s="18"/>
      <c r="AB602" s="18"/>
      <c r="AC602" s="18"/>
    </row>
    <row r="603" spans="23:29" customFormat="1" x14ac:dyDescent="0.25">
      <c r="W603" s="37"/>
      <c r="X603" s="52"/>
      <c r="Y603" s="52"/>
      <c r="Z603" s="37"/>
      <c r="AA603" s="18"/>
      <c r="AB603" s="18"/>
      <c r="AC603" s="18"/>
    </row>
    <row r="604" spans="23:29" customFormat="1" x14ac:dyDescent="0.25">
      <c r="W604" s="37"/>
      <c r="X604" s="52"/>
      <c r="Y604" s="52"/>
      <c r="Z604" s="37"/>
      <c r="AA604" s="18"/>
      <c r="AB604" s="18"/>
      <c r="AC604" s="18"/>
    </row>
    <row r="605" spans="23:29" customFormat="1" x14ac:dyDescent="0.25">
      <c r="W605" s="37"/>
      <c r="X605" s="52"/>
      <c r="Y605" s="52"/>
      <c r="Z605" s="37"/>
      <c r="AA605" s="18"/>
      <c r="AB605" s="18"/>
      <c r="AC605" s="18"/>
    </row>
    <row r="606" spans="23:29" customFormat="1" x14ac:dyDescent="0.25">
      <c r="W606" s="37"/>
      <c r="X606" s="52"/>
      <c r="Y606" s="52"/>
      <c r="Z606" s="37"/>
      <c r="AA606" s="18"/>
      <c r="AB606" s="18"/>
      <c r="AC606" s="18"/>
    </row>
    <row r="607" spans="23:29" customFormat="1" x14ac:dyDescent="0.25">
      <c r="W607" s="37"/>
      <c r="X607" s="52"/>
      <c r="Y607" s="52"/>
      <c r="Z607" s="37"/>
      <c r="AA607" s="18"/>
      <c r="AB607" s="18"/>
      <c r="AC607" s="18"/>
    </row>
    <row r="608" spans="23:29" customFormat="1" x14ac:dyDescent="0.25">
      <c r="W608" s="37"/>
      <c r="X608" s="52"/>
      <c r="Y608" s="52"/>
      <c r="Z608" s="37"/>
      <c r="AA608" s="18"/>
      <c r="AB608" s="18"/>
      <c r="AC608" s="18"/>
    </row>
    <row r="609" spans="23:29" customFormat="1" x14ac:dyDescent="0.25">
      <c r="W609" s="37"/>
      <c r="X609" s="52"/>
      <c r="Y609" s="52"/>
      <c r="Z609" s="37"/>
      <c r="AA609" s="18"/>
      <c r="AB609" s="18"/>
      <c r="AC609" s="18"/>
    </row>
    <row r="610" spans="23:29" customFormat="1" x14ac:dyDescent="0.25">
      <c r="W610" s="37"/>
      <c r="X610" s="52"/>
      <c r="Y610" s="52"/>
      <c r="Z610" s="37"/>
      <c r="AA610" s="18"/>
      <c r="AB610" s="18"/>
      <c r="AC610" s="18"/>
    </row>
    <row r="611" spans="23:29" customFormat="1" x14ac:dyDescent="0.25">
      <c r="W611" s="37"/>
      <c r="X611" s="52"/>
      <c r="Y611" s="52"/>
      <c r="Z611" s="37"/>
      <c r="AA611" s="18"/>
      <c r="AB611" s="18"/>
      <c r="AC611" s="18"/>
    </row>
    <row r="612" spans="23:29" customFormat="1" x14ac:dyDescent="0.25">
      <c r="W612" s="37"/>
      <c r="X612" s="52"/>
      <c r="Y612" s="52"/>
      <c r="Z612" s="37"/>
      <c r="AA612" s="18"/>
      <c r="AB612" s="18"/>
      <c r="AC612" s="18"/>
    </row>
    <row r="613" spans="23:29" customFormat="1" x14ac:dyDescent="0.25">
      <c r="W613" s="37"/>
      <c r="X613" s="52"/>
      <c r="Y613" s="52"/>
      <c r="Z613" s="37"/>
      <c r="AA613" s="18"/>
      <c r="AB613" s="18"/>
      <c r="AC613" s="18"/>
    </row>
    <row r="614" spans="23:29" customFormat="1" x14ac:dyDescent="0.25">
      <c r="W614" s="37"/>
      <c r="X614" s="52"/>
      <c r="Y614" s="52"/>
      <c r="Z614" s="37"/>
      <c r="AA614" s="18"/>
      <c r="AB614" s="18"/>
      <c r="AC614" s="18"/>
    </row>
    <row r="615" spans="23:29" customFormat="1" x14ac:dyDescent="0.25">
      <c r="W615" s="37"/>
      <c r="X615" s="52"/>
      <c r="Y615" s="52"/>
      <c r="Z615" s="37"/>
      <c r="AA615" s="18"/>
      <c r="AB615" s="18"/>
      <c r="AC615" s="18"/>
    </row>
    <row r="616" spans="23:29" customFormat="1" x14ac:dyDescent="0.25">
      <c r="W616" s="37"/>
      <c r="X616" s="52"/>
      <c r="Y616" s="52"/>
      <c r="Z616" s="37"/>
      <c r="AA616" s="18"/>
      <c r="AB616" s="18"/>
      <c r="AC616" s="18"/>
    </row>
    <row r="617" spans="23:29" customFormat="1" x14ac:dyDescent="0.25">
      <c r="W617" s="37"/>
      <c r="X617" s="52"/>
      <c r="Y617" s="52"/>
      <c r="Z617" s="37"/>
      <c r="AA617" s="18"/>
      <c r="AB617" s="18"/>
      <c r="AC617" s="18"/>
    </row>
    <row r="618" spans="23:29" customFormat="1" x14ac:dyDescent="0.25">
      <c r="W618" s="37"/>
      <c r="X618" s="52"/>
      <c r="Y618" s="52"/>
      <c r="Z618" s="37"/>
      <c r="AA618" s="18"/>
      <c r="AB618" s="18"/>
      <c r="AC618" s="18"/>
    </row>
    <row r="619" spans="23:29" customFormat="1" x14ac:dyDescent="0.25">
      <c r="W619" s="37"/>
      <c r="X619" s="52"/>
      <c r="Y619" s="52"/>
      <c r="Z619" s="37"/>
      <c r="AA619" s="18"/>
      <c r="AB619" s="18"/>
      <c r="AC619" s="18"/>
    </row>
    <row r="620" spans="23:29" customFormat="1" x14ac:dyDescent="0.25">
      <c r="W620" s="37"/>
      <c r="X620" s="52"/>
      <c r="Y620" s="52"/>
      <c r="Z620" s="37"/>
      <c r="AA620" s="18"/>
      <c r="AB620" s="18"/>
      <c r="AC620" s="18"/>
    </row>
    <row r="621" spans="23:29" customFormat="1" x14ac:dyDescent="0.25">
      <c r="W621" s="37"/>
      <c r="X621" s="52"/>
      <c r="Y621" s="52"/>
      <c r="Z621" s="37"/>
      <c r="AA621" s="18"/>
      <c r="AB621" s="18"/>
      <c r="AC621" s="18"/>
    </row>
    <row r="622" spans="23:29" customFormat="1" x14ac:dyDescent="0.25">
      <c r="W622" s="37"/>
      <c r="X622" s="52"/>
      <c r="Y622" s="52"/>
      <c r="Z622" s="37"/>
      <c r="AA622" s="18"/>
      <c r="AB622" s="18"/>
      <c r="AC622" s="18"/>
    </row>
    <row r="623" spans="23:29" customFormat="1" x14ac:dyDescent="0.25">
      <c r="W623" s="37"/>
      <c r="X623" s="52"/>
      <c r="Y623" s="52"/>
      <c r="Z623" s="37"/>
      <c r="AA623" s="18"/>
      <c r="AB623" s="18"/>
      <c r="AC623" s="18"/>
    </row>
    <row r="624" spans="23:29" customFormat="1" x14ac:dyDescent="0.25">
      <c r="W624" s="37"/>
      <c r="X624" s="52"/>
      <c r="Y624" s="52"/>
      <c r="Z624" s="37"/>
      <c r="AA624" s="18"/>
      <c r="AB624" s="18"/>
      <c r="AC624" s="18"/>
    </row>
    <row r="625" spans="23:29" customFormat="1" x14ac:dyDescent="0.25">
      <c r="W625" s="37"/>
      <c r="X625" s="52"/>
      <c r="Y625" s="52"/>
      <c r="Z625" s="37"/>
      <c r="AA625" s="18"/>
      <c r="AB625" s="18"/>
      <c r="AC625" s="18"/>
    </row>
    <row r="626" spans="23:29" customFormat="1" x14ac:dyDescent="0.25">
      <c r="W626" s="37"/>
      <c r="X626" s="52"/>
      <c r="Y626" s="52"/>
      <c r="Z626" s="37"/>
      <c r="AA626" s="18"/>
      <c r="AB626" s="18"/>
      <c r="AC626" s="18"/>
    </row>
    <row r="627" spans="23:29" customFormat="1" x14ac:dyDescent="0.25">
      <c r="W627" s="37"/>
      <c r="X627" s="52"/>
      <c r="Y627" s="52"/>
      <c r="Z627" s="37"/>
      <c r="AA627" s="18"/>
      <c r="AB627" s="18"/>
      <c r="AC627" s="18"/>
    </row>
    <row r="628" spans="23:29" customFormat="1" x14ac:dyDescent="0.25">
      <c r="W628" s="37"/>
      <c r="X628" s="52"/>
      <c r="Y628" s="52"/>
      <c r="Z628" s="37"/>
      <c r="AA628" s="18"/>
      <c r="AB628" s="18"/>
      <c r="AC628" s="18"/>
    </row>
    <row r="629" spans="23:29" customFormat="1" x14ac:dyDescent="0.25">
      <c r="W629" s="37"/>
      <c r="X629" s="52"/>
      <c r="Y629" s="52"/>
      <c r="Z629" s="37"/>
      <c r="AA629" s="18"/>
      <c r="AB629" s="18"/>
      <c r="AC629" s="18"/>
    </row>
    <row r="630" spans="23:29" customFormat="1" x14ac:dyDescent="0.25">
      <c r="W630" s="37"/>
      <c r="X630" s="52"/>
      <c r="Y630" s="52"/>
      <c r="Z630" s="37"/>
      <c r="AA630" s="18"/>
      <c r="AB630" s="18"/>
      <c r="AC630" s="18"/>
    </row>
    <row r="631" spans="23:29" customFormat="1" x14ac:dyDescent="0.25">
      <c r="W631" s="37"/>
      <c r="X631" s="52"/>
      <c r="Y631" s="52"/>
      <c r="Z631" s="37"/>
      <c r="AA631" s="18"/>
      <c r="AB631" s="18"/>
      <c r="AC631" s="18"/>
    </row>
    <row r="632" spans="23:29" customFormat="1" x14ac:dyDescent="0.25">
      <c r="W632" s="37"/>
      <c r="X632" s="52"/>
      <c r="Y632" s="52"/>
      <c r="Z632" s="37"/>
      <c r="AA632" s="18"/>
      <c r="AB632" s="18"/>
      <c r="AC632" s="18"/>
    </row>
    <row r="633" spans="23:29" customFormat="1" x14ac:dyDescent="0.25">
      <c r="W633" s="37"/>
      <c r="X633" s="52"/>
      <c r="Y633" s="52"/>
      <c r="Z633" s="37"/>
      <c r="AA633" s="18"/>
      <c r="AB633" s="18"/>
      <c r="AC633" s="18"/>
    </row>
    <row r="634" spans="23:29" customFormat="1" x14ac:dyDescent="0.25">
      <c r="W634" s="37"/>
      <c r="X634" s="52"/>
      <c r="Y634" s="52"/>
      <c r="Z634" s="37"/>
      <c r="AA634" s="18"/>
      <c r="AB634" s="18"/>
      <c r="AC634" s="18"/>
    </row>
    <row r="635" spans="23:29" customFormat="1" x14ac:dyDescent="0.25">
      <c r="W635" s="37"/>
      <c r="X635" s="52"/>
      <c r="Y635" s="52"/>
      <c r="Z635" s="37"/>
      <c r="AA635" s="18"/>
      <c r="AB635" s="18"/>
      <c r="AC635" s="18"/>
    </row>
    <row r="636" spans="23:29" customFormat="1" x14ac:dyDescent="0.25">
      <c r="W636" s="37"/>
      <c r="X636" s="52"/>
      <c r="Y636" s="52"/>
      <c r="Z636" s="37"/>
      <c r="AA636" s="18"/>
      <c r="AB636" s="18"/>
      <c r="AC636" s="18"/>
    </row>
    <row r="637" spans="23:29" customFormat="1" x14ac:dyDescent="0.25">
      <c r="W637" s="37"/>
      <c r="X637" s="52"/>
      <c r="Y637" s="52"/>
      <c r="Z637" s="37"/>
      <c r="AA637" s="18"/>
      <c r="AB637" s="18"/>
      <c r="AC637" s="18"/>
    </row>
    <row r="638" spans="23:29" customFormat="1" x14ac:dyDescent="0.25">
      <c r="W638" s="37"/>
      <c r="X638" s="52"/>
      <c r="Y638" s="52"/>
      <c r="Z638" s="37"/>
      <c r="AA638" s="18"/>
      <c r="AB638" s="18"/>
      <c r="AC638" s="18"/>
    </row>
    <row r="639" spans="23:29" customFormat="1" x14ac:dyDescent="0.25">
      <c r="W639" s="37"/>
      <c r="X639" s="52"/>
      <c r="Y639" s="52"/>
      <c r="Z639" s="37"/>
      <c r="AA639" s="18"/>
      <c r="AB639" s="18"/>
      <c r="AC639" s="18"/>
    </row>
    <row r="640" spans="23:29" customFormat="1" x14ac:dyDescent="0.25">
      <c r="W640" s="37"/>
      <c r="X640" s="52"/>
      <c r="Y640" s="52"/>
      <c r="Z640" s="37"/>
      <c r="AA640" s="18"/>
      <c r="AB640" s="18"/>
      <c r="AC640" s="18"/>
    </row>
    <row r="641" spans="23:29" customFormat="1" x14ac:dyDescent="0.25">
      <c r="W641" s="37"/>
      <c r="X641" s="52"/>
      <c r="Y641" s="52"/>
      <c r="Z641" s="37"/>
      <c r="AA641" s="18"/>
      <c r="AB641" s="18"/>
      <c r="AC641" s="18"/>
    </row>
    <row r="642" spans="23:29" customFormat="1" x14ac:dyDescent="0.25">
      <c r="W642" s="37"/>
      <c r="X642" s="52"/>
      <c r="Y642" s="52"/>
      <c r="Z642" s="37"/>
      <c r="AA642" s="18"/>
      <c r="AB642" s="18"/>
      <c r="AC642" s="18"/>
    </row>
    <row r="643" spans="23:29" customFormat="1" x14ac:dyDescent="0.25">
      <c r="W643" s="37"/>
      <c r="X643" s="52"/>
      <c r="Y643" s="52"/>
      <c r="Z643" s="37"/>
      <c r="AA643" s="18"/>
      <c r="AB643" s="18"/>
      <c r="AC643" s="18"/>
    </row>
    <row r="644" spans="23:29" customFormat="1" x14ac:dyDescent="0.25">
      <c r="W644" s="37"/>
      <c r="X644" s="52"/>
      <c r="Y644" s="52"/>
      <c r="Z644" s="37"/>
      <c r="AA644" s="18"/>
      <c r="AB644" s="18"/>
      <c r="AC644" s="18"/>
    </row>
    <row r="645" spans="23:29" customFormat="1" x14ac:dyDescent="0.25">
      <c r="W645" s="37"/>
      <c r="X645" s="52"/>
      <c r="Y645" s="52"/>
      <c r="Z645" s="37"/>
      <c r="AA645" s="18"/>
      <c r="AB645" s="18"/>
      <c r="AC645" s="18"/>
    </row>
    <row r="646" spans="23:29" customFormat="1" x14ac:dyDescent="0.25">
      <c r="W646" s="37"/>
      <c r="X646" s="52"/>
      <c r="Y646" s="52"/>
      <c r="Z646" s="37"/>
      <c r="AA646" s="18"/>
      <c r="AB646" s="18"/>
      <c r="AC646" s="18"/>
    </row>
    <row r="647" spans="23:29" customFormat="1" x14ac:dyDescent="0.25">
      <c r="W647" s="37"/>
      <c r="X647" s="52"/>
      <c r="Y647" s="52"/>
      <c r="Z647" s="37"/>
      <c r="AA647" s="18"/>
      <c r="AB647" s="18"/>
      <c r="AC647" s="18"/>
    </row>
    <row r="648" spans="23:29" customFormat="1" x14ac:dyDescent="0.25">
      <c r="W648" s="37"/>
      <c r="X648" s="52"/>
      <c r="Y648" s="52"/>
      <c r="Z648" s="37"/>
      <c r="AA648" s="18"/>
      <c r="AB648" s="18"/>
      <c r="AC648" s="18"/>
    </row>
    <row r="649" spans="23:29" customFormat="1" x14ac:dyDescent="0.25">
      <c r="W649" s="37"/>
      <c r="X649" s="52"/>
      <c r="Y649" s="52"/>
      <c r="Z649" s="37"/>
      <c r="AA649" s="18"/>
      <c r="AB649" s="18"/>
      <c r="AC649" s="18"/>
    </row>
    <row r="650" spans="23:29" customFormat="1" x14ac:dyDescent="0.25">
      <c r="W650" s="37"/>
      <c r="X650" s="52"/>
      <c r="Y650" s="52"/>
      <c r="Z650" s="37"/>
      <c r="AA650" s="18"/>
      <c r="AB650" s="18"/>
      <c r="AC650" s="18"/>
    </row>
    <row r="651" spans="23:29" customFormat="1" x14ac:dyDescent="0.25">
      <c r="W651" s="37"/>
      <c r="X651" s="52"/>
      <c r="Y651" s="52"/>
      <c r="Z651" s="37"/>
      <c r="AA651" s="18"/>
      <c r="AB651" s="18"/>
      <c r="AC651" s="18"/>
    </row>
    <row r="652" spans="23:29" customFormat="1" x14ac:dyDescent="0.25">
      <c r="W652" s="37"/>
      <c r="X652" s="52"/>
      <c r="Y652" s="52"/>
      <c r="Z652" s="37"/>
      <c r="AA652" s="18"/>
      <c r="AB652" s="18"/>
      <c r="AC652" s="18"/>
    </row>
    <row r="653" spans="23:29" customFormat="1" x14ac:dyDescent="0.25">
      <c r="W653" s="37"/>
      <c r="X653" s="52"/>
      <c r="Y653" s="52"/>
      <c r="Z653" s="37"/>
      <c r="AA653" s="18"/>
      <c r="AB653" s="18"/>
      <c r="AC653" s="18"/>
    </row>
    <row r="654" spans="23:29" customFormat="1" x14ac:dyDescent="0.25">
      <c r="W654" s="37"/>
      <c r="X654" s="52"/>
      <c r="Y654" s="52"/>
      <c r="Z654" s="37"/>
      <c r="AA654" s="18"/>
      <c r="AB654" s="18"/>
      <c r="AC654" s="18"/>
    </row>
    <row r="655" spans="23:29" customFormat="1" x14ac:dyDescent="0.25">
      <c r="W655" s="37"/>
      <c r="X655" s="52"/>
      <c r="Y655" s="52"/>
      <c r="Z655" s="37"/>
      <c r="AA655" s="18"/>
      <c r="AB655" s="18"/>
      <c r="AC655" s="18"/>
    </row>
    <row r="656" spans="23:29" customFormat="1" x14ac:dyDescent="0.25">
      <c r="W656" s="37"/>
      <c r="X656" s="52"/>
      <c r="Y656" s="52"/>
      <c r="Z656" s="37"/>
      <c r="AA656" s="18"/>
      <c r="AB656" s="18"/>
      <c r="AC656" s="18"/>
    </row>
    <row r="657" spans="23:29" customFormat="1" x14ac:dyDescent="0.25">
      <c r="W657" s="37"/>
      <c r="X657" s="52"/>
      <c r="Y657" s="52"/>
      <c r="Z657" s="37"/>
      <c r="AA657" s="18"/>
      <c r="AB657" s="18"/>
      <c r="AC657" s="18"/>
    </row>
    <row r="658" spans="23:29" customFormat="1" x14ac:dyDescent="0.25">
      <c r="W658" s="37"/>
      <c r="X658" s="52"/>
      <c r="Y658" s="52"/>
      <c r="Z658" s="37"/>
      <c r="AA658" s="18"/>
      <c r="AB658" s="18"/>
      <c r="AC658" s="18"/>
    </row>
    <row r="659" spans="23:29" customFormat="1" x14ac:dyDescent="0.25">
      <c r="W659" s="37"/>
      <c r="X659" s="52"/>
      <c r="Y659" s="52"/>
      <c r="Z659" s="37"/>
      <c r="AA659" s="18"/>
      <c r="AB659" s="18"/>
      <c r="AC659" s="18"/>
    </row>
    <row r="660" spans="23:29" customFormat="1" x14ac:dyDescent="0.25">
      <c r="W660" s="37"/>
      <c r="X660" s="52"/>
      <c r="Y660" s="52"/>
      <c r="Z660" s="37"/>
      <c r="AA660" s="18"/>
      <c r="AB660" s="18"/>
      <c r="AC660" s="18"/>
    </row>
    <row r="661" spans="23:29" customFormat="1" x14ac:dyDescent="0.25">
      <c r="W661" s="37"/>
      <c r="X661" s="52"/>
      <c r="Y661" s="52"/>
      <c r="Z661" s="37"/>
      <c r="AA661" s="18"/>
      <c r="AB661" s="18"/>
      <c r="AC661" s="18"/>
    </row>
    <row r="662" spans="23:29" customFormat="1" x14ac:dyDescent="0.25">
      <c r="W662" s="37"/>
      <c r="X662" s="52"/>
      <c r="Y662" s="52"/>
      <c r="Z662" s="37"/>
      <c r="AA662" s="18"/>
      <c r="AB662" s="18"/>
      <c r="AC662" s="18"/>
    </row>
    <row r="663" spans="23:29" customFormat="1" x14ac:dyDescent="0.25">
      <c r="W663" s="37"/>
      <c r="X663" s="52"/>
      <c r="Y663" s="52"/>
      <c r="Z663" s="37"/>
      <c r="AA663" s="18"/>
      <c r="AB663" s="18"/>
      <c r="AC663" s="18"/>
    </row>
    <row r="664" spans="23:29" customFormat="1" x14ac:dyDescent="0.25">
      <c r="W664" s="37"/>
      <c r="X664" s="52"/>
      <c r="Y664" s="52"/>
      <c r="Z664" s="37"/>
      <c r="AA664" s="18"/>
      <c r="AB664" s="18"/>
      <c r="AC664" s="18"/>
    </row>
    <row r="665" spans="23:29" customFormat="1" x14ac:dyDescent="0.25">
      <c r="W665" s="37"/>
      <c r="X665" s="52"/>
      <c r="Y665" s="52"/>
      <c r="Z665" s="37"/>
      <c r="AA665" s="18"/>
      <c r="AB665" s="18"/>
      <c r="AC665" s="18"/>
    </row>
    <row r="666" spans="23:29" customFormat="1" x14ac:dyDescent="0.25">
      <c r="W666" s="37"/>
      <c r="X666" s="52"/>
      <c r="Y666" s="52"/>
      <c r="Z666" s="37"/>
      <c r="AA666" s="18"/>
      <c r="AB666" s="18"/>
      <c r="AC666" s="18"/>
    </row>
    <row r="667" spans="23:29" customFormat="1" x14ac:dyDescent="0.25">
      <c r="W667" s="37"/>
      <c r="X667" s="52"/>
      <c r="Y667" s="52"/>
      <c r="Z667" s="37"/>
      <c r="AA667" s="18"/>
      <c r="AB667" s="18"/>
      <c r="AC667" s="18"/>
    </row>
    <row r="668" spans="23:29" customFormat="1" x14ac:dyDescent="0.25">
      <c r="W668" s="37"/>
      <c r="X668" s="52"/>
      <c r="Y668" s="52"/>
      <c r="Z668" s="37"/>
      <c r="AA668" s="18"/>
      <c r="AB668" s="18"/>
      <c r="AC668" s="18"/>
    </row>
    <row r="669" spans="23:29" customFormat="1" x14ac:dyDescent="0.25">
      <c r="W669" s="37"/>
      <c r="X669" s="52"/>
      <c r="Y669" s="52"/>
      <c r="Z669" s="37"/>
      <c r="AA669" s="18"/>
      <c r="AB669" s="18"/>
      <c r="AC669" s="18"/>
    </row>
    <row r="670" spans="23:29" customFormat="1" x14ac:dyDescent="0.25">
      <c r="W670" s="37"/>
      <c r="X670" s="52"/>
      <c r="Y670" s="52"/>
      <c r="Z670" s="37"/>
      <c r="AA670" s="18"/>
      <c r="AB670" s="18"/>
      <c r="AC670" s="18"/>
    </row>
    <row r="671" spans="23:29" customFormat="1" x14ac:dyDescent="0.25">
      <c r="W671" s="37"/>
      <c r="X671" s="52"/>
      <c r="Y671" s="52"/>
      <c r="Z671" s="37"/>
      <c r="AA671" s="18"/>
      <c r="AB671" s="18"/>
      <c r="AC671" s="18"/>
    </row>
    <row r="672" spans="23:29" customFormat="1" x14ac:dyDescent="0.25">
      <c r="W672" s="37"/>
      <c r="X672" s="52"/>
      <c r="Y672" s="52"/>
      <c r="Z672" s="37"/>
      <c r="AA672" s="18"/>
      <c r="AB672" s="18"/>
      <c r="AC672" s="18"/>
    </row>
    <row r="673" spans="23:29" customFormat="1" x14ac:dyDescent="0.25">
      <c r="W673" s="37"/>
      <c r="X673" s="52"/>
      <c r="Y673" s="52"/>
      <c r="Z673" s="37"/>
      <c r="AA673" s="18"/>
      <c r="AB673" s="18"/>
      <c r="AC673" s="18"/>
    </row>
    <row r="674" spans="23:29" customFormat="1" x14ac:dyDescent="0.25">
      <c r="W674" s="37"/>
      <c r="X674" s="52"/>
      <c r="Y674" s="52"/>
      <c r="Z674" s="37"/>
      <c r="AA674" s="18"/>
      <c r="AB674" s="18"/>
      <c r="AC674" s="18"/>
    </row>
    <row r="675" spans="23:29" customFormat="1" x14ac:dyDescent="0.25">
      <c r="W675" s="37"/>
      <c r="X675" s="52"/>
      <c r="Y675" s="52"/>
      <c r="Z675" s="37"/>
      <c r="AA675" s="18"/>
      <c r="AB675" s="18"/>
      <c r="AC675" s="18"/>
    </row>
    <row r="676" spans="23:29" customFormat="1" x14ac:dyDescent="0.25">
      <c r="W676" s="37"/>
      <c r="X676" s="52"/>
      <c r="Y676" s="52"/>
      <c r="Z676" s="37"/>
      <c r="AA676" s="18"/>
      <c r="AB676" s="18"/>
      <c r="AC676" s="18"/>
    </row>
    <row r="677" spans="23:29" customFormat="1" x14ac:dyDescent="0.25">
      <c r="W677" s="37"/>
      <c r="X677" s="52"/>
      <c r="Y677" s="52"/>
      <c r="Z677" s="37"/>
      <c r="AA677" s="18"/>
      <c r="AB677" s="18"/>
      <c r="AC677" s="18"/>
    </row>
    <row r="678" spans="23:29" customFormat="1" x14ac:dyDescent="0.25">
      <c r="W678" s="37"/>
      <c r="X678" s="52"/>
      <c r="Y678" s="52"/>
      <c r="Z678" s="37"/>
      <c r="AA678" s="18"/>
      <c r="AB678" s="18"/>
      <c r="AC678" s="18"/>
    </row>
    <row r="679" spans="23:29" customFormat="1" x14ac:dyDescent="0.25">
      <c r="W679" s="37"/>
      <c r="X679" s="52"/>
      <c r="Y679" s="52"/>
      <c r="Z679" s="37"/>
      <c r="AA679" s="18"/>
      <c r="AB679" s="18"/>
      <c r="AC679" s="18"/>
    </row>
    <row r="680" spans="23:29" customFormat="1" x14ac:dyDescent="0.25">
      <c r="W680" s="37"/>
      <c r="X680" s="52"/>
      <c r="Y680" s="52"/>
      <c r="Z680" s="37"/>
      <c r="AA680" s="18"/>
      <c r="AB680" s="18"/>
      <c r="AC680" s="18"/>
    </row>
    <row r="681" spans="23:29" customFormat="1" x14ac:dyDescent="0.25">
      <c r="W681" s="37"/>
      <c r="X681" s="52"/>
      <c r="Y681" s="52"/>
      <c r="Z681" s="37"/>
      <c r="AA681" s="18"/>
      <c r="AB681" s="18"/>
      <c r="AC681" s="18"/>
    </row>
    <row r="682" spans="23:29" customFormat="1" x14ac:dyDescent="0.25">
      <c r="W682" s="37"/>
      <c r="X682" s="52"/>
      <c r="Y682" s="52"/>
      <c r="Z682" s="37"/>
      <c r="AA682" s="18"/>
      <c r="AB682" s="18"/>
      <c r="AC682" s="18"/>
    </row>
    <row r="683" spans="23:29" customFormat="1" x14ac:dyDescent="0.25">
      <c r="W683" s="37"/>
      <c r="X683" s="52"/>
      <c r="Y683" s="52"/>
      <c r="Z683" s="37"/>
      <c r="AA683" s="18"/>
      <c r="AB683" s="18"/>
      <c r="AC683" s="18"/>
    </row>
    <row r="684" spans="23:29" customFormat="1" x14ac:dyDescent="0.25">
      <c r="W684" s="37"/>
      <c r="X684" s="52"/>
      <c r="Y684" s="52"/>
      <c r="Z684" s="37"/>
      <c r="AA684" s="18"/>
      <c r="AB684" s="18"/>
      <c r="AC684" s="18"/>
    </row>
    <row r="685" spans="23:29" customFormat="1" x14ac:dyDescent="0.25">
      <c r="W685" s="37"/>
      <c r="X685" s="52"/>
      <c r="Y685" s="52"/>
      <c r="Z685" s="37"/>
      <c r="AA685" s="18"/>
      <c r="AB685" s="18"/>
      <c r="AC685" s="18"/>
    </row>
    <row r="686" spans="23:29" customFormat="1" x14ac:dyDescent="0.25">
      <c r="W686" s="37"/>
      <c r="X686" s="52"/>
      <c r="Y686" s="52"/>
      <c r="Z686" s="37"/>
      <c r="AA686" s="18"/>
      <c r="AB686" s="18"/>
      <c r="AC686" s="18"/>
    </row>
    <row r="687" spans="23:29" customFormat="1" x14ac:dyDescent="0.25">
      <c r="W687" s="37"/>
      <c r="X687" s="52"/>
      <c r="Y687" s="52"/>
      <c r="Z687" s="37"/>
      <c r="AA687" s="18"/>
      <c r="AB687" s="18"/>
      <c r="AC687" s="18"/>
    </row>
    <row r="688" spans="23:29" customFormat="1" x14ac:dyDescent="0.25">
      <c r="W688" s="37"/>
      <c r="X688" s="52"/>
      <c r="Y688" s="52"/>
      <c r="Z688" s="37"/>
      <c r="AA688" s="18"/>
      <c r="AB688" s="18"/>
      <c r="AC688" s="18"/>
    </row>
    <row r="689" spans="23:29" customFormat="1" x14ac:dyDescent="0.25">
      <c r="W689" s="37"/>
      <c r="X689" s="52"/>
      <c r="Y689" s="52"/>
      <c r="Z689" s="37"/>
      <c r="AA689" s="18"/>
      <c r="AB689" s="18"/>
      <c r="AC689" s="18"/>
    </row>
    <row r="690" spans="23:29" customFormat="1" x14ac:dyDescent="0.25">
      <c r="W690" s="37"/>
      <c r="X690" s="52"/>
      <c r="Y690" s="52"/>
      <c r="Z690" s="37"/>
      <c r="AA690" s="18"/>
      <c r="AB690" s="18"/>
      <c r="AC690" s="18"/>
    </row>
    <row r="691" spans="23:29" customFormat="1" x14ac:dyDescent="0.25">
      <c r="W691" s="37"/>
      <c r="X691" s="52"/>
      <c r="Y691" s="52"/>
      <c r="Z691" s="37"/>
      <c r="AA691" s="18"/>
      <c r="AB691" s="18"/>
      <c r="AC691" s="18"/>
    </row>
    <row r="692" spans="23:29" customFormat="1" x14ac:dyDescent="0.25">
      <c r="W692" s="37"/>
      <c r="X692" s="52"/>
      <c r="Y692" s="52"/>
      <c r="Z692" s="37"/>
      <c r="AA692" s="18"/>
      <c r="AB692" s="18"/>
      <c r="AC692" s="18"/>
    </row>
    <row r="693" spans="23:29" customFormat="1" x14ac:dyDescent="0.25">
      <c r="W693" s="37"/>
      <c r="X693" s="52"/>
      <c r="Y693" s="52"/>
      <c r="Z693" s="37"/>
      <c r="AA693" s="18"/>
      <c r="AB693" s="18"/>
      <c r="AC693" s="18"/>
    </row>
    <row r="694" spans="23:29" customFormat="1" x14ac:dyDescent="0.25">
      <c r="W694" s="37"/>
      <c r="X694" s="52"/>
      <c r="Y694" s="52"/>
      <c r="Z694" s="37"/>
      <c r="AA694" s="18"/>
      <c r="AB694" s="18"/>
      <c r="AC694" s="18"/>
    </row>
    <row r="695" spans="23:29" customFormat="1" x14ac:dyDescent="0.25">
      <c r="W695" s="37"/>
      <c r="X695" s="52"/>
      <c r="Y695" s="52"/>
      <c r="Z695" s="37"/>
      <c r="AA695" s="18"/>
      <c r="AB695" s="18"/>
      <c r="AC695" s="18"/>
    </row>
    <row r="696" spans="23:29" customFormat="1" x14ac:dyDescent="0.25">
      <c r="W696" s="37"/>
      <c r="X696" s="52"/>
      <c r="Y696" s="52"/>
      <c r="Z696" s="37"/>
      <c r="AA696" s="18"/>
      <c r="AB696" s="18"/>
      <c r="AC696" s="18"/>
    </row>
    <row r="697" spans="23:29" customFormat="1" x14ac:dyDescent="0.25">
      <c r="W697" s="37"/>
      <c r="X697" s="52"/>
      <c r="Y697" s="52"/>
      <c r="Z697" s="37"/>
      <c r="AA697" s="18"/>
      <c r="AB697" s="18"/>
      <c r="AC697" s="18"/>
    </row>
    <row r="698" spans="23:29" customFormat="1" x14ac:dyDescent="0.25">
      <c r="W698" s="37"/>
      <c r="X698" s="52"/>
      <c r="Y698" s="52"/>
      <c r="Z698" s="37"/>
      <c r="AA698" s="18"/>
      <c r="AB698" s="18"/>
      <c r="AC698" s="18"/>
    </row>
    <row r="699" spans="23:29" customFormat="1" x14ac:dyDescent="0.25">
      <c r="W699" s="37"/>
      <c r="X699" s="52"/>
      <c r="Y699" s="52"/>
      <c r="Z699" s="37"/>
      <c r="AA699" s="18"/>
      <c r="AB699" s="18"/>
      <c r="AC699" s="18"/>
    </row>
    <row r="700" spans="23:29" customFormat="1" x14ac:dyDescent="0.25">
      <c r="W700" s="37"/>
      <c r="X700" s="52"/>
      <c r="Y700" s="52"/>
      <c r="Z700" s="37"/>
      <c r="AA700" s="18"/>
      <c r="AB700" s="18"/>
      <c r="AC700" s="18"/>
    </row>
    <row r="701" spans="23:29" customFormat="1" x14ac:dyDescent="0.25">
      <c r="W701" s="37"/>
      <c r="X701" s="52"/>
      <c r="Y701" s="52"/>
      <c r="Z701" s="37"/>
      <c r="AA701" s="18"/>
      <c r="AB701" s="18"/>
      <c r="AC701" s="18"/>
    </row>
    <row r="702" spans="23:29" customFormat="1" x14ac:dyDescent="0.25">
      <c r="W702" s="37"/>
      <c r="X702" s="52"/>
      <c r="Y702" s="52"/>
      <c r="Z702" s="37"/>
      <c r="AA702" s="18"/>
      <c r="AB702" s="18"/>
      <c r="AC702" s="18"/>
    </row>
    <row r="703" spans="23:29" customFormat="1" x14ac:dyDescent="0.25">
      <c r="W703" s="37"/>
      <c r="X703" s="52"/>
      <c r="Y703" s="52"/>
      <c r="Z703" s="37"/>
      <c r="AA703" s="18"/>
      <c r="AB703" s="18"/>
      <c r="AC703" s="18"/>
    </row>
    <row r="704" spans="23:29" customFormat="1" x14ac:dyDescent="0.25">
      <c r="W704" s="37"/>
      <c r="X704" s="52"/>
      <c r="Y704" s="52"/>
      <c r="Z704" s="37"/>
      <c r="AA704" s="18"/>
      <c r="AB704" s="18"/>
      <c r="AC704" s="18"/>
    </row>
    <row r="705" spans="23:29" customFormat="1" x14ac:dyDescent="0.25">
      <c r="W705" s="37"/>
      <c r="X705" s="52"/>
      <c r="Y705" s="52"/>
      <c r="Z705" s="37"/>
      <c r="AA705" s="18"/>
      <c r="AB705" s="18"/>
      <c r="AC705" s="18"/>
    </row>
    <row r="706" spans="23:29" customFormat="1" x14ac:dyDescent="0.25">
      <c r="W706" s="37"/>
      <c r="X706" s="52"/>
      <c r="Y706" s="52"/>
      <c r="Z706" s="37"/>
      <c r="AA706" s="18"/>
      <c r="AB706" s="18"/>
      <c r="AC706" s="18"/>
    </row>
    <row r="707" spans="23:29" customFormat="1" x14ac:dyDescent="0.25">
      <c r="W707" s="37"/>
      <c r="X707" s="52"/>
      <c r="Y707" s="52"/>
      <c r="Z707" s="37"/>
      <c r="AA707" s="18"/>
      <c r="AB707" s="18"/>
      <c r="AC707" s="18"/>
    </row>
    <row r="708" spans="23:29" customFormat="1" x14ac:dyDescent="0.25">
      <c r="W708" s="37"/>
      <c r="X708" s="52"/>
      <c r="Y708" s="52"/>
      <c r="Z708" s="37"/>
      <c r="AA708" s="18"/>
      <c r="AB708" s="18"/>
      <c r="AC708" s="18"/>
    </row>
    <row r="709" spans="23:29" customFormat="1" x14ac:dyDescent="0.25">
      <c r="W709" s="37"/>
      <c r="X709" s="52"/>
      <c r="Y709" s="52"/>
      <c r="Z709" s="37"/>
      <c r="AA709" s="18"/>
      <c r="AB709" s="18"/>
      <c r="AC709" s="18"/>
    </row>
    <row r="710" spans="23:29" customFormat="1" x14ac:dyDescent="0.25">
      <c r="W710" s="37"/>
      <c r="X710" s="52"/>
      <c r="Y710" s="52"/>
      <c r="Z710" s="37"/>
      <c r="AA710" s="18"/>
      <c r="AB710" s="18"/>
      <c r="AC710" s="18"/>
    </row>
    <row r="711" spans="23:29" customFormat="1" x14ac:dyDescent="0.25">
      <c r="W711" s="37"/>
      <c r="X711" s="52"/>
      <c r="Y711" s="52"/>
      <c r="Z711" s="37"/>
      <c r="AA711" s="18"/>
      <c r="AB711" s="18"/>
      <c r="AC711" s="18"/>
    </row>
    <row r="712" spans="23:29" customFormat="1" x14ac:dyDescent="0.25">
      <c r="W712" s="37"/>
      <c r="X712" s="52"/>
      <c r="Y712" s="52"/>
      <c r="Z712" s="37"/>
      <c r="AA712" s="18"/>
      <c r="AB712" s="18"/>
      <c r="AC712" s="18"/>
    </row>
    <row r="713" spans="23:29" customFormat="1" x14ac:dyDescent="0.25">
      <c r="W713" s="37"/>
      <c r="X713" s="52"/>
      <c r="Y713" s="52"/>
      <c r="Z713" s="37"/>
      <c r="AA713" s="18"/>
      <c r="AB713" s="18"/>
      <c r="AC713" s="18"/>
    </row>
    <row r="714" spans="23:29" customFormat="1" x14ac:dyDescent="0.25">
      <c r="W714" s="37"/>
      <c r="X714" s="52"/>
      <c r="Y714" s="52"/>
      <c r="Z714" s="37"/>
      <c r="AA714" s="18"/>
      <c r="AB714" s="18"/>
      <c r="AC714" s="18"/>
    </row>
    <row r="715" spans="23:29" customFormat="1" x14ac:dyDescent="0.25">
      <c r="W715" s="37"/>
      <c r="X715" s="52"/>
      <c r="Y715" s="52"/>
      <c r="Z715" s="37"/>
      <c r="AA715" s="18"/>
      <c r="AB715" s="18"/>
      <c r="AC715" s="18"/>
    </row>
    <row r="716" spans="23:29" customFormat="1" x14ac:dyDescent="0.25">
      <c r="W716" s="37"/>
      <c r="X716" s="52"/>
      <c r="Y716" s="52"/>
      <c r="Z716" s="37"/>
      <c r="AA716" s="18"/>
      <c r="AB716" s="18"/>
      <c r="AC716" s="18"/>
    </row>
    <row r="717" spans="23:29" customFormat="1" x14ac:dyDescent="0.25">
      <c r="W717" s="37"/>
      <c r="X717" s="52"/>
      <c r="Y717" s="52"/>
      <c r="Z717" s="37"/>
      <c r="AA717" s="18"/>
      <c r="AB717" s="18"/>
      <c r="AC717" s="18"/>
    </row>
    <row r="718" spans="23:29" customFormat="1" x14ac:dyDescent="0.25">
      <c r="W718" s="37"/>
      <c r="X718" s="52"/>
      <c r="Y718" s="52"/>
      <c r="Z718" s="37"/>
      <c r="AA718" s="18"/>
      <c r="AB718" s="18"/>
      <c r="AC718" s="18"/>
    </row>
    <row r="719" spans="23:29" customFormat="1" x14ac:dyDescent="0.25">
      <c r="W719" s="37"/>
      <c r="X719" s="52"/>
      <c r="Y719" s="52"/>
      <c r="Z719" s="37"/>
      <c r="AA719" s="18"/>
      <c r="AB719" s="18"/>
      <c r="AC719" s="18"/>
    </row>
    <row r="720" spans="23:29" customFormat="1" x14ac:dyDescent="0.25">
      <c r="W720" s="37"/>
      <c r="X720" s="52"/>
      <c r="Y720" s="52"/>
      <c r="Z720" s="37"/>
      <c r="AA720" s="18"/>
      <c r="AB720" s="18"/>
      <c r="AC720" s="18"/>
    </row>
    <row r="721" spans="23:29" customFormat="1" x14ac:dyDescent="0.25">
      <c r="W721" s="37"/>
      <c r="X721" s="52"/>
      <c r="Y721" s="52"/>
      <c r="Z721" s="37"/>
      <c r="AA721" s="18"/>
      <c r="AB721" s="18"/>
      <c r="AC721" s="18"/>
    </row>
    <row r="722" spans="23:29" customFormat="1" x14ac:dyDescent="0.25">
      <c r="W722" s="37"/>
      <c r="X722" s="52"/>
      <c r="Y722" s="52"/>
      <c r="Z722" s="37"/>
      <c r="AA722" s="18"/>
      <c r="AB722" s="18"/>
      <c r="AC722" s="18"/>
    </row>
    <row r="723" spans="23:29" customFormat="1" x14ac:dyDescent="0.25">
      <c r="W723" s="37"/>
      <c r="X723" s="52"/>
      <c r="Y723" s="52"/>
      <c r="Z723" s="37"/>
      <c r="AA723" s="18"/>
      <c r="AB723" s="18"/>
      <c r="AC723" s="18"/>
    </row>
    <row r="724" spans="23:29" customFormat="1" x14ac:dyDescent="0.25">
      <c r="W724" s="37"/>
      <c r="X724" s="52"/>
      <c r="Y724" s="52"/>
      <c r="Z724" s="37"/>
      <c r="AA724" s="18"/>
      <c r="AB724" s="18"/>
      <c r="AC724" s="18"/>
    </row>
    <row r="725" spans="23:29" customFormat="1" x14ac:dyDescent="0.25">
      <c r="W725" s="37"/>
      <c r="X725" s="52"/>
      <c r="Y725" s="52"/>
      <c r="Z725" s="37"/>
      <c r="AA725" s="18"/>
      <c r="AB725" s="18"/>
      <c r="AC725" s="18"/>
    </row>
    <row r="726" spans="23:29" customFormat="1" x14ac:dyDescent="0.25">
      <c r="W726" s="37"/>
      <c r="X726" s="52"/>
      <c r="Y726" s="52"/>
      <c r="Z726" s="37"/>
      <c r="AA726" s="18"/>
      <c r="AB726" s="18"/>
      <c r="AC726" s="18"/>
    </row>
    <row r="727" spans="23:29" customFormat="1" x14ac:dyDescent="0.25">
      <c r="W727" s="37"/>
      <c r="X727" s="52"/>
      <c r="Y727" s="52"/>
      <c r="Z727" s="37"/>
      <c r="AA727" s="18"/>
      <c r="AB727" s="18"/>
      <c r="AC727" s="18"/>
    </row>
    <row r="728" spans="23:29" customFormat="1" x14ac:dyDescent="0.25">
      <c r="W728" s="37"/>
      <c r="X728" s="52"/>
      <c r="Y728" s="52"/>
      <c r="Z728" s="37"/>
      <c r="AA728" s="18"/>
      <c r="AB728" s="18"/>
      <c r="AC728" s="18"/>
    </row>
    <row r="729" spans="23:29" customFormat="1" x14ac:dyDescent="0.25">
      <c r="W729" s="37"/>
      <c r="X729" s="52"/>
      <c r="Y729" s="52"/>
      <c r="Z729" s="37"/>
      <c r="AA729" s="18"/>
      <c r="AB729" s="18"/>
      <c r="AC729" s="18"/>
    </row>
    <row r="730" spans="23:29" customFormat="1" x14ac:dyDescent="0.25">
      <c r="W730" s="37"/>
      <c r="X730" s="52"/>
      <c r="Y730" s="52"/>
      <c r="Z730" s="37"/>
      <c r="AA730" s="18"/>
      <c r="AB730" s="18"/>
      <c r="AC730" s="18"/>
    </row>
    <row r="731" spans="23:29" customFormat="1" x14ac:dyDescent="0.25">
      <c r="W731" s="37"/>
      <c r="X731" s="52"/>
      <c r="Y731" s="52"/>
      <c r="Z731" s="37"/>
      <c r="AA731" s="18"/>
      <c r="AB731" s="18"/>
      <c r="AC731" s="18"/>
    </row>
    <row r="732" spans="23:29" customFormat="1" x14ac:dyDescent="0.25">
      <c r="W732" s="37"/>
      <c r="X732" s="52"/>
      <c r="Y732" s="52"/>
      <c r="Z732" s="37"/>
      <c r="AA732" s="18"/>
      <c r="AB732" s="18"/>
      <c r="AC732" s="18"/>
    </row>
    <row r="733" spans="23:29" customFormat="1" x14ac:dyDescent="0.25">
      <c r="W733" s="37"/>
      <c r="X733" s="52"/>
      <c r="Y733" s="52"/>
      <c r="Z733" s="37"/>
      <c r="AA733" s="18"/>
      <c r="AB733" s="18"/>
      <c r="AC733" s="18"/>
    </row>
    <row r="734" spans="23:29" customFormat="1" x14ac:dyDescent="0.25">
      <c r="W734" s="37"/>
      <c r="X734" s="52"/>
      <c r="Y734" s="52"/>
      <c r="Z734" s="37"/>
      <c r="AA734" s="18"/>
      <c r="AB734" s="18"/>
      <c r="AC734" s="18"/>
    </row>
    <row r="735" spans="23:29" customFormat="1" x14ac:dyDescent="0.25">
      <c r="W735" s="37"/>
      <c r="X735" s="52"/>
      <c r="Y735" s="52"/>
      <c r="Z735" s="37"/>
      <c r="AA735" s="18"/>
      <c r="AB735" s="18"/>
      <c r="AC735" s="18"/>
    </row>
    <row r="736" spans="23:29" customFormat="1" x14ac:dyDescent="0.25">
      <c r="W736" s="37"/>
      <c r="X736" s="52"/>
      <c r="Y736" s="52"/>
      <c r="Z736" s="37"/>
      <c r="AA736" s="18"/>
      <c r="AB736" s="18"/>
      <c r="AC736" s="18"/>
    </row>
    <row r="737" spans="23:29" customFormat="1" x14ac:dyDescent="0.25">
      <c r="W737" s="37"/>
      <c r="X737" s="52"/>
      <c r="Y737" s="52"/>
      <c r="Z737" s="37"/>
      <c r="AA737" s="18"/>
      <c r="AB737" s="18"/>
      <c r="AC737" s="18"/>
    </row>
    <row r="738" spans="23:29" customFormat="1" x14ac:dyDescent="0.25">
      <c r="W738" s="37"/>
      <c r="X738" s="52"/>
      <c r="Y738" s="52"/>
      <c r="Z738" s="37"/>
      <c r="AA738" s="18"/>
      <c r="AB738" s="18"/>
      <c r="AC738" s="18"/>
    </row>
    <row r="739" spans="23:29" customFormat="1" x14ac:dyDescent="0.25">
      <c r="W739" s="37"/>
      <c r="X739" s="52"/>
      <c r="Y739" s="52"/>
      <c r="Z739" s="37"/>
      <c r="AA739" s="18"/>
      <c r="AB739" s="18"/>
      <c r="AC739" s="18"/>
    </row>
    <row r="740" spans="23:29" customFormat="1" x14ac:dyDescent="0.25">
      <c r="W740" s="37"/>
      <c r="X740" s="52"/>
      <c r="Y740" s="52"/>
      <c r="Z740" s="37"/>
      <c r="AA740" s="18"/>
      <c r="AB740" s="18"/>
      <c r="AC740" s="18"/>
    </row>
    <row r="741" spans="23:29" customFormat="1" x14ac:dyDescent="0.25">
      <c r="W741" s="37"/>
      <c r="X741" s="52"/>
      <c r="Y741" s="52"/>
      <c r="Z741" s="37"/>
      <c r="AA741" s="18"/>
      <c r="AB741" s="18"/>
      <c r="AC741" s="18"/>
    </row>
    <row r="742" spans="23:29" customFormat="1" x14ac:dyDescent="0.25">
      <c r="W742" s="37"/>
      <c r="X742" s="52"/>
      <c r="Y742" s="52"/>
      <c r="Z742" s="37"/>
      <c r="AA742" s="18"/>
      <c r="AB742" s="18"/>
      <c r="AC742" s="18"/>
    </row>
    <row r="743" spans="23:29" customFormat="1" x14ac:dyDescent="0.25">
      <c r="W743" s="37"/>
      <c r="X743" s="52"/>
      <c r="Y743" s="52"/>
      <c r="Z743" s="37"/>
      <c r="AA743" s="18"/>
      <c r="AB743" s="18"/>
      <c r="AC743" s="18"/>
    </row>
    <row r="744" spans="23:29" customFormat="1" x14ac:dyDescent="0.25">
      <c r="W744" s="37"/>
      <c r="X744" s="52"/>
      <c r="Y744" s="52"/>
      <c r="Z744" s="37"/>
      <c r="AA744" s="18"/>
      <c r="AB744" s="18"/>
      <c r="AC744" s="18"/>
    </row>
    <row r="745" spans="23:29" customFormat="1" x14ac:dyDescent="0.25">
      <c r="W745" s="37"/>
      <c r="X745" s="52"/>
      <c r="Y745" s="52"/>
      <c r="Z745" s="37"/>
      <c r="AA745" s="18"/>
      <c r="AB745" s="18"/>
      <c r="AC745" s="18"/>
    </row>
    <row r="746" spans="23:29" customFormat="1" x14ac:dyDescent="0.25">
      <c r="W746" s="37"/>
      <c r="X746" s="52"/>
      <c r="Y746" s="52"/>
      <c r="Z746" s="37"/>
      <c r="AA746" s="18"/>
      <c r="AB746" s="18"/>
      <c r="AC746" s="18"/>
    </row>
    <row r="747" spans="23:29" customFormat="1" x14ac:dyDescent="0.25">
      <c r="W747" s="37"/>
      <c r="X747" s="52"/>
      <c r="Y747" s="52"/>
      <c r="Z747" s="37"/>
      <c r="AA747" s="18"/>
      <c r="AB747" s="18"/>
      <c r="AC747" s="18"/>
    </row>
    <row r="748" spans="23:29" customFormat="1" x14ac:dyDescent="0.25">
      <c r="W748" s="37"/>
      <c r="X748" s="52"/>
      <c r="Y748" s="52"/>
      <c r="Z748" s="37"/>
      <c r="AA748" s="18"/>
      <c r="AB748" s="18"/>
      <c r="AC748" s="18"/>
    </row>
    <row r="749" spans="23:29" customFormat="1" x14ac:dyDescent="0.25">
      <c r="W749" s="37"/>
      <c r="X749" s="52"/>
      <c r="Y749" s="52"/>
      <c r="Z749" s="37"/>
      <c r="AA749" s="18"/>
      <c r="AB749" s="18"/>
      <c r="AC749" s="18"/>
    </row>
    <row r="750" spans="23:29" customFormat="1" x14ac:dyDescent="0.25">
      <c r="W750" s="37"/>
      <c r="X750" s="52"/>
      <c r="Y750" s="52"/>
      <c r="Z750" s="37"/>
      <c r="AA750" s="18"/>
      <c r="AB750" s="18"/>
      <c r="AC750" s="18"/>
    </row>
    <row r="751" spans="23:29" customFormat="1" x14ac:dyDescent="0.25">
      <c r="W751" s="37"/>
      <c r="X751" s="52"/>
      <c r="Y751" s="52"/>
      <c r="Z751" s="37"/>
      <c r="AA751" s="18"/>
      <c r="AB751" s="18"/>
      <c r="AC751" s="18"/>
    </row>
    <row r="752" spans="23:29" customFormat="1" x14ac:dyDescent="0.25">
      <c r="W752" s="37"/>
      <c r="X752" s="52"/>
      <c r="Y752" s="52"/>
      <c r="Z752" s="37"/>
      <c r="AA752" s="18"/>
      <c r="AB752" s="18"/>
      <c r="AC752" s="18"/>
    </row>
    <row r="753" spans="23:29" customFormat="1" x14ac:dyDescent="0.25">
      <c r="W753" s="37"/>
      <c r="X753" s="52"/>
      <c r="Y753" s="52"/>
      <c r="Z753" s="37"/>
      <c r="AA753" s="18"/>
      <c r="AB753" s="18"/>
      <c r="AC753" s="18"/>
    </row>
    <row r="754" spans="23:29" customFormat="1" x14ac:dyDescent="0.25">
      <c r="W754" s="37"/>
      <c r="X754" s="52"/>
      <c r="Y754" s="52"/>
      <c r="Z754" s="37"/>
      <c r="AA754" s="18"/>
      <c r="AB754" s="18"/>
      <c r="AC754" s="18"/>
    </row>
    <row r="755" spans="23:29" customFormat="1" x14ac:dyDescent="0.25">
      <c r="W755" s="37"/>
      <c r="X755" s="52"/>
      <c r="Y755" s="52"/>
      <c r="Z755" s="37"/>
      <c r="AA755" s="18"/>
      <c r="AB755" s="18"/>
      <c r="AC755" s="18"/>
    </row>
    <row r="756" spans="23:29" customFormat="1" x14ac:dyDescent="0.25">
      <c r="W756" s="37"/>
      <c r="X756" s="52"/>
      <c r="Y756" s="52"/>
      <c r="Z756" s="37"/>
      <c r="AA756" s="18"/>
      <c r="AB756" s="18"/>
      <c r="AC756" s="18"/>
    </row>
    <row r="757" spans="23:29" customFormat="1" x14ac:dyDescent="0.25">
      <c r="W757" s="37"/>
      <c r="X757" s="52"/>
      <c r="Y757" s="52"/>
      <c r="Z757" s="37"/>
      <c r="AA757" s="18"/>
      <c r="AB757" s="18"/>
      <c r="AC757" s="18"/>
    </row>
    <row r="758" spans="23:29" customFormat="1" x14ac:dyDescent="0.25">
      <c r="W758" s="37"/>
      <c r="X758" s="52"/>
      <c r="Y758" s="52"/>
      <c r="Z758" s="37"/>
      <c r="AA758" s="18"/>
      <c r="AB758" s="18"/>
      <c r="AC758" s="18"/>
    </row>
    <row r="759" spans="23:29" customFormat="1" x14ac:dyDescent="0.25">
      <c r="W759" s="37"/>
      <c r="X759" s="52"/>
      <c r="Y759" s="52"/>
      <c r="Z759" s="37"/>
      <c r="AA759" s="18"/>
      <c r="AB759" s="18"/>
      <c r="AC759" s="18"/>
    </row>
    <row r="760" spans="23:29" customFormat="1" x14ac:dyDescent="0.25">
      <c r="W760" s="37"/>
      <c r="X760" s="52"/>
      <c r="Y760" s="52"/>
      <c r="Z760" s="37"/>
      <c r="AA760" s="18"/>
      <c r="AB760" s="18"/>
      <c r="AC760" s="18"/>
    </row>
    <row r="761" spans="23:29" customFormat="1" x14ac:dyDescent="0.25">
      <c r="W761" s="37"/>
      <c r="X761" s="52"/>
      <c r="Y761" s="52"/>
      <c r="Z761" s="37"/>
      <c r="AA761" s="18"/>
      <c r="AB761" s="18"/>
      <c r="AC761" s="18"/>
    </row>
    <row r="762" spans="23:29" customFormat="1" x14ac:dyDescent="0.25">
      <c r="W762" s="37"/>
      <c r="X762" s="52"/>
      <c r="Y762" s="52"/>
      <c r="Z762" s="37"/>
      <c r="AA762" s="18"/>
      <c r="AB762" s="18"/>
      <c r="AC762" s="18"/>
    </row>
    <row r="763" spans="23:29" customFormat="1" x14ac:dyDescent="0.25">
      <c r="W763" s="37"/>
      <c r="X763" s="52"/>
      <c r="Y763" s="52"/>
      <c r="Z763" s="37"/>
      <c r="AA763" s="18"/>
      <c r="AB763" s="18"/>
      <c r="AC763" s="18"/>
    </row>
    <row r="764" spans="23:29" customFormat="1" x14ac:dyDescent="0.25">
      <c r="W764" s="37"/>
      <c r="X764" s="52"/>
      <c r="Y764" s="52"/>
      <c r="Z764" s="37"/>
      <c r="AA764" s="18"/>
      <c r="AB764" s="18"/>
      <c r="AC764" s="18"/>
    </row>
    <row r="765" spans="23:29" customFormat="1" x14ac:dyDescent="0.25">
      <c r="W765" s="37"/>
      <c r="X765" s="52"/>
      <c r="Y765" s="52"/>
      <c r="Z765" s="37"/>
      <c r="AA765" s="18"/>
      <c r="AB765" s="18"/>
      <c r="AC765" s="18"/>
    </row>
    <row r="766" spans="23:29" customFormat="1" x14ac:dyDescent="0.25">
      <c r="W766" s="37"/>
      <c r="X766" s="52"/>
      <c r="Y766" s="52"/>
      <c r="Z766" s="37"/>
      <c r="AA766" s="18"/>
      <c r="AB766" s="18"/>
      <c r="AC766" s="18"/>
    </row>
    <row r="767" spans="23:29" customFormat="1" x14ac:dyDescent="0.25">
      <c r="W767" s="37"/>
      <c r="X767" s="52"/>
      <c r="Y767" s="52"/>
      <c r="Z767" s="37"/>
      <c r="AA767" s="18"/>
      <c r="AB767" s="18"/>
      <c r="AC767" s="18"/>
    </row>
    <row r="768" spans="23:29" customFormat="1" x14ac:dyDescent="0.25">
      <c r="W768" s="37"/>
      <c r="X768" s="52"/>
      <c r="Y768" s="52"/>
      <c r="Z768" s="37"/>
      <c r="AA768" s="18"/>
      <c r="AB768" s="18"/>
      <c r="AC768" s="18"/>
    </row>
    <row r="769" spans="23:29" customFormat="1" x14ac:dyDescent="0.25">
      <c r="W769" s="37"/>
      <c r="X769" s="52"/>
      <c r="Y769" s="52"/>
      <c r="Z769" s="37"/>
      <c r="AA769" s="18"/>
      <c r="AB769" s="18"/>
      <c r="AC769" s="18"/>
    </row>
    <row r="770" spans="23:29" customFormat="1" x14ac:dyDescent="0.25">
      <c r="W770" s="37"/>
      <c r="X770" s="52"/>
      <c r="Y770" s="52"/>
      <c r="Z770" s="37"/>
      <c r="AA770" s="18"/>
      <c r="AB770" s="18"/>
      <c r="AC770" s="18"/>
    </row>
    <row r="771" spans="23:29" customFormat="1" x14ac:dyDescent="0.25">
      <c r="W771" s="37"/>
      <c r="X771" s="52"/>
      <c r="Y771" s="52"/>
      <c r="Z771" s="37"/>
      <c r="AA771" s="18"/>
      <c r="AB771" s="18"/>
      <c r="AC771" s="18"/>
    </row>
    <row r="772" spans="23:29" customFormat="1" x14ac:dyDescent="0.25">
      <c r="W772" s="37"/>
      <c r="X772" s="52"/>
      <c r="Y772" s="52"/>
      <c r="Z772" s="37"/>
      <c r="AA772" s="18"/>
      <c r="AB772" s="18"/>
      <c r="AC772" s="18"/>
    </row>
    <row r="773" spans="23:29" customFormat="1" x14ac:dyDescent="0.25">
      <c r="W773" s="37"/>
      <c r="X773" s="52"/>
      <c r="Y773" s="52"/>
      <c r="Z773" s="37"/>
      <c r="AA773" s="18"/>
      <c r="AB773" s="18"/>
      <c r="AC773" s="18"/>
    </row>
    <row r="774" spans="23:29" customFormat="1" x14ac:dyDescent="0.25">
      <c r="W774" s="37"/>
      <c r="X774" s="52"/>
      <c r="Y774" s="52"/>
      <c r="Z774" s="37"/>
      <c r="AA774" s="18"/>
      <c r="AB774" s="18"/>
      <c r="AC774" s="18"/>
    </row>
    <row r="775" spans="23:29" customFormat="1" x14ac:dyDescent="0.25">
      <c r="W775" s="37"/>
      <c r="X775" s="52"/>
      <c r="Y775" s="52"/>
      <c r="Z775" s="37"/>
      <c r="AA775" s="18"/>
      <c r="AB775" s="18"/>
      <c r="AC775" s="18"/>
    </row>
    <row r="776" spans="23:29" customFormat="1" x14ac:dyDescent="0.25">
      <c r="W776" s="37"/>
      <c r="X776" s="52"/>
      <c r="Y776" s="52"/>
      <c r="Z776" s="37"/>
      <c r="AA776" s="18"/>
      <c r="AB776" s="18"/>
      <c r="AC776" s="18"/>
    </row>
    <row r="777" spans="23:29" customFormat="1" x14ac:dyDescent="0.25">
      <c r="W777" s="37"/>
      <c r="X777" s="52"/>
      <c r="Y777" s="52"/>
      <c r="Z777" s="37"/>
      <c r="AA777" s="18"/>
      <c r="AB777" s="18"/>
      <c r="AC777" s="18"/>
    </row>
    <row r="778" spans="23:29" customFormat="1" x14ac:dyDescent="0.25">
      <c r="W778" s="37"/>
      <c r="X778" s="52"/>
      <c r="Y778" s="52"/>
      <c r="Z778" s="37"/>
      <c r="AA778" s="18"/>
      <c r="AB778" s="18"/>
      <c r="AC778" s="18"/>
    </row>
    <row r="779" spans="23:29" customFormat="1" x14ac:dyDescent="0.25">
      <c r="W779" s="37"/>
      <c r="X779" s="52"/>
      <c r="Y779" s="52"/>
      <c r="Z779" s="37"/>
      <c r="AA779" s="18"/>
      <c r="AB779" s="18"/>
      <c r="AC779" s="18"/>
    </row>
    <row r="780" spans="23:29" customFormat="1" x14ac:dyDescent="0.25">
      <c r="W780" s="37"/>
      <c r="X780" s="52"/>
      <c r="Y780" s="52"/>
      <c r="Z780" s="37"/>
      <c r="AA780" s="18"/>
      <c r="AB780" s="18"/>
      <c r="AC780" s="18"/>
    </row>
    <row r="781" spans="23:29" customFormat="1" x14ac:dyDescent="0.25">
      <c r="W781" s="37"/>
      <c r="X781" s="52"/>
      <c r="Y781" s="52"/>
      <c r="Z781" s="37"/>
      <c r="AA781" s="18"/>
      <c r="AB781" s="18"/>
      <c r="AC781" s="18"/>
    </row>
    <row r="782" spans="23:29" customFormat="1" x14ac:dyDescent="0.25">
      <c r="W782" s="37"/>
      <c r="X782" s="52"/>
      <c r="Y782" s="52"/>
      <c r="Z782" s="37"/>
      <c r="AA782" s="18"/>
      <c r="AB782" s="18"/>
      <c r="AC782" s="18"/>
    </row>
    <row r="783" spans="23:29" customFormat="1" x14ac:dyDescent="0.25">
      <c r="W783" s="37"/>
      <c r="X783" s="52"/>
      <c r="Y783" s="52"/>
      <c r="Z783" s="37"/>
      <c r="AA783" s="18"/>
      <c r="AB783" s="18"/>
      <c r="AC783" s="18"/>
    </row>
    <row r="784" spans="23:29" customFormat="1" x14ac:dyDescent="0.25">
      <c r="W784" s="37"/>
      <c r="X784" s="52"/>
      <c r="Y784" s="52"/>
      <c r="Z784" s="37"/>
      <c r="AA784" s="18"/>
      <c r="AB784" s="18"/>
      <c r="AC784" s="18"/>
    </row>
    <row r="785" spans="23:29" customFormat="1" x14ac:dyDescent="0.25">
      <c r="W785" s="37"/>
      <c r="X785" s="52"/>
      <c r="Y785" s="52"/>
      <c r="Z785" s="37"/>
      <c r="AA785" s="18"/>
      <c r="AB785" s="18"/>
      <c r="AC785" s="18"/>
    </row>
    <row r="786" spans="23:29" customFormat="1" x14ac:dyDescent="0.25">
      <c r="W786" s="37"/>
      <c r="X786" s="52"/>
      <c r="Y786" s="52"/>
      <c r="Z786" s="37"/>
      <c r="AA786" s="18"/>
      <c r="AB786" s="18"/>
      <c r="AC786" s="18"/>
    </row>
    <row r="787" spans="23:29" customFormat="1" x14ac:dyDescent="0.25">
      <c r="W787" s="37"/>
      <c r="X787" s="52"/>
      <c r="Y787" s="52"/>
      <c r="Z787" s="37"/>
      <c r="AA787" s="18"/>
      <c r="AB787" s="18"/>
      <c r="AC787" s="18"/>
    </row>
    <row r="788" spans="23:29" customFormat="1" x14ac:dyDescent="0.25">
      <c r="W788" s="37"/>
      <c r="X788" s="52"/>
      <c r="Y788" s="52"/>
      <c r="Z788" s="37"/>
      <c r="AA788" s="18"/>
      <c r="AB788" s="18"/>
      <c r="AC788" s="18"/>
    </row>
    <row r="789" spans="23:29" customFormat="1" x14ac:dyDescent="0.25">
      <c r="W789" s="37"/>
      <c r="X789" s="52"/>
      <c r="Y789" s="52"/>
      <c r="Z789" s="37"/>
      <c r="AA789" s="18"/>
      <c r="AB789" s="18"/>
      <c r="AC789" s="18"/>
    </row>
    <row r="790" spans="23:29" customFormat="1" x14ac:dyDescent="0.25">
      <c r="W790" s="37"/>
      <c r="X790" s="52"/>
      <c r="Y790" s="52"/>
      <c r="Z790" s="37"/>
      <c r="AA790" s="18"/>
      <c r="AB790" s="18"/>
      <c r="AC790" s="18"/>
    </row>
    <row r="791" spans="23:29" customFormat="1" x14ac:dyDescent="0.25">
      <c r="W791" s="37"/>
      <c r="X791" s="52"/>
      <c r="Y791" s="52"/>
      <c r="Z791" s="37"/>
      <c r="AA791" s="18"/>
      <c r="AB791" s="18"/>
      <c r="AC791" s="18"/>
    </row>
    <row r="792" spans="23:29" customFormat="1" x14ac:dyDescent="0.25">
      <c r="W792" s="37"/>
      <c r="X792" s="52"/>
      <c r="Y792" s="52"/>
      <c r="Z792" s="37"/>
      <c r="AA792" s="18"/>
      <c r="AB792" s="18"/>
      <c r="AC792" s="18"/>
    </row>
    <row r="793" spans="23:29" customFormat="1" x14ac:dyDescent="0.25">
      <c r="W793" s="37"/>
      <c r="X793" s="52"/>
      <c r="Y793" s="52"/>
      <c r="Z793" s="37"/>
      <c r="AA793" s="18"/>
      <c r="AB793" s="18"/>
      <c r="AC793" s="18"/>
    </row>
    <row r="794" spans="23:29" customFormat="1" x14ac:dyDescent="0.25">
      <c r="W794" s="37"/>
      <c r="X794" s="52"/>
      <c r="Y794" s="52"/>
      <c r="Z794" s="37"/>
      <c r="AA794" s="18"/>
      <c r="AB794" s="18"/>
      <c r="AC794" s="18"/>
    </row>
    <row r="795" spans="23:29" customFormat="1" x14ac:dyDescent="0.25">
      <c r="W795" s="37"/>
      <c r="X795" s="52"/>
      <c r="Y795" s="52"/>
      <c r="Z795" s="37"/>
      <c r="AA795" s="18"/>
      <c r="AB795" s="18"/>
      <c r="AC795" s="18"/>
    </row>
    <row r="796" spans="23:29" customFormat="1" x14ac:dyDescent="0.25">
      <c r="W796" s="37"/>
      <c r="X796" s="52"/>
      <c r="Y796" s="52"/>
      <c r="Z796" s="37"/>
      <c r="AA796" s="18"/>
      <c r="AB796" s="18"/>
      <c r="AC796" s="18"/>
    </row>
    <row r="797" spans="23:29" customFormat="1" x14ac:dyDescent="0.25">
      <c r="W797" s="37"/>
      <c r="X797" s="52"/>
      <c r="Y797" s="52"/>
      <c r="Z797" s="37"/>
      <c r="AA797" s="18"/>
      <c r="AB797" s="18"/>
      <c r="AC797" s="18"/>
    </row>
    <row r="798" spans="23:29" customFormat="1" x14ac:dyDescent="0.25">
      <c r="W798" s="37"/>
      <c r="X798" s="52"/>
      <c r="Y798" s="52"/>
      <c r="Z798" s="37"/>
      <c r="AA798" s="18"/>
      <c r="AB798" s="18"/>
      <c r="AC798" s="18"/>
    </row>
    <row r="799" spans="23:29" customFormat="1" x14ac:dyDescent="0.25">
      <c r="W799" s="37"/>
      <c r="X799" s="52"/>
      <c r="Y799" s="52"/>
      <c r="Z799" s="37"/>
      <c r="AA799" s="18"/>
      <c r="AB799" s="18"/>
      <c r="AC799" s="18"/>
    </row>
    <row r="800" spans="23:29" customFormat="1" x14ac:dyDescent="0.25">
      <c r="W800" s="37"/>
      <c r="X800" s="52"/>
      <c r="Y800" s="52"/>
      <c r="Z800" s="37"/>
      <c r="AA800" s="18"/>
      <c r="AB800" s="18"/>
      <c r="AC800" s="18"/>
    </row>
    <row r="801" spans="23:29" customFormat="1" x14ac:dyDescent="0.25">
      <c r="W801" s="37"/>
      <c r="X801" s="52"/>
      <c r="Y801" s="52"/>
      <c r="Z801" s="37"/>
      <c r="AA801" s="18"/>
      <c r="AB801" s="18"/>
      <c r="AC801" s="18"/>
    </row>
    <row r="802" spans="23:29" customFormat="1" x14ac:dyDescent="0.25">
      <c r="W802" s="37"/>
      <c r="X802" s="52"/>
      <c r="Y802" s="52"/>
      <c r="Z802" s="37"/>
      <c r="AA802" s="18"/>
      <c r="AB802" s="18"/>
      <c r="AC802" s="18"/>
    </row>
    <row r="803" spans="23:29" customFormat="1" x14ac:dyDescent="0.25">
      <c r="W803" s="37"/>
      <c r="X803" s="52"/>
      <c r="Y803" s="52"/>
      <c r="Z803" s="37"/>
      <c r="AA803" s="18"/>
      <c r="AB803" s="18"/>
      <c r="AC803" s="18"/>
    </row>
    <row r="804" spans="23:29" customFormat="1" x14ac:dyDescent="0.25">
      <c r="W804" s="37"/>
      <c r="X804" s="52"/>
      <c r="Y804" s="52"/>
      <c r="Z804" s="37"/>
      <c r="AA804" s="18"/>
      <c r="AB804" s="18"/>
      <c r="AC804" s="18"/>
    </row>
    <row r="805" spans="23:29" customFormat="1" x14ac:dyDescent="0.25">
      <c r="W805" s="37"/>
      <c r="X805" s="52"/>
      <c r="Y805" s="52"/>
      <c r="Z805" s="37"/>
      <c r="AA805" s="18"/>
      <c r="AB805" s="18"/>
      <c r="AC805" s="18"/>
    </row>
    <row r="806" spans="23:29" customFormat="1" x14ac:dyDescent="0.25">
      <c r="W806" s="37"/>
      <c r="X806" s="52"/>
      <c r="Y806" s="52"/>
      <c r="Z806" s="37"/>
      <c r="AA806" s="18"/>
      <c r="AB806" s="18"/>
      <c r="AC806" s="18"/>
    </row>
    <row r="807" spans="23:29" customFormat="1" x14ac:dyDescent="0.25">
      <c r="W807" s="37"/>
      <c r="X807" s="52"/>
      <c r="Y807" s="52"/>
      <c r="Z807" s="37"/>
      <c r="AA807" s="18"/>
      <c r="AB807" s="18"/>
      <c r="AC807" s="18"/>
    </row>
    <row r="808" spans="23:29" customFormat="1" x14ac:dyDescent="0.25">
      <c r="W808" s="37"/>
      <c r="X808" s="52"/>
      <c r="Y808" s="52"/>
      <c r="Z808" s="37"/>
      <c r="AA808" s="18"/>
      <c r="AB808" s="18"/>
      <c r="AC808" s="18"/>
    </row>
    <row r="809" spans="23:29" customFormat="1" x14ac:dyDescent="0.25">
      <c r="W809" s="37"/>
      <c r="X809" s="52"/>
      <c r="Y809" s="52"/>
      <c r="Z809" s="37"/>
      <c r="AA809" s="18"/>
      <c r="AB809" s="18"/>
      <c r="AC809" s="18"/>
    </row>
    <row r="810" spans="23:29" customFormat="1" x14ac:dyDescent="0.25">
      <c r="W810" s="37"/>
      <c r="X810" s="52"/>
      <c r="Y810" s="52"/>
      <c r="Z810" s="37"/>
      <c r="AA810" s="18"/>
      <c r="AB810" s="18"/>
      <c r="AC810" s="18"/>
    </row>
    <row r="811" spans="23:29" customFormat="1" x14ac:dyDescent="0.25">
      <c r="W811" s="37"/>
      <c r="X811" s="52"/>
      <c r="Y811" s="52"/>
      <c r="Z811" s="37"/>
      <c r="AA811" s="18"/>
      <c r="AB811" s="18"/>
      <c r="AC811" s="18"/>
    </row>
    <row r="812" spans="23:29" customFormat="1" x14ac:dyDescent="0.25">
      <c r="W812" s="37"/>
      <c r="X812" s="52"/>
      <c r="Y812" s="52"/>
      <c r="Z812" s="37"/>
      <c r="AA812" s="18"/>
      <c r="AB812" s="18"/>
      <c r="AC812" s="18"/>
    </row>
    <row r="813" spans="23:29" customFormat="1" x14ac:dyDescent="0.25">
      <c r="W813" s="37"/>
      <c r="X813" s="52"/>
      <c r="Y813" s="52"/>
      <c r="Z813" s="37"/>
      <c r="AA813" s="18"/>
      <c r="AB813" s="18"/>
      <c r="AC813" s="18"/>
    </row>
    <row r="814" spans="23:29" customFormat="1" x14ac:dyDescent="0.25">
      <c r="W814" s="37"/>
      <c r="X814" s="52"/>
      <c r="Y814" s="52"/>
      <c r="Z814" s="37"/>
      <c r="AA814" s="18"/>
      <c r="AB814" s="18"/>
      <c r="AC814" s="18"/>
    </row>
    <row r="815" spans="23:29" customFormat="1" x14ac:dyDescent="0.25">
      <c r="W815" s="37"/>
      <c r="X815" s="52"/>
      <c r="Y815" s="52"/>
      <c r="Z815" s="37"/>
      <c r="AA815" s="18"/>
      <c r="AB815" s="18"/>
      <c r="AC815" s="18"/>
    </row>
    <row r="816" spans="23:29" customFormat="1" x14ac:dyDescent="0.25">
      <c r="W816" s="37"/>
      <c r="X816" s="52"/>
      <c r="Y816" s="52"/>
      <c r="Z816" s="37"/>
      <c r="AA816" s="18"/>
      <c r="AB816" s="18"/>
      <c r="AC816" s="18"/>
    </row>
    <row r="817" spans="23:29" customFormat="1" x14ac:dyDescent="0.25">
      <c r="W817" s="37"/>
      <c r="X817" s="52"/>
      <c r="Y817" s="52"/>
      <c r="Z817" s="37"/>
      <c r="AA817" s="18"/>
      <c r="AB817" s="18"/>
      <c r="AC817" s="18"/>
    </row>
    <row r="818" spans="23:29" customFormat="1" x14ac:dyDescent="0.25">
      <c r="W818" s="37"/>
      <c r="X818" s="52"/>
      <c r="Y818" s="52"/>
      <c r="Z818" s="37"/>
      <c r="AA818" s="18"/>
      <c r="AB818" s="18"/>
      <c r="AC818" s="18"/>
    </row>
    <row r="819" spans="23:29" customFormat="1" x14ac:dyDescent="0.25">
      <c r="W819" s="37"/>
      <c r="X819" s="52"/>
      <c r="Y819" s="52"/>
      <c r="Z819" s="37"/>
      <c r="AA819" s="18"/>
      <c r="AB819" s="18"/>
      <c r="AC819" s="18"/>
    </row>
    <row r="820" spans="23:29" customFormat="1" x14ac:dyDescent="0.25">
      <c r="W820" s="37"/>
      <c r="X820" s="52"/>
      <c r="Y820" s="52"/>
      <c r="Z820" s="37"/>
      <c r="AA820" s="18"/>
      <c r="AB820" s="18"/>
      <c r="AC820" s="18"/>
    </row>
    <row r="821" spans="23:29" customFormat="1" x14ac:dyDescent="0.25">
      <c r="W821" s="37"/>
      <c r="X821" s="52"/>
      <c r="Y821" s="52"/>
      <c r="Z821" s="37"/>
      <c r="AA821" s="18"/>
      <c r="AB821" s="18"/>
      <c r="AC821" s="18"/>
    </row>
    <row r="822" spans="23:29" customFormat="1" x14ac:dyDescent="0.25">
      <c r="W822" s="37"/>
      <c r="X822" s="52"/>
      <c r="Y822" s="52"/>
      <c r="Z822" s="37"/>
      <c r="AA822" s="18"/>
      <c r="AB822" s="18"/>
      <c r="AC822" s="18"/>
    </row>
    <row r="823" spans="23:29" customFormat="1" x14ac:dyDescent="0.25">
      <c r="W823" s="37"/>
      <c r="X823" s="52"/>
      <c r="Y823" s="52"/>
      <c r="Z823" s="37"/>
      <c r="AA823" s="18"/>
      <c r="AB823" s="18"/>
      <c r="AC823" s="18"/>
    </row>
    <row r="824" spans="23:29" customFormat="1" x14ac:dyDescent="0.25">
      <c r="W824" s="37"/>
      <c r="X824" s="52"/>
      <c r="Y824" s="52"/>
      <c r="Z824" s="37"/>
      <c r="AA824" s="18"/>
      <c r="AB824" s="18"/>
      <c r="AC824" s="18"/>
    </row>
    <row r="825" spans="23:29" customFormat="1" x14ac:dyDescent="0.25">
      <c r="W825" s="37"/>
      <c r="X825" s="52"/>
      <c r="Y825" s="52"/>
      <c r="Z825" s="37"/>
      <c r="AA825" s="18"/>
      <c r="AB825" s="18"/>
      <c r="AC825" s="18"/>
    </row>
    <row r="826" spans="23:29" customFormat="1" x14ac:dyDescent="0.25">
      <c r="W826" s="37"/>
      <c r="X826" s="52"/>
      <c r="Y826" s="52"/>
      <c r="Z826" s="37"/>
      <c r="AA826" s="18"/>
      <c r="AB826" s="18"/>
      <c r="AC826" s="18"/>
    </row>
    <row r="827" spans="23:29" customFormat="1" x14ac:dyDescent="0.25">
      <c r="W827" s="37"/>
      <c r="X827" s="52"/>
      <c r="Y827" s="52"/>
      <c r="Z827" s="37"/>
      <c r="AA827" s="18"/>
      <c r="AB827" s="18"/>
      <c r="AC827" s="18"/>
    </row>
    <row r="828" spans="23:29" customFormat="1" x14ac:dyDescent="0.25">
      <c r="W828" s="37"/>
      <c r="X828" s="52"/>
      <c r="Y828" s="52"/>
      <c r="Z828" s="37"/>
      <c r="AA828" s="18"/>
      <c r="AB828" s="18"/>
      <c r="AC828" s="18"/>
    </row>
    <row r="829" spans="23:29" customFormat="1" x14ac:dyDescent="0.25">
      <c r="W829" s="37"/>
      <c r="X829" s="52"/>
      <c r="Y829" s="52"/>
      <c r="Z829" s="37"/>
      <c r="AA829" s="18"/>
      <c r="AB829" s="18"/>
      <c r="AC829" s="18"/>
    </row>
    <row r="830" spans="23:29" customFormat="1" x14ac:dyDescent="0.25">
      <c r="W830" s="37"/>
      <c r="X830" s="52"/>
      <c r="Y830" s="52"/>
      <c r="Z830" s="37"/>
      <c r="AA830" s="18"/>
      <c r="AB830" s="18"/>
      <c r="AC830" s="18"/>
    </row>
    <row r="831" spans="23:29" customFormat="1" x14ac:dyDescent="0.25">
      <c r="W831" s="37"/>
      <c r="X831" s="52"/>
      <c r="Y831" s="52"/>
      <c r="Z831" s="37"/>
      <c r="AA831" s="18"/>
      <c r="AB831" s="18"/>
      <c r="AC831" s="18"/>
    </row>
    <row r="832" spans="23:29" customFormat="1" x14ac:dyDescent="0.25">
      <c r="W832" s="37"/>
      <c r="X832" s="52"/>
      <c r="Y832" s="52"/>
      <c r="Z832" s="37"/>
      <c r="AA832" s="18"/>
      <c r="AB832" s="18"/>
      <c r="AC832" s="18"/>
    </row>
    <row r="833" spans="23:29" customFormat="1" x14ac:dyDescent="0.25">
      <c r="W833" s="37"/>
      <c r="X833" s="52"/>
      <c r="Y833" s="52"/>
      <c r="Z833" s="37"/>
      <c r="AA833" s="18"/>
      <c r="AB833" s="18"/>
      <c r="AC833" s="18"/>
    </row>
    <row r="834" spans="23:29" customFormat="1" x14ac:dyDescent="0.25">
      <c r="W834" s="37"/>
      <c r="X834" s="52"/>
      <c r="Y834" s="52"/>
      <c r="Z834" s="37"/>
      <c r="AA834" s="18"/>
      <c r="AB834" s="18"/>
      <c r="AC834" s="18"/>
    </row>
    <row r="835" spans="23:29" customFormat="1" x14ac:dyDescent="0.25">
      <c r="W835" s="37"/>
      <c r="X835" s="52"/>
      <c r="Y835" s="52"/>
      <c r="Z835" s="37"/>
      <c r="AA835" s="18"/>
      <c r="AB835" s="18"/>
      <c r="AC835" s="18"/>
    </row>
    <row r="836" spans="23:29" customFormat="1" x14ac:dyDescent="0.25">
      <c r="W836" s="37"/>
      <c r="X836" s="52"/>
      <c r="Y836" s="52"/>
      <c r="Z836" s="37"/>
      <c r="AA836" s="18"/>
      <c r="AB836" s="18"/>
      <c r="AC836" s="18"/>
    </row>
    <row r="837" spans="23:29" customFormat="1" x14ac:dyDescent="0.25">
      <c r="W837" s="37"/>
      <c r="X837" s="52"/>
      <c r="Y837" s="52"/>
      <c r="Z837" s="37"/>
      <c r="AA837" s="18"/>
      <c r="AB837" s="18"/>
      <c r="AC837" s="18"/>
    </row>
    <row r="838" spans="23:29" customFormat="1" x14ac:dyDescent="0.25">
      <c r="W838" s="37"/>
      <c r="X838" s="52"/>
      <c r="Y838" s="52"/>
      <c r="Z838" s="37"/>
      <c r="AA838" s="18"/>
      <c r="AB838" s="18"/>
      <c r="AC838" s="18"/>
    </row>
    <row r="839" spans="23:29" customFormat="1" x14ac:dyDescent="0.25">
      <c r="W839" s="37"/>
      <c r="X839" s="52"/>
      <c r="Y839" s="52"/>
      <c r="Z839" s="37"/>
      <c r="AA839" s="18"/>
      <c r="AB839" s="18"/>
      <c r="AC839" s="18"/>
    </row>
    <row r="840" spans="23:29" customFormat="1" x14ac:dyDescent="0.25">
      <c r="W840" s="37"/>
      <c r="X840" s="52"/>
      <c r="Y840" s="52"/>
      <c r="Z840" s="37"/>
      <c r="AA840" s="18"/>
      <c r="AB840" s="18"/>
      <c r="AC840" s="18"/>
    </row>
    <row r="841" spans="23:29" customFormat="1" x14ac:dyDescent="0.25">
      <c r="W841" s="37"/>
      <c r="X841" s="52"/>
      <c r="Y841" s="52"/>
      <c r="Z841" s="37"/>
      <c r="AA841" s="18"/>
      <c r="AB841" s="18"/>
      <c r="AC841" s="18"/>
    </row>
    <row r="842" spans="23:29" customFormat="1" x14ac:dyDescent="0.25">
      <c r="W842" s="37"/>
      <c r="X842" s="52"/>
      <c r="Y842" s="52"/>
      <c r="Z842" s="37"/>
      <c r="AA842" s="18"/>
      <c r="AB842" s="18"/>
      <c r="AC842" s="18"/>
    </row>
    <row r="843" spans="23:29" customFormat="1" x14ac:dyDescent="0.25">
      <c r="W843" s="37"/>
      <c r="X843" s="52"/>
      <c r="Y843" s="52"/>
      <c r="Z843" s="37"/>
      <c r="AA843" s="18"/>
      <c r="AB843" s="18"/>
      <c r="AC843" s="18"/>
    </row>
    <row r="844" spans="23:29" customFormat="1" x14ac:dyDescent="0.25">
      <c r="W844" s="37"/>
      <c r="X844" s="52"/>
      <c r="Y844" s="52"/>
      <c r="Z844" s="37"/>
      <c r="AA844" s="18"/>
      <c r="AB844" s="18"/>
      <c r="AC844" s="18"/>
    </row>
    <row r="845" spans="23:29" customFormat="1" x14ac:dyDescent="0.25">
      <c r="W845" s="37"/>
      <c r="X845" s="52"/>
      <c r="Y845" s="52"/>
      <c r="Z845" s="37"/>
      <c r="AA845" s="18"/>
      <c r="AB845" s="18"/>
      <c r="AC845" s="18"/>
    </row>
    <row r="846" spans="23:29" customFormat="1" x14ac:dyDescent="0.25">
      <c r="W846" s="37"/>
      <c r="X846" s="52"/>
      <c r="Y846" s="52"/>
      <c r="Z846" s="37"/>
      <c r="AA846" s="18"/>
      <c r="AB846" s="18"/>
      <c r="AC846" s="18"/>
    </row>
    <row r="847" spans="23:29" customFormat="1" x14ac:dyDescent="0.25">
      <c r="W847" s="37"/>
      <c r="X847" s="52"/>
      <c r="Y847" s="52"/>
      <c r="Z847" s="37"/>
      <c r="AA847" s="18"/>
      <c r="AB847" s="18"/>
      <c r="AC847" s="18"/>
    </row>
    <row r="848" spans="23:29" customFormat="1" x14ac:dyDescent="0.25">
      <c r="W848" s="37"/>
      <c r="X848" s="52"/>
      <c r="Y848" s="52"/>
      <c r="Z848" s="37"/>
      <c r="AA848" s="18"/>
      <c r="AB848" s="18"/>
      <c r="AC848" s="18"/>
    </row>
    <row r="849" spans="23:29" customFormat="1" x14ac:dyDescent="0.25">
      <c r="W849" s="37"/>
      <c r="X849" s="52"/>
      <c r="Y849" s="52"/>
      <c r="Z849" s="37"/>
      <c r="AA849" s="18"/>
      <c r="AB849" s="18"/>
      <c r="AC849" s="18"/>
    </row>
    <row r="850" spans="23:29" customFormat="1" x14ac:dyDescent="0.25">
      <c r="W850" s="37"/>
      <c r="X850" s="52"/>
      <c r="Y850" s="52"/>
      <c r="Z850" s="37"/>
      <c r="AA850" s="18"/>
      <c r="AB850" s="18"/>
      <c r="AC850" s="18"/>
    </row>
    <row r="851" spans="23:29" customFormat="1" x14ac:dyDescent="0.25">
      <c r="W851" s="37"/>
      <c r="X851" s="52"/>
      <c r="Y851" s="52"/>
      <c r="Z851" s="37"/>
      <c r="AA851" s="18"/>
      <c r="AB851" s="18"/>
      <c r="AC851" s="18"/>
    </row>
    <row r="852" spans="23:29" customFormat="1" x14ac:dyDescent="0.25">
      <c r="W852" s="37"/>
      <c r="X852" s="52"/>
      <c r="Y852" s="52"/>
      <c r="Z852" s="37"/>
      <c r="AA852" s="18"/>
      <c r="AB852" s="18"/>
      <c r="AC852" s="18"/>
    </row>
    <row r="853" spans="23:29" customFormat="1" x14ac:dyDescent="0.25">
      <c r="W853" s="37"/>
      <c r="X853" s="52"/>
      <c r="Y853" s="52"/>
      <c r="Z853" s="37"/>
      <c r="AA853" s="18"/>
      <c r="AB853" s="18"/>
      <c r="AC853" s="18"/>
    </row>
    <row r="854" spans="23:29" customFormat="1" x14ac:dyDescent="0.25">
      <c r="W854" s="37"/>
      <c r="X854" s="52"/>
      <c r="Y854" s="52"/>
      <c r="Z854" s="37"/>
      <c r="AA854" s="18"/>
      <c r="AB854" s="18"/>
      <c r="AC854" s="18"/>
    </row>
    <row r="855" spans="23:29" customFormat="1" x14ac:dyDescent="0.25">
      <c r="W855" s="37"/>
      <c r="X855" s="52"/>
      <c r="Y855" s="52"/>
      <c r="Z855" s="37"/>
      <c r="AA855" s="18"/>
      <c r="AB855" s="18"/>
      <c r="AC855" s="18"/>
    </row>
    <row r="856" spans="23:29" customFormat="1" x14ac:dyDescent="0.25">
      <c r="W856" s="37"/>
      <c r="X856" s="52"/>
      <c r="Y856" s="52"/>
      <c r="Z856" s="37"/>
      <c r="AA856" s="18"/>
      <c r="AB856" s="18"/>
      <c r="AC856" s="18"/>
    </row>
    <row r="857" spans="23:29" customFormat="1" x14ac:dyDescent="0.25">
      <c r="W857" s="37"/>
      <c r="X857" s="52"/>
      <c r="Y857" s="52"/>
      <c r="Z857" s="37"/>
      <c r="AA857" s="18"/>
      <c r="AB857" s="18"/>
      <c r="AC857" s="18"/>
    </row>
    <row r="858" spans="23:29" customFormat="1" x14ac:dyDescent="0.25">
      <c r="W858" s="37"/>
      <c r="X858" s="52"/>
      <c r="Y858" s="52"/>
      <c r="Z858" s="37"/>
      <c r="AA858" s="18"/>
      <c r="AB858" s="18"/>
      <c r="AC858" s="18"/>
    </row>
    <row r="859" spans="23:29" customFormat="1" x14ac:dyDescent="0.25">
      <c r="W859" s="37"/>
      <c r="X859" s="52"/>
      <c r="Y859" s="52"/>
      <c r="Z859" s="37"/>
      <c r="AA859" s="18"/>
      <c r="AB859" s="18"/>
      <c r="AC859" s="18"/>
    </row>
    <row r="860" spans="23:29" customFormat="1" x14ac:dyDescent="0.25">
      <c r="W860" s="37"/>
      <c r="X860" s="52"/>
      <c r="Y860" s="52"/>
      <c r="Z860" s="37"/>
      <c r="AA860" s="18"/>
      <c r="AB860" s="18"/>
      <c r="AC860" s="18"/>
    </row>
    <row r="861" spans="23:29" customFormat="1" x14ac:dyDescent="0.25">
      <c r="W861" s="37"/>
      <c r="X861" s="52"/>
      <c r="Y861" s="52"/>
      <c r="Z861" s="37"/>
      <c r="AA861" s="18"/>
      <c r="AB861" s="18"/>
      <c r="AC861" s="18"/>
    </row>
    <row r="862" spans="23:29" customFormat="1" x14ac:dyDescent="0.25">
      <c r="W862" s="37"/>
      <c r="X862" s="52"/>
      <c r="Y862" s="52"/>
      <c r="Z862" s="37"/>
      <c r="AA862" s="18"/>
      <c r="AB862" s="18"/>
      <c r="AC862" s="18"/>
    </row>
    <row r="863" spans="23:29" customFormat="1" x14ac:dyDescent="0.25">
      <c r="W863" s="37"/>
      <c r="X863" s="52"/>
      <c r="Y863" s="52"/>
      <c r="Z863" s="37"/>
      <c r="AA863" s="18"/>
      <c r="AB863" s="18"/>
      <c r="AC863" s="18"/>
    </row>
    <row r="864" spans="23:29" customFormat="1" x14ac:dyDescent="0.25">
      <c r="W864" s="37"/>
      <c r="X864" s="52"/>
      <c r="Y864" s="52"/>
      <c r="Z864" s="37"/>
      <c r="AA864" s="18"/>
      <c r="AB864" s="18"/>
      <c r="AC864" s="18"/>
    </row>
    <row r="865" spans="23:29" customFormat="1" x14ac:dyDescent="0.25">
      <c r="W865" s="37"/>
      <c r="X865" s="52"/>
      <c r="Y865" s="52"/>
      <c r="Z865" s="37"/>
      <c r="AA865" s="18"/>
      <c r="AB865" s="18"/>
      <c r="AC865" s="18"/>
    </row>
    <row r="866" spans="23:29" customFormat="1" x14ac:dyDescent="0.25">
      <c r="W866" s="37"/>
      <c r="X866" s="52"/>
      <c r="Y866" s="52"/>
      <c r="Z866" s="37"/>
      <c r="AA866" s="18"/>
      <c r="AB866" s="18"/>
      <c r="AC866" s="18"/>
    </row>
    <row r="867" spans="23:29" customFormat="1" x14ac:dyDescent="0.25">
      <c r="W867" s="37"/>
      <c r="X867" s="52"/>
      <c r="Y867" s="52"/>
      <c r="Z867" s="37"/>
      <c r="AA867" s="18"/>
      <c r="AB867" s="18"/>
      <c r="AC867" s="18"/>
    </row>
    <row r="868" spans="23:29" customFormat="1" x14ac:dyDescent="0.25">
      <c r="W868" s="37"/>
      <c r="X868" s="52"/>
      <c r="Y868" s="52"/>
      <c r="Z868" s="37"/>
      <c r="AA868" s="18"/>
      <c r="AB868" s="18"/>
      <c r="AC868" s="18"/>
    </row>
    <row r="869" spans="23:29" customFormat="1" x14ac:dyDescent="0.25">
      <c r="W869" s="37"/>
      <c r="X869" s="52"/>
      <c r="Y869" s="52"/>
      <c r="Z869" s="37"/>
      <c r="AA869" s="18"/>
      <c r="AB869" s="18"/>
      <c r="AC869" s="18"/>
    </row>
    <row r="870" spans="23:29" customFormat="1" x14ac:dyDescent="0.25">
      <c r="W870" s="37"/>
      <c r="X870" s="52"/>
      <c r="Y870" s="52"/>
      <c r="Z870" s="37"/>
      <c r="AA870" s="18"/>
      <c r="AB870" s="18"/>
      <c r="AC870" s="18"/>
    </row>
    <row r="871" spans="23:29" customFormat="1" x14ac:dyDescent="0.25">
      <c r="W871" s="37"/>
      <c r="X871" s="52"/>
      <c r="Y871" s="52"/>
      <c r="Z871" s="37"/>
      <c r="AA871" s="18"/>
      <c r="AB871" s="18"/>
      <c r="AC871" s="18"/>
    </row>
    <row r="872" spans="23:29" customFormat="1" x14ac:dyDescent="0.25">
      <c r="W872" s="37"/>
      <c r="X872" s="52"/>
      <c r="Y872" s="52"/>
      <c r="Z872" s="37"/>
      <c r="AA872" s="18"/>
      <c r="AB872" s="18"/>
      <c r="AC872" s="18"/>
    </row>
    <row r="873" spans="23:29" customFormat="1" x14ac:dyDescent="0.25">
      <c r="W873" s="37"/>
      <c r="X873" s="52"/>
      <c r="Y873" s="52"/>
      <c r="Z873" s="37"/>
      <c r="AA873" s="18"/>
      <c r="AB873" s="18"/>
      <c r="AC873" s="18"/>
    </row>
    <row r="874" spans="23:29" customFormat="1" x14ac:dyDescent="0.25">
      <c r="W874" s="37"/>
      <c r="X874" s="52"/>
      <c r="Y874" s="52"/>
      <c r="Z874" s="37"/>
      <c r="AA874" s="18"/>
      <c r="AB874" s="18"/>
      <c r="AC874" s="18"/>
    </row>
  </sheetData>
  <mergeCells count="8">
    <mergeCell ref="W31:Y31"/>
    <mergeCell ref="W32:Z32"/>
    <mergeCell ref="A1:AI1"/>
    <mergeCell ref="GY2:HA2"/>
    <mergeCell ref="AA18:AC18"/>
    <mergeCell ref="GM27:GO27"/>
    <mergeCell ref="A28:B28"/>
    <mergeCell ref="GM28:GP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A1:FR874"/>
  <sheetViews>
    <sheetView topLeftCell="EG1" zoomScale="70" zoomScaleNormal="70" workbookViewId="0">
      <selection activeCell="FQ3" sqref="FQ3:FQ11"/>
    </sheetView>
  </sheetViews>
  <sheetFormatPr defaultRowHeight="15" x14ac:dyDescent="0.25"/>
  <cols>
    <col min="1" max="1" width="6.5703125" customWidth="1"/>
    <col min="2" max="2" width="39.28515625" customWidth="1"/>
    <col min="3" max="3" width="4" style="1" customWidth="1"/>
    <col min="4" max="4" width="5.28515625" style="6" customWidth="1"/>
    <col min="5" max="5" width="7.28515625" customWidth="1"/>
    <col min="6" max="6" width="8.140625" customWidth="1"/>
    <col min="7" max="7" width="4" style="1" customWidth="1"/>
    <col min="8" max="8" width="5.28515625" style="6" customWidth="1"/>
    <col min="9" max="9" width="7.28515625" style="2" customWidth="1"/>
    <col min="10" max="10" width="8.42578125" style="2" customWidth="1"/>
    <col min="11" max="11" width="4" style="1" customWidth="1"/>
    <col min="12" max="12" width="5.28515625" style="6" customWidth="1"/>
    <col min="13" max="13" width="7.85546875" style="2" customWidth="1"/>
    <col min="14" max="14" width="9" style="2" customWidth="1"/>
    <col min="15" max="15" width="4.28515625" style="2" customWidth="1"/>
    <col min="16" max="16" width="4.5703125" style="2" customWidth="1"/>
    <col min="17" max="17" width="7.7109375" style="2" customWidth="1"/>
    <col min="18" max="18" width="8.28515625" style="2" customWidth="1"/>
    <col min="19" max="19" width="4" style="1" customWidth="1"/>
    <col min="20" max="20" width="5.28515625" style="6" customWidth="1"/>
    <col min="21" max="21" width="8" style="2" customWidth="1"/>
    <col min="22" max="22" width="8.140625" style="2" customWidth="1"/>
    <col min="23" max="23" width="3.85546875" customWidth="1"/>
    <col min="24" max="24" width="4.28515625" style="11" customWidth="1"/>
    <col min="25" max="25" width="8" style="11" customWidth="1"/>
    <col min="26" max="26" width="8.28515625" customWidth="1"/>
    <col min="27" max="27" width="4.28515625" style="2" customWidth="1"/>
    <col min="28" max="28" width="5" style="2" customWidth="1"/>
    <col min="29" max="30" width="8.42578125" style="2" customWidth="1"/>
    <col min="31" max="31" width="4" customWidth="1"/>
    <col min="32" max="32" width="5.42578125" customWidth="1"/>
    <col min="33" max="33" width="8" customWidth="1"/>
    <col min="34" max="34" width="7.140625" customWidth="1"/>
    <col min="35" max="35" width="5" customWidth="1"/>
    <col min="36" max="36" width="5.140625" customWidth="1"/>
    <col min="37" max="37" width="7.42578125" customWidth="1"/>
    <col min="38" max="38" width="7.5703125" customWidth="1"/>
    <col min="39" max="40" width="4.7109375" customWidth="1"/>
    <col min="41" max="41" width="7.85546875" customWidth="1"/>
    <col min="42" max="42" width="7.5703125" customWidth="1"/>
    <col min="43" max="43" width="4" customWidth="1"/>
    <col min="44" max="44" width="5.5703125" customWidth="1"/>
    <col min="45" max="45" width="8.42578125" customWidth="1"/>
    <col min="46" max="46" width="8.5703125" customWidth="1"/>
    <col min="47" max="47" width="4.140625" customWidth="1"/>
    <col min="48" max="48" width="4.7109375" customWidth="1"/>
    <col min="49" max="49" width="7.5703125" customWidth="1"/>
    <col min="50" max="50" width="8.42578125" customWidth="1"/>
    <col min="51" max="51" width="4.7109375" customWidth="1"/>
    <col min="52" max="52" width="4.85546875" customWidth="1"/>
    <col min="53" max="53" width="7.28515625" customWidth="1"/>
    <col min="54" max="54" width="7.5703125" customWidth="1"/>
    <col min="55" max="55" width="4.42578125" customWidth="1"/>
    <col min="56" max="56" width="4.85546875" customWidth="1"/>
    <col min="57" max="57" width="7.5703125" customWidth="1"/>
    <col min="58" max="58" width="8" customWidth="1"/>
    <col min="59" max="59" width="4.5703125" customWidth="1"/>
    <col min="60" max="60" width="4.85546875" customWidth="1"/>
    <col min="61" max="61" width="7.5703125" customWidth="1"/>
    <col min="62" max="62" width="8.140625" customWidth="1"/>
    <col min="63" max="63" width="4.7109375" customWidth="1"/>
    <col min="64" max="64" width="4.85546875" customWidth="1"/>
    <col min="65" max="65" width="7.7109375" customWidth="1"/>
    <col min="66" max="66" width="8.28515625" customWidth="1"/>
    <col min="67" max="67" width="5.5703125" customWidth="1"/>
    <col min="68" max="68" width="5.42578125" customWidth="1"/>
    <col min="69" max="69" width="8" customWidth="1"/>
    <col min="70" max="70" width="8.28515625" customWidth="1"/>
    <col min="71" max="71" width="4.42578125" customWidth="1"/>
    <col min="72" max="72" width="4.7109375" customWidth="1"/>
    <col min="73" max="73" width="7.7109375" customWidth="1"/>
    <col min="74" max="74" width="8" customWidth="1"/>
    <col min="75" max="75" width="5" customWidth="1"/>
    <col min="76" max="76" width="5.42578125" customWidth="1"/>
    <col min="77" max="77" width="7.5703125" customWidth="1"/>
    <col min="78" max="78" width="8" customWidth="1"/>
    <col min="79" max="79" width="4.28515625" customWidth="1"/>
    <col min="80" max="80" width="5.5703125" customWidth="1"/>
    <col min="81" max="81" width="7.7109375" customWidth="1"/>
    <col min="82" max="82" width="8" customWidth="1"/>
    <col min="83" max="83" width="4" customWidth="1"/>
    <col min="84" max="84" width="4.5703125" customWidth="1"/>
    <col min="85" max="85" width="7.85546875" customWidth="1"/>
    <col min="86" max="86" width="8" customWidth="1"/>
    <col min="87" max="87" width="4.140625" customWidth="1"/>
    <col min="88" max="88" width="3.5703125" customWidth="1"/>
    <col min="89" max="90" width="8" customWidth="1"/>
    <col min="91" max="91" width="4.85546875" customWidth="1"/>
    <col min="92" max="92" width="5.5703125" customWidth="1"/>
    <col min="93" max="93" width="7.7109375" customWidth="1"/>
    <col min="94" max="94" width="8" customWidth="1"/>
    <col min="95" max="95" width="3.7109375" customWidth="1"/>
    <col min="96" max="96" width="4" customWidth="1"/>
    <col min="97" max="97" width="8.5703125" customWidth="1"/>
    <col min="98" max="98" width="8.140625" customWidth="1"/>
    <col min="99" max="99" width="4.7109375" customWidth="1"/>
    <col min="100" max="100" width="4.140625" customWidth="1"/>
    <col min="101" max="101" width="8.28515625" customWidth="1"/>
    <col min="102" max="102" width="7.5703125" customWidth="1"/>
    <col min="103" max="103" width="4.42578125" customWidth="1"/>
    <col min="104" max="104" width="4.140625" customWidth="1"/>
    <col min="105" max="105" width="8" customWidth="1"/>
    <col min="106" max="106" width="7.7109375" customWidth="1"/>
    <col min="107" max="107" width="4.42578125" customWidth="1"/>
    <col min="108" max="108" width="5" customWidth="1"/>
    <col min="109" max="109" width="8" customWidth="1"/>
    <col min="110" max="110" width="7.7109375" customWidth="1"/>
    <col min="111" max="111" width="3.85546875" customWidth="1"/>
    <col min="112" max="112" width="4.5703125" customWidth="1"/>
    <col min="113" max="114" width="7.85546875" customWidth="1"/>
    <col min="115" max="115" width="4.140625" customWidth="1"/>
    <col min="116" max="116" width="4" customWidth="1"/>
    <col min="117" max="117" width="9" customWidth="1"/>
    <col min="118" max="118" width="8.28515625" customWidth="1"/>
    <col min="119" max="119" width="3.85546875" customWidth="1"/>
    <col min="120" max="120" width="4.5703125" customWidth="1"/>
    <col min="121" max="121" width="7.5703125" customWidth="1"/>
    <col min="122" max="122" width="7.7109375" customWidth="1"/>
    <col min="123" max="123" width="4" customWidth="1"/>
    <col min="124" max="124" width="4.7109375" customWidth="1"/>
    <col min="125" max="125" width="7.5703125" customWidth="1"/>
    <col min="126" max="126" width="9" customWidth="1"/>
    <col min="127" max="128" width="4.7109375" customWidth="1"/>
    <col min="129" max="129" width="7.42578125" customWidth="1"/>
    <col min="130" max="130" width="8.42578125" customWidth="1"/>
    <col min="131" max="131" width="4.7109375" customWidth="1"/>
    <col min="132" max="132" width="5.42578125" customWidth="1"/>
    <col min="133" max="133" width="7.85546875" customWidth="1"/>
    <col min="134" max="134" width="8.42578125" customWidth="1"/>
    <col min="135" max="135" width="3.7109375" customWidth="1"/>
    <col min="136" max="136" width="4" customWidth="1"/>
    <col min="137" max="137" width="8.28515625" customWidth="1"/>
    <col min="138" max="138" width="8" customWidth="1"/>
    <col min="139" max="139" width="4.42578125" customWidth="1"/>
    <col min="140" max="140" width="5" customWidth="1"/>
    <col min="141" max="141" width="7.5703125" customWidth="1"/>
    <col min="142" max="142" width="8" customWidth="1"/>
    <col min="143" max="143" width="4.85546875" customWidth="1"/>
    <col min="144" max="144" width="4.7109375" customWidth="1"/>
    <col min="145" max="145" width="7.5703125" customWidth="1"/>
    <col min="146" max="146" width="8" customWidth="1"/>
    <col min="147" max="148" width="4.7109375" customWidth="1"/>
    <col min="149" max="149" width="8" customWidth="1"/>
    <col min="150" max="150" width="8.42578125" customWidth="1"/>
    <col min="151" max="151" width="4.5703125" customWidth="1"/>
    <col min="152" max="152" width="4.42578125" customWidth="1"/>
    <col min="153" max="153" width="7.5703125" customWidth="1"/>
    <col min="154" max="154" width="7.28515625" customWidth="1"/>
    <col min="155" max="155" width="5" customWidth="1"/>
    <col min="156" max="156" width="4.7109375" customWidth="1"/>
    <col min="157" max="157" width="7.42578125" customWidth="1"/>
    <col min="158" max="158" width="8" customWidth="1"/>
    <col min="159" max="159" width="4.85546875" customWidth="1"/>
    <col min="160" max="160" width="4.42578125" customWidth="1"/>
    <col min="161" max="161" width="8" customWidth="1"/>
    <col min="162" max="162" width="8.42578125" customWidth="1"/>
    <col min="163" max="163" width="5.140625" customWidth="1"/>
    <col min="164" max="164" width="5.5703125" customWidth="1"/>
    <col min="165" max="165" width="7.5703125" customWidth="1"/>
    <col min="166" max="166" width="8" customWidth="1"/>
    <col min="167" max="173" width="7.140625" customWidth="1"/>
  </cols>
  <sheetData>
    <row r="1" spans="1:174" ht="33.75" customHeight="1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spans="1:174" ht="70.5" customHeight="1" thickBot="1" x14ac:dyDescent="0.3">
      <c r="A2" s="23" t="s">
        <v>4</v>
      </c>
      <c r="B2" s="55" t="s">
        <v>5</v>
      </c>
      <c r="C2" s="3" t="s">
        <v>0</v>
      </c>
      <c r="D2" s="9" t="s">
        <v>2</v>
      </c>
      <c r="E2" s="7" t="s">
        <v>1</v>
      </c>
      <c r="F2" s="7" t="s">
        <v>6</v>
      </c>
      <c r="G2" s="3" t="s">
        <v>0</v>
      </c>
      <c r="H2" s="9" t="s">
        <v>2</v>
      </c>
      <c r="I2" s="7" t="s">
        <v>1</v>
      </c>
      <c r="J2" s="7" t="s">
        <v>6</v>
      </c>
      <c r="K2" s="3" t="s">
        <v>0</v>
      </c>
      <c r="L2" s="9" t="s">
        <v>2</v>
      </c>
      <c r="M2" s="7" t="s">
        <v>1</v>
      </c>
      <c r="N2" s="7" t="s">
        <v>6</v>
      </c>
      <c r="O2" s="3" t="s">
        <v>0</v>
      </c>
      <c r="P2" s="9" t="s">
        <v>2</v>
      </c>
      <c r="Q2" s="7" t="s">
        <v>1</v>
      </c>
      <c r="R2" s="7" t="s">
        <v>6</v>
      </c>
      <c r="S2" s="3" t="s">
        <v>0</v>
      </c>
      <c r="T2" s="9" t="s">
        <v>2</v>
      </c>
      <c r="U2" s="7" t="s">
        <v>1</v>
      </c>
      <c r="V2" s="7" t="s">
        <v>6</v>
      </c>
      <c r="W2" s="3" t="s">
        <v>0</v>
      </c>
      <c r="X2" s="9" t="s">
        <v>2</v>
      </c>
      <c r="Y2" s="7" t="s">
        <v>1</v>
      </c>
      <c r="Z2" s="7" t="s">
        <v>6</v>
      </c>
      <c r="AA2" s="3" t="s">
        <v>0</v>
      </c>
      <c r="AB2" s="9" t="s">
        <v>2</v>
      </c>
      <c r="AC2" s="7" t="s">
        <v>1</v>
      </c>
      <c r="AD2" s="7" t="s">
        <v>6</v>
      </c>
      <c r="AE2" s="3" t="s">
        <v>0</v>
      </c>
      <c r="AF2" s="9" t="s">
        <v>2</v>
      </c>
      <c r="AG2" s="7" t="s">
        <v>1</v>
      </c>
      <c r="AH2" s="7" t="s">
        <v>6</v>
      </c>
      <c r="AI2" s="3" t="s">
        <v>0</v>
      </c>
      <c r="AJ2" s="9" t="s">
        <v>2</v>
      </c>
      <c r="AK2" s="7" t="s">
        <v>1</v>
      </c>
      <c r="AL2" s="7" t="s">
        <v>6</v>
      </c>
      <c r="AM2" s="3" t="s">
        <v>0</v>
      </c>
      <c r="AN2" s="9" t="s">
        <v>2</v>
      </c>
      <c r="AO2" s="7" t="s">
        <v>1</v>
      </c>
      <c r="AP2" s="7" t="s">
        <v>6</v>
      </c>
      <c r="AQ2" s="3" t="s">
        <v>0</v>
      </c>
      <c r="AR2" s="9" t="s">
        <v>2</v>
      </c>
      <c r="AS2" s="7" t="s">
        <v>1</v>
      </c>
      <c r="AT2" s="7" t="s">
        <v>6</v>
      </c>
      <c r="AU2" s="3" t="s">
        <v>0</v>
      </c>
      <c r="AV2" s="9" t="s">
        <v>2</v>
      </c>
      <c r="AW2" s="7" t="s">
        <v>1</v>
      </c>
      <c r="AX2" s="7" t="s">
        <v>6</v>
      </c>
      <c r="AY2" s="3" t="s">
        <v>0</v>
      </c>
      <c r="AZ2" s="9" t="s">
        <v>2</v>
      </c>
      <c r="BA2" s="7" t="s">
        <v>1</v>
      </c>
      <c r="BB2" s="7" t="s">
        <v>6</v>
      </c>
      <c r="BC2" s="3" t="s">
        <v>0</v>
      </c>
      <c r="BD2" s="9" t="s">
        <v>2</v>
      </c>
      <c r="BE2" s="7" t="s">
        <v>1</v>
      </c>
      <c r="BF2" s="7" t="s">
        <v>6</v>
      </c>
      <c r="BG2" s="3" t="s">
        <v>0</v>
      </c>
      <c r="BH2" s="9" t="s">
        <v>2</v>
      </c>
      <c r="BI2" s="7" t="s">
        <v>1</v>
      </c>
      <c r="BJ2" s="7" t="s">
        <v>6</v>
      </c>
      <c r="BK2" s="3" t="s">
        <v>0</v>
      </c>
      <c r="BL2" s="9" t="s">
        <v>2</v>
      </c>
      <c r="BM2" s="7" t="s">
        <v>1</v>
      </c>
      <c r="BN2" s="7" t="s">
        <v>6</v>
      </c>
      <c r="BO2" s="3" t="s">
        <v>0</v>
      </c>
      <c r="BP2" s="9" t="s">
        <v>2</v>
      </c>
      <c r="BQ2" s="7" t="s">
        <v>1</v>
      </c>
      <c r="BR2" s="7" t="s">
        <v>6</v>
      </c>
      <c r="BS2" s="3" t="s">
        <v>0</v>
      </c>
      <c r="BT2" s="9" t="s">
        <v>2</v>
      </c>
      <c r="BU2" s="7" t="s">
        <v>1</v>
      </c>
      <c r="BV2" s="7" t="s">
        <v>6</v>
      </c>
      <c r="BW2" s="3" t="s">
        <v>0</v>
      </c>
      <c r="BX2" s="9" t="s">
        <v>2</v>
      </c>
      <c r="BY2" s="7" t="s">
        <v>1</v>
      </c>
      <c r="BZ2" s="7" t="s">
        <v>6</v>
      </c>
      <c r="CA2" s="3" t="s">
        <v>0</v>
      </c>
      <c r="CB2" s="9" t="s">
        <v>2</v>
      </c>
      <c r="CC2" s="7" t="s">
        <v>1</v>
      </c>
      <c r="CD2" s="7" t="s">
        <v>6</v>
      </c>
      <c r="CE2" s="3" t="s">
        <v>0</v>
      </c>
      <c r="CF2" s="9" t="s">
        <v>2</v>
      </c>
      <c r="CG2" s="7" t="s">
        <v>1</v>
      </c>
      <c r="CH2" s="7" t="s">
        <v>6</v>
      </c>
      <c r="CI2" s="3" t="s">
        <v>0</v>
      </c>
      <c r="CJ2" s="9" t="s">
        <v>2</v>
      </c>
      <c r="CK2" s="7" t="s">
        <v>1</v>
      </c>
      <c r="CL2" s="7" t="s">
        <v>6</v>
      </c>
      <c r="CM2" s="3" t="s">
        <v>0</v>
      </c>
      <c r="CN2" s="9" t="s">
        <v>2</v>
      </c>
      <c r="CO2" s="7" t="s">
        <v>1</v>
      </c>
      <c r="CP2" s="7" t="s">
        <v>6</v>
      </c>
      <c r="CQ2" s="3" t="s">
        <v>0</v>
      </c>
      <c r="CR2" s="9" t="s">
        <v>2</v>
      </c>
      <c r="CS2" s="7" t="s">
        <v>1</v>
      </c>
      <c r="CT2" s="7" t="s">
        <v>6</v>
      </c>
      <c r="CU2" s="3" t="s">
        <v>0</v>
      </c>
      <c r="CV2" s="9" t="s">
        <v>2</v>
      </c>
      <c r="CW2" s="7" t="s">
        <v>1</v>
      </c>
      <c r="CX2" s="7" t="s">
        <v>6</v>
      </c>
      <c r="CY2" s="3" t="s">
        <v>0</v>
      </c>
      <c r="CZ2" s="9" t="s">
        <v>2</v>
      </c>
      <c r="DA2" s="7" t="s">
        <v>1</v>
      </c>
      <c r="DB2" s="7" t="s">
        <v>6</v>
      </c>
      <c r="DC2" s="3" t="s">
        <v>0</v>
      </c>
      <c r="DD2" s="9" t="s">
        <v>2</v>
      </c>
      <c r="DE2" s="7" t="s">
        <v>1</v>
      </c>
      <c r="DF2" s="7" t="s">
        <v>6</v>
      </c>
      <c r="DG2" s="3" t="s">
        <v>0</v>
      </c>
      <c r="DH2" s="9" t="s">
        <v>2</v>
      </c>
      <c r="DI2" s="7" t="s">
        <v>1</v>
      </c>
      <c r="DJ2" s="7" t="s">
        <v>6</v>
      </c>
      <c r="DK2" s="3" t="s">
        <v>0</v>
      </c>
      <c r="DL2" s="9" t="s">
        <v>2</v>
      </c>
      <c r="DM2" s="7" t="s">
        <v>1</v>
      </c>
      <c r="DN2" s="7" t="s">
        <v>6</v>
      </c>
      <c r="DO2" s="3" t="s">
        <v>0</v>
      </c>
      <c r="DP2" s="9" t="s">
        <v>2</v>
      </c>
      <c r="DQ2" s="7" t="s">
        <v>1</v>
      </c>
      <c r="DR2" s="7" t="s">
        <v>6</v>
      </c>
      <c r="DS2" s="3" t="s">
        <v>0</v>
      </c>
      <c r="DT2" s="9" t="s">
        <v>2</v>
      </c>
      <c r="DU2" s="7" t="s">
        <v>1</v>
      </c>
      <c r="DV2" s="7" t="s">
        <v>6</v>
      </c>
      <c r="DW2" s="3" t="s">
        <v>0</v>
      </c>
      <c r="DX2" s="9" t="s">
        <v>2</v>
      </c>
      <c r="DY2" s="7" t="s">
        <v>1</v>
      </c>
      <c r="DZ2" s="7" t="s">
        <v>6</v>
      </c>
      <c r="EA2" s="3" t="s">
        <v>0</v>
      </c>
      <c r="EB2" s="9" t="s">
        <v>2</v>
      </c>
      <c r="EC2" s="7" t="s">
        <v>1</v>
      </c>
      <c r="ED2" s="7" t="s">
        <v>6</v>
      </c>
      <c r="EE2" s="3" t="s">
        <v>0</v>
      </c>
      <c r="EF2" s="9" t="s">
        <v>2</v>
      </c>
      <c r="EG2" s="7" t="s">
        <v>1</v>
      </c>
      <c r="EH2" s="7" t="s">
        <v>6</v>
      </c>
      <c r="EI2" s="3" t="s">
        <v>0</v>
      </c>
      <c r="EJ2" s="9" t="s">
        <v>2</v>
      </c>
      <c r="EK2" s="7" t="s">
        <v>1</v>
      </c>
      <c r="EL2" s="7" t="s">
        <v>6</v>
      </c>
      <c r="EM2" s="3" t="s">
        <v>0</v>
      </c>
      <c r="EN2" s="9" t="s">
        <v>2</v>
      </c>
      <c r="EO2" s="7" t="s">
        <v>1</v>
      </c>
      <c r="EP2" s="7" t="s">
        <v>6</v>
      </c>
      <c r="EQ2" s="3" t="s">
        <v>0</v>
      </c>
      <c r="ER2" s="9" t="s">
        <v>2</v>
      </c>
      <c r="ES2" s="7" t="s">
        <v>1</v>
      </c>
      <c r="ET2" s="7" t="s">
        <v>6</v>
      </c>
      <c r="EU2" s="3" t="s">
        <v>0</v>
      </c>
      <c r="EV2" s="9" t="s">
        <v>2</v>
      </c>
      <c r="EW2" s="7" t="s">
        <v>1</v>
      </c>
      <c r="EX2" s="7" t="s">
        <v>6</v>
      </c>
      <c r="EY2" s="3" t="s">
        <v>0</v>
      </c>
      <c r="EZ2" s="9" t="s">
        <v>2</v>
      </c>
      <c r="FA2" s="7" t="s">
        <v>1</v>
      </c>
      <c r="FB2" s="7" t="s">
        <v>6</v>
      </c>
      <c r="FC2" s="3" t="s">
        <v>0</v>
      </c>
      <c r="FD2" s="9" t="s">
        <v>2</v>
      </c>
      <c r="FE2" s="7" t="s">
        <v>1</v>
      </c>
      <c r="FF2" s="7" t="s">
        <v>6</v>
      </c>
      <c r="FG2" s="3" t="s">
        <v>0</v>
      </c>
      <c r="FH2" s="9" t="s">
        <v>2</v>
      </c>
      <c r="FI2" s="7" t="s">
        <v>1</v>
      </c>
      <c r="FJ2" s="7" t="s">
        <v>6</v>
      </c>
      <c r="FK2" s="49" t="s">
        <v>19</v>
      </c>
      <c r="FL2" s="10" t="s">
        <v>20</v>
      </c>
      <c r="FM2" s="10" t="s">
        <v>21</v>
      </c>
      <c r="FN2" s="10" t="s">
        <v>22</v>
      </c>
      <c r="FO2" s="81" t="s">
        <v>23</v>
      </c>
      <c r="FP2" s="81"/>
      <c r="FQ2" s="81"/>
      <c r="FR2" s="22" t="s">
        <v>24</v>
      </c>
    </row>
    <row r="3" spans="1:174" ht="72" customHeight="1" thickBot="1" x14ac:dyDescent="0.3">
      <c r="A3" s="21">
        <v>1</v>
      </c>
      <c r="B3" s="30" t="s">
        <v>13</v>
      </c>
      <c r="C3" s="3">
        <v>7</v>
      </c>
      <c r="D3" s="3">
        <v>7</v>
      </c>
      <c r="E3" s="12">
        <f>D3/C3</f>
        <v>1</v>
      </c>
      <c r="F3" s="12">
        <f>POWER(D3-$FM3,2)</f>
        <v>3.3252595155709366</v>
      </c>
      <c r="G3" s="3">
        <v>9</v>
      </c>
      <c r="H3" s="3">
        <v>9</v>
      </c>
      <c r="I3" s="12">
        <f t="shared" ref="I3:I11" si="0">H3/G3</f>
        <v>1</v>
      </c>
      <c r="J3" s="12">
        <f t="shared" ref="J3:J11" si="1">POWER(H3-$FM3,2)</f>
        <v>3.1141868512110506E-2</v>
      </c>
      <c r="K3" s="3">
        <v>9</v>
      </c>
      <c r="L3" s="5">
        <v>9</v>
      </c>
      <c r="M3" s="12">
        <f>L3/K3</f>
        <v>1</v>
      </c>
      <c r="N3" s="12">
        <f>POWER(L3-$FM3,2)</f>
        <v>3.1141868512110506E-2</v>
      </c>
      <c r="O3" s="3">
        <v>9</v>
      </c>
      <c r="P3" s="5">
        <v>9</v>
      </c>
      <c r="Q3" s="12">
        <f>P3/O3</f>
        <v>1</v>
      </c>
      <c r="R3" s="12">
        <f>POWER(P3-$FM3,2)</f>
        <v>3.1141868512110506E-2</v>
      </c>
      <c r="S3" s="3">
        <v>8</v>
      </c>
      <c r="T3" s="26">
        <v>7</v>
      </c>
      <c r="U3" s="12">
        <f>T3/S3</f>
        <v>0.875</v>
      </c>
      <c r="V3" s="12">
        <f>POWER(T3-$FM3,2)</f>
        <v>3.3252595155709366</v>
      </c>
      <c r="W3" s="3">
        <v>8</v>
      </c>
      <c r="X3" s="3">
        <v>8</v>
      </c>
      <c r="Y3" s="12">
        <f>X3/W3</f>
        <v>1</v>
      </c>
      <c r="Z3" s="12">
        <f>POWER(X3-$FM3,2)</f>
        <v>0.67820069204152356</v>
      </c>
      <c r="AA3" s="3">
        <v>10</v>
      </c>
      <c r="AB3" s="5">
        <v>10</v>
      </c>
      <c r="AC3" s="12">
        <f>AB3/AA3</f>
        <v>1</v>
      </c>
      <c r="AD3" s="12">
        <f>POWER(AB3-$FM3,2)</f>
        <v>1.3840830449826975</v>
      </c>
      <c r="AE3" s="3">
        <v>8</v>
      </c>
      <c r="AF3" s="5">
        <v>8</v>
      </c>
      <c r="AG3" s="12">
        <f>AF3/AE3</f>
        <v>1</v>
      </c>
      <c r="AH3" s="12">
        <f>POWER(AF3-$FM3,2)</f>
        <v>0.67820069204152356</v>
      </c>
      <c r="AI3" s="3">
        <v>8</v>
      </c>
      <c r="AJ3" s="5">
        <v>8</v>
      </c>
      <c r="AK3" s="12">
        <f>AJ3/AI3</f>
        <v>1</v>
      </c>
      <c r="AL3" s="12">
        <f>POWER(AJ3-$FM3,2)</f>
        <v>0.67820069204152356</v>
      </c>
      <c r="AM3" s="3">
        <v>10</v>
      </c>
      <c r="AN3" s="5">
        <v>10</v>
      </c>
      <c r="AO3" s="12">
        <f>AN3/AM3</f>
        <v>1</v>
      </c>
      <c r="AP3" s="12">
        <f>POWER(AN3-$FM3,2)</f>
        <v>1.3840830449826975</v>
      </c>
      <c r="AQ3" s="3">
        <v>9</v>
      </c>
      <c r="AR3" s="5">
        <v>9</v>
      </c>
      <c r="AS3" s="12">
        <f>AR3/AQ3</f>
        <v>1</v>
      </c>
      <c r="AT3" s="12">
        <f>POWER(AR3-$FM3,2)</f>
        <v>3.1141868512110506E-2</v>
      </c>
      <c r="AU3" s="3">
        <v>9</v>
      </c>
      <c r="AV3" s="5">
        <v>9</v>
      </c>
      <c r="AW3" s="12">
        <f>AV3/AU3</f>
        <v>1</v>
      </c>
      <c r="AX3" s="12">
        <f>POWER(AV3-$FM3,2)</f>
        <v>3.1141868512110506E-2</v>
      </c>
      <c r="AY3" s="3">
        <v>10</v>
      </c>
      <c r="AZ3" s="5">
        <v>10</v>
      </c>
      <c r="BA3" s="12">
        <f>AZ3/AY3</f>
        <v>1</v>
      </c>
      <c r="BB3" s="12">
        <f>POWER(AZ3-$FM3,2)</f>
        <v>1.3840830449826975</v>
      </c>
      <c r="BC3" s="3">
        <v>10</v>
      </c>
      <c r="BD3" s="5">
        <v>10</v>
      </c>
      <c r="BE3" s="12">
        <f>BD3/BC3</f>
        <v>1</v>
      </c>
      <c r="BF3" s="12">
        <f>POWER(BD3-$FM3,2)</f>
        <v>1.3840830449826975</v>
      </c>
      <c r="BG3" s="3">
        <v>10</v>
      </c>
      <c r="BH3" s="5">
        <v>10</v>
      </c>
      <c r="BI3" s="12">
        <f>BH3/BG3</f>
        <v>1</v>
      </c>
      <c r="BJ3" s="12">
        <f>POWER(BH3-$FM3,2)</f>
        <v>1.3840830449826975</v>
      </c>
      <c r="BK3" s="3">
        <v>9</v>
      </c>
      <c r="BL3" s="5">
        <v>9</v>
      </c>
      <c r="BM3" s="12">
        <f>BL3/BK3</f>
        <v>1</v>
      </c>
      <c r="BN3" s="12">
        <f>POWER(BL3-$FM3,2)</f>
        <v>3.1141868512110506E-2</v>
      </c>
      <c r="BO3" s="3">
        <v>8</v>
      </c>
      <c r="BP3" s="5">
        <v>8</v>
      </c>
      <c r="BQ3" s="12">
        <f>BP3/BO3</f>
        <v>1</v>
      </c>
      <c r="BR3" s="12">
        <f>POWER(BP3-$FM3,2)</f>
        <v>0.67820069204152356</v>
      </c>
      <c r="BS3" s="3"/>
      <c r="BT3" s="5"/>
      <c r="BU3" s="12"/>
      <c r="BV3" s="12"/>
      <c r="BW3" s="3"/>
      <c r="BX3" s="5"/>
      <c r="BY3" s="12"/>
      <c r="BZ3" s="12"/>
      <c r="CA3" s="3"/>
      <c r="CB3" s="5"/>
      <c r="CC3" s="12"/>
      <c r="CD3" s="12"/>
      <c r="CE3" s="3"/>
      <c r="CF3" s="5"/>
      <c r="CG3" s="12"/>
      <c r="CH3" s="12"/>
      <c r="CI3" s="3"/>
      <c r="CJ3" s="5"/>
      <c r="CK3" s="12"/>
      <c r="CL3" s="12"/>
      <c r="CM3" s="3"/>
      <c r="CN3" s="5"/>
      <c r="CO3" s="12"/>
      <c r="CP3" s="12"/>
      <c r="CQ3" s="3"/>
      <c r="CR3" s="5"/>
      <c r="CS3" s="12"/>
      <c r="CT3" s="12"/>
      <c r="CU3" s="3"/>
      <c r="CV3" s="5"/>
      <c r="CW3" s="12"/>
      <c r="CX3" s="12"/>
      <c r="CY3" s="3"/>
      <c r="CZ3" s="5"/>
      <c r="DA3" s="12"/>
      <c r="DB3" s="12"/>
      <c r="DC3" s="3"/>
      <c r="DD3" s="5"/>
      <c r="DE3" s="12"/>
      <c r="DF3" s="12"/>
      <c r="DG3" s="3"/>
      <c r="DH3" s="5"/>
      <c r="DI3" s="12"/>
      <c r="DJ3" s="12"/>
      <c r="DK3" s="3"/>
      <c r="DL3" s="5"/>
      <c r="DM3" s="12"/>
      <c r="DN3" s="12"/>
      <c r="DO3" s="3"/>
      <c r="DP3" s="5"/>
      <c r="DQ3" s="12"/>
      <c r="DR3" s="12"/>
      <c r="DS3" s="3"/>
      <c r="DT3" s="5"/>
      <c r="DU3" s="12"/>
      <c r="DV3" s="12"/>
      <c r="DW3" s="3"/>
      <c r="DX3" s="5"/>
      <c r="DY3" s="12"/>
      <c r="DZ3" s="12"/>
      <c r="EA3" s="3"/>
      <c r="EB3" s="5"/>
      <c r="EC3" s="12"/>
      <c r="ED3" s="12"/>
      <c r="EE3" s="3"/>
      <c r="EF3" s="5"/>
      <c r="EG3" s="12"/>
      <c r="EH3" s="12"/>
      <c r="EI3" s="3"/>
      <c r="EJ3" s="5"/>
      <c r="EK3" s="12"/>
      <c r="EL3" s="12"/>
      <c r="EM3" s="3"/>
      <c r="EN3" s="5"/>
      <c r="EO3" s="12"/>
      <c r="EP3" s="12"/>
      <c r="EQ3" s="3"/>
      <c r="ER3" s="5"/>
      <c r="ES3" s="12"/>
      <c r="ET3" s="12"/>
      <c r="EU3" s="3"/>
      <c r="EV3" s="5"/>
      <c r="EW3" s="12"/>
      <c r="EX3" s="12"/>
      <c r="EY3" s="3"/>
      <c r="EZ3" s="5"/>
      <c r="FA3" s="12"/>
      <c r="FB3" s="12"/>
      <c r="FC3" s="3"/>
      <c r="FD3" s="5"/>
      <c r="FE3" s="12"/>
      <c r="FF3" s="12"/>
      <c r="FG3" s="3"/>
      <c r="FH3" s="5"/>
      <c r="FI3" s="12"/>
      <c r="FJ3" s="12"/>
      <c r="FK3" s="4">
        <f t="shared" ref="FK3:FK11" si="2">COUNT(C3,G3,K3,O3,S3,W3,AA3,AE3,AI3,AM3,AQ3,AU3,AY3,BC3,BG3,BK3,BO3,BS3,BW3,CA3,CE3,CI3,CM3,CQ3,CU3,CY3,DC3,DG3,DK3,DO3,DS3,DW3,EA3,EE3,EI3,EM3,EQ3,EU3,EY3,FC3,FG3)</f>
        <v>17</v>
      </c>
      <c r="FL3" s="15">
        <f>(E3+I3+M3+Q3+U3+Y3+AC3+AG3+AK3+AO3+AS3+AW3+BA3+BE3+BI3+BM3+BQ3+BU3+BY3+CC3+CG3+CK3+CO3+CS3+CW3+DA3+DE3+DI3+DM3+DQ3+DU3+DY3+EC3+EG3+EK3+EO3+ES3+EW3+FA3+FE3+FI3)*100/FK3</f>
        <v>99.264705882352942</v>
      </c>
      <c r="FM3" s="15">
        <f t="shared" ref="FM3:FM11" si="3">AVERAGE(D3,H3,L3,P3,T3,X3,AB3,AF3,AJ3,AN3,AR3,AV3,AZ3,BD3,BH3,BL3,BP3,BT3,BX3,CB3,CF3,CJ3,CN3,CR3,CV3,CZ3,DD3,DH3,DL3,DP3,DT3,DX3,EB3,EF3,EJ3,EN3,ER3,EV3,EZ3,FD3,FH3)</f>
        <v>8.8235294117647065</v>
      </c>
      <c r="FN3" s="15">
        <f>SQRT((F3+J3+N3+R3+V3+Z3+AD3+AH3+AL3+AP3+AT3+AX3+BB3+BF3+BJ3+BN3+BR3++BV3+BZ3+CD3+CH3+CL3+CP3+CT3+CX3+DB3+DF3+DJ3+DN3+DR3+DV3+DZ3+ED3+EH3+EL3+EP3+ET3+EX3+FB3+FF3+FJ3)/FK3)</f>
        <v>0.98430591356950048</v>
      </c>
      <c r="FO3" s="16">
        <f>FL3</f>
        <v>99.264705882352942</v>
      </c>
      <c r="FP3" s="17" t="s">
        <v>3</v>
      </c>
      <c r="FQ3" s="24">
        <f>FN3</f>
        <v>0.98430591356950048</v>
      </c>
      <c r="FR3" s="4" t="str">
        <f>IF(FL3&lt;40,"неудовлетворительно",IF((FL3&gt;=40)*AND(FL3&lt;60),"удовлетворительно",IF((FL3&gt;=60)*AND(FL3&lt;80),"хорошо","отлично")))</f>
        <v>отлично</v>
      </c>
    </row>
    <row r="4" spans="1:174" ht="39.75" customHeight="1" thickBot="1" x14ac:dyDescent="0.3">
      <c r="A4" s="21">
        <v>2</v>
      </c>
      <c r="B4" s="31" t="s">
        <v>14</v>
      </c>
      <c r="C4" s="3">
        <v>6</v>
      </c>
      <c r="D4" s="3">
        <v>6</v>
      </c>
      <c r="E4" s="12">
        <f t="shared" ref="E4:E14" si="4">D4/C4</f>
        <v>1</v>
      </c>
      <c r="F4" s="12">
        <f t="shared" ref="F4:F11" si="5">POWER(D4-$FM4,2)</f>
        <v>7.0069204152249105</v>
      </c>
      <c r="G4" s="3">
        <v>9</v>
      </c>
      <c r="H4" s="3">
        <v>9</v>
      </c>
      <c r="I4" s="12">
        <f t="shared" si="0"/>
        <v>1</v>
      </c>
      <c r="J4" s="12">
        <f t="shared" si="1"/>
        <v>0.12456747404844327</v>
      </c>
      <c r="K4" s="3">
        <v>9</v>
      </c>
      <c r="L4" s="5">
        <v>9</v>
      </c>
      <c r="M4" s="12">
        <f t="shared" ref="M4:M14" si="6">L4/K4</f>
        <v>1</v>
      </c>
      <c r="N4" s="12">
        <f t="shared" ref="N4:N11" si="7">POWER(L4-$FM4,2)</f>
        <v>0.12456747404844327</v>
      </c>
      <c r="O4" s="3">
        <v>9</v>
      </c>
      <c r="P4" s="5">
        <v>8</v>
      </c>
      <c r="Q4" s="12">
        <f t="shared" ref="Q4:Q14" si="8">P4/O4</f>
        <v>0.88888888888888884</v>
      </c>
      <c r="R4" s="12">
        <f t="shared" ref="R4:R11" si="9">POWER(P4-$FM4,2)</f>
        <v>0.41868512110726575</v>
      </c>
      <c r="S4" s="3">
        <v>9</v>
      </c>
      <c r="T4" s="3">
        <v>8</v>
      </c>
      <c r="U4" s="12">
        <f t="shared" ref="U4:U14" si="10">T4/S4</f>
        <v>0.88888888888888884</v>
      </c>
      <c r="V4" s="12">
        <f t="shared" ref="V4:V11" si="11">POWER(T4-$FM4,2)</f>
        <v>0.41868512110726575</v>
      </c>
      <c r="W4" s="3">
        <v>8</v>
      </c>
      <c r="X4" s="3">
        <v>8</v>
      </c>
      <c r="Y4" s="12">
        <f t="shared" ref="Y4:Y14" si="12">X4/W4</f>
        <v>1</v>
      </c>
      <c r="Z4" s="12">
        <f t="shared" ref="Z4:Z11" si="13">POWER(X4-$FM4,2)</f>
        <v>0.41868512110726575</v>
      </c>
      <c r="AA4" s="3">
        <v>5</v>
      </c>
      <c r="AB4" s="5">
        <v>5</v>
      </c>
      <c r="AC4" s="12">
        <f t="shared" ref="AC4:AC14" si="14">AB4/AA4</f>
        <v>1</v>
      </c>
      <c r="AD4" s="12">
        <f t="shared" ref="AD4:AD11" si="15">POWER(AB4-$FM4,2)</f>
        <v>13.301038062283734</v>
      </c>
      <c r="AE4" s="3">
        <v>9</v>
      </c>
      <c r="AF4" s="5">
        <v>9</v>
      </c>
      <c r="AG4" s="12">
        <f t="shared" ref="AG4:AG14" si="16">AF4/AE4</f>
        <v>1</v>
      </c>
      <c r="AH4" s="12">
        <f t="shared" ref="AH4:AH11" si="17">POWER(AF4-$FM4,2)</f>
        <v>0.12456747404844327</v>
      </c>
      <c r="AI4" s="3">
        <v>9</v>
      </c>
      <c r="AJ4" s="5">
        <v>9</v>
      </c>
      <c r="AK4" s="12">
        <f t="shared" ref="AK4:AK14" si="18">AJ4/AI4</f>
        <v>1</v>
      </c>
      <c r="AL4" s="12">
        <f t="shared" ref="AL4:AL11" si="19">POWER(AJ4-$FM4,2)</f>
        <v>0.12456747404844327</v>
      </c>
      <c r="AM4" s="3">
        <v>10</v>
      </c>
      <c r="AN4" s="5">
        <v>10</v>
      </c>
      <c r="AO4" s="12">
        <f>AN4/AM4</f>
        <v>1</v>
      </c>
      <c r="AP4" s="12">
        <f t="shared" ref="AP4:AP11" si="20">POWER(AN4-$FM4,2)</f>
        <v>1.8304498269896208</v>
      </c>
      <c r="AQ4" s="3">
        <v>10</v>
      </c>
      <c r="AR4" s="5">
        <v>10</v>
      </c>
      <c r="AS4" s="12">
        <f t="shared" ref="AS4:AS14" si="21">AR4/AQ4</f>
        <v>1</v>
      </c>
      <c r="AT4" s="12">
        <f t="shared" ref="AT4:AT11" si="22">POWER(AR4-$FM4,2)</f>
        <v>1.8304498269896208</v>
      </c>
      <c r="AU4" s="3">
        <v>9</v>
      </c>
      <c r="AV4" s="5">
        <v>9</v>
      </c>
      <c r="AW4" s="12">
        <f t="shared" ref="AW4:AW11" si="23">AV4/AU4</f>
        <v>1</v>
      </c>
      <c r="AX4" s="12">
        <f t="shared" ref="AX4:AX11" si="24">POWER(AV4-$FM4,2)</f>
        <v>0.12456747404844327</v>
      </c>
      <c r="AY4" s="3">
        <v>10</v>
      </c>
      <c r="AZ4" s="5">
        <v>10</v>
      </c>
      <c r="BA4" s="12">
        <f t="shared" ref="BA4:BA11" si="25">AZ4/AY4</f>
        <v>1</v>
      </c>
      <c r="BB4" s="12">
        <f t="shared" ref="BB4:BB11" si="26">POWER(AZ4-$FM4,2)</f>
        <v>1.8304498269896208</v>
      </c>
      <c r="BC4" s="3">
        <v>10</v>
      </c>
      <c r="BD4" s="5">
        <v>10</v>
      </c>
      <c r="BE4" s="12">
        <f t="shared" ref="BE4:BE11" si="27">BD4/BC4</f>
        <v>1</v>
      </c>
      <c r="BF4" s="12">
        <f t="shared" ref="BF4:BF11" si="28">POWER(BD4-$FM4,2)</f>
        <v>1.8304498269896208</v>
      </c>
      <c r="BG4" s="3">
        <v>10</v>
      </c>
      <c r="BH4" s="5">
        <v>10</v>
      </c>
      <c r="BI4" s="12">
        <f t="shared" ref="BI4:BI11" si="29">BH4/BG4</f>
        <v>1</v>
      </c>
      <c r="BJ4" s="12">
        <f t="shared" ref="BJ4:BJ14" si="30">POWER(BH4-$FM4,2)</f>
        <v>1.8304498269896208</v>
      </c>
      <c r="BK4" s="3">
        <v>9</v>
      </c>
      <c r="BL4" s="5">
        <v>9</v>
      </c>
      <c r="BM4" s="12">
        <f t="shared" ref="BM4:BM11" si="31">BL4/BK4</f>
        <v>1</v>
      </c>
      <c r="BN4" s="12">
        <f t="shared" ref="BN4:BN11" si="32">POWER(BL4-$FM4,2)</f>
        <v>0.12456747404844327</v>
      </c>
      <c r="BO4" s="3">
        <v>8</v>
      </c>
      <c r="BP4" s="5">
        <v>8</v>
      </c>
      <c r="BQ4" s="12">
        <f t="shared" ref="BQ4:BQ11" si="33">BP4/BO4</f>
        <v>1</v>
      </c>
      <c r="BR4" s="12">
        <f t="shared" ref="BR4:BR11" si="34">POWER(BP4-$FM4,2)</f>
        <v>0.41868512110726575</v>
      </c>
      <c r="BS4" s="3"/>
      <c r="BT4" s="5"/>
      <c r="BU4" s="12"/>
      <c r="BV4" s="12"/>
      <c r="BW4" s="3"/>
      <c r="BX4" s="5"/>
      <c r="BY4" s="12"/>
      <c r="BZ4" s="12"/>
      <c r="CA4" s="3"/>
      <c r="CB4" s="5"/>
      <c r="CC4" s="12"/>
      <c r="CD4" s="12"/>
      <c r="CE4" s="3"/>
      <c r="CF4" s="5"/>
      <c r="CG4" s="12"/>
      <c r="CH4" s="12"/>
      <c r="CI4" s="3"/>
      <c r="CJ4" s="5"/>
      <c r="CK4" s="12"/>
      <c r="CL4" s="12"/>
      <c r="CM4" s="3"/>
      <c r="CN4" s="5"/>
      <c r="CO4" s="12"/>
      <c r="CP4" s="12"/>
      <c r="CQ4" s="3"/>
      <c r="CR4" s="5"/>
      <c r="CS4" s="12"/>
      <c r="CT4" s="12"/>
      <c r="CU4" s="3"/>
      <c r="CV4" s="5"/>
      <c r="CW4" s="12"/>
      <c r="CX4" s="12"/>
      <c r="CY4" s="3"/>
      <c r="CZ4" s="5"/>
      <c r="DA4" s="12"/>
      <c r="DB4" s="12"/>
      <c r="DC4" s="3"/>
      <c r="DD4" s="5"/>
      <c r="DE4" s="12"/>
      <c r="DF4" s="12"/>
      <c r="DG4" s="3"/>
      <c r="DH4" s="5"/>
      <c r="DI4" s="12"/>
      <c r="DJ4" s="12"/>
      <c r="DK4" s="3"/>
      <c r="DL4" s="5"/>
      <c r="DM4" s="12"/>
      <c r="DN4" s="12"/>
      <c r="DO4" s="3"/>
      <c r="DP4" s="5"/>
      <c r="DQ4" s="12"/>
      <c r="DR4" s="12"/>
      <c r="DS4" s="3"/>
      <c r="DT4" s="5"/>
      <c r="DU4" s="12"/>
      <c r="DV4" s="12"/>
      <c r="DW4" s="3"/>
      <c r="DX4" s="5"/>
      <c r="DY4" s="12"/>
      <c r="DZ4" s="12"/>
      <c r="EA4" s="3"/>
      <c r="EB4" s="5"/>
      <c r="EC4" s="12"/>
      <c r="ED4" s="12"/>
      <c r="EE4" s="3"/>
      <c r="EF4" s="5"/>
      <c r="EG4" s="12"/>
      <c r="EH4" s="12"/>
      <c r="EI4" s="3"/>
      <c r="EJ4" s="5"/>
      <c r="EK4" s="12"/>
      <c r="EL4" s="12"/>
      <c r="EM4" s="3"/>
      <c r="EN4" s="5"/>
      <c r="EO4" s="12"/>
      <c r="EP4" s="12"/>
      <c r="EQ4" s="3"/>
      <c r="ER4" s="5"/>
      <c r="ES4" s="12"/>
      <c r="ET4" s="12"/>
      <c r="EU4" s="3"/>
      <c r="EV4" s="5"/>
      <c r="EW4" s="12"/>
      <c r="EX4" s="12"/>
      <c r="EY4" s="3"/>
      <c r="EZ4" s="5"/>
      <c r="FA4" s="12"/>
      <c r="FB4" s="12"/>
      <c r="FC4" s="3"/>
      <c r="FD4" s="5"/>
      <c r="FE4" s="12"/>
      <c r="FF4" s="12"/>
      <c r="FG4" s="3"/>
      <c r="FH4" s="5"/>
      <c r="FI4" s="12"/>
      <c r="FJ4" s="12"/>
      <c r="FK4" s="4">
        <f t="shared" si="2"/>
        <v>17</v>
      </c>
      <c r="FL4" s="15">
        <f t="shared" ref="FL4:FL14" si="35">(E4+I4+M4+Q4+U4+Y4+AC4+AG4+AK4+AO4+AS4+AW4+BA4+BE4+BI4+BM4+BQ4+BU4+BY4+CC4+CG4+CK4+CO4+CS4+CW4+DA4+DE4+DI4+DM4+DQ4+DU4+DY4+EC4+EG4+EK4+EO4+ES4+EW4+FA4+FE4+FI4)*100/FK4</f>
        <v>98.692810457516345</v>
      </c>
      <c r="FM4" s="15">
        <f t="shared" si="3"/>
        <v>8.6470588235294112</v>
      </c>
      <c r="FN4" s="15">
        <f t="shared" ref="FN4:FN11" si="36">SQRT((F4+J4+N4+R4+V4+Z4+AD4+AH4+AL4+AP4+AT4+AX4+BB4+BF4+BJ4+BN4+BR4++BV4+BZ4+CD4+CH4+CL4+CP4+CT4+CX4+DB4+DF4+DJ4+DN4+DR4+DV4+DZ4+ED4+EH4+EL4+EP4+ET4+EX4+FB4+FF4+FJ4)/FK4)</f>
        <v>1.3694643208026844</v>
      </c>
      <c r="FO4" s="16">
        <f t="shared" ref="FO4:FO11" si="37">FL4</f>
        <v>98.692810457516345</v>
      </c>
      <c r="FP4" s="17" t="s">
        <v>3</v>
      </c>
      <c r="FQ4" s="24">
        <f t="shared" ref="FQ4:FQ11" si="38">FN4</f>
        <v>1.3694643208026844</v>
      </c>
      <c r="FR4" s="4" t="str">
        <f t="shared" ref="FR4:FR11" si="39">IF(FL4&lt;40,"неудовлетворительно",IF((FL4&gt;=40)*AND(FL4&lt;60),"удовлетворительно",IF((FL4&gt;=60)*AND(FL4&lt;80),"хорошо","отлично")))</f>
        <v>отлично</v>
      </c>
    </row>
    <row r="5" spans="1:174" ht="52.5" customHeight="1" thickBot="1" x14ac:dyDescent="0.3">
      <c r="A5" s="21">
        <v>3</v>
      </c>
      <c r="B5" s="31" t="s">
        <v>15</v>
      </c>
      <c r="C5" s="3">
        <v>8</v>
      </c>
      <c r="D5" s="3">
        <v>8</v>
      </c>
      <c r="E5" s="12">
        <f t="shared" si="4"/>
        <v>1</v>
      </c>
      <c r="F5" s="12">
        <f t="shared" si="5"/>
        <v>0.28027681660899645</v>
      </c>
      <c r="G5" s="3">
        <v>9</v>
      </c>
      <c r="H5" s="3">
        <v>9</v>
      </c>
      <c r="I5" s="12">
        <f t="shared" si="0"/>
        <v>1</v>
      </c>
      <c r="J5" s="12">
        <f t="shared" si="1"/>
        <v>0.22145328719723192</v>
      </c>
      <c r="K5" s="3">
        <v>8</v>
      </c>
      <c r="L5" s="5">
        <v>8</v>
      </c>
      <c r="M5" s="12">
        <f t="shared" si="6"/>
        <v>1</v>
      </c>
      <c r="N5" s="12">
        <f t="shared" si="7"/>
        <v>0.28027681660899645</v>
      </c>
      <c r="O5" s="3">
        <v>8</v>
      </c>
      <c r="P5" s="5">
        <v>8</v>
      </c>
      <c r="Q5" s="12">
        <f t="shared" si="8"/>
        <v>1</v>
      </c>
      <c r="R5" s="12">
        <f t="shared" si="9"/>
        <v>0.28027681660899645</v>
      </c>
      <c r="S5" s="3">
        <v>6</v>
      </c>
      <c r="T5" s="26">
        <v>5</v>
      </c>
      <c r="U5" s="12">
        <f t="shared" si="10"/>
        <v>0.83333333333333337</v>
      </c>
      <c r="V5" s="12">
        <f t="shared" si="11"/>
        <v>12.45674740484429</v>
      </c>
      <c r="W5" s="3">
        <v>8</v>
      </c>
      <c r="X5" s="3">
        <v>8</v>
      </c>
      <c r="Y5" s="12">
        <f t="shared" si="12"/>
        <v>1</v>
      </c>
      <c r="Z5" s="12">
        <f t="shared" si="13"/>
        <v>0.28027681660899645</v>
      </c>
      <c r="AA5" s="3">
        <v>10</v>
      </c>
      <c r="AB5" s="5">
        <v>10</v>
      </c>
      <c r="AC5" s="12">
        <f t="shared" si="14"/>
        <v>1</v>
      </c>
      <c r="AD5" s="12">
        <f t="shared" si="15"/>
        <v>2.1626297577854676</v>
      </c>
      <c r="AE5" s="3">
        <v>8</v>
      </c>
      <c r="AF5" s="5">
        <v>8</v>
      </c>
      <c r="AG5" s="12">
        <f t="shared" si="16"/>
        <v>1</v>
      </c>
      <c r="AH5" s="12">
        <f t="shared" si="17"/>
        <v>0.28027681660899645</v>
      </c>
      <c r="AI5" s="3">
        <v>9</v>
      </c>
      <c r="AJ5" s="5">
        <v>9</v>
      </c>
      <c r="AK5" s="12">
        <f t="shared" si="18"/>
        <v>1</v>
      </c>
      <c r="AL5" s="12">
        <f t="shared" si="19"/>
        <v>0.22145328719723192</v>
      </c>
      <c r="AM5" s="3">
        <v>9</v>
      </c>
      <c r="AN5" s="5">
        <v>9</v>
      </c>
      <c r="AO5" s="12">
        <f t="shared" ref="AO5:AO14" si="40">AN5/AM5</f>
        <v>1</v>
      </c>
      <c r="AP5" s="12">
        <f t="shared" si="20"/>
        <v>0.22145328719723192</v>
      </c>
      <c r="AQ5" s="3">
        <v>9</v>
      </c>
      <c r="AR5" s="5">
        <v>9</v>
      </c>
      <c r="AS5" s="12">
        <f t="shared" si="21"/>
        <v>1</v>
      </c>
      <c r="AT5" s="12">
        <f t="shared" si="22"/>
        <v>0.22145328719723192</v>
      </c>
      <c r="AU5" s="3">
        <v>8</v>
      </c>
      <c r="AV5" s="5">
        <v>8</v>
      </c>
      <c r="AW5" s="12">
        <f t="shared" si="23"/>
        <v>1</v>
      </c>
      <c r="AX5" s="12">
        <f t="shared" si="24"/>
        <v>0.28027681660899645</v>
      </c>
      <c r="AY5" s="3">
        <v>9</v>
      </c>
      <c r="AZ5" s="5">
        <v>9</v>
      </c>
      <c r="BA5" s="12">
        <f t="shared" si="25"/>
        <v>1</v>
      </c>
      <c r="BB5" s="12">
        <f t="shared" si="26"/>
        <v>0.22145328719723192</v>
      </c>
      <c r="BC5" s="3">
        <v>10</v>
      </c>
      <c r="BD5" s="5">
        <v>10</v>
      </c>
      <c r="BE5" s="12">
        <f t="shared" si="27"/>
        <v>1</v>
      </c>
      <c r="BF5" s="12">
        <f t="shared" si="28"/>
        <v>2.1626297577854676</v>
      </c>
      <c r="BG5" s="3">
        <v>10</v>
      </c>
      <c r="BH5" s="5">
        <v>10</v>
      </c>
      <c r="BI5" s="12">
        <f t="shared" si="29"/>
        <v>1</v>
      </c>
      <c r="BJ5" s="12">
        <f t="shared" si="30"/>
        <v>2.1626297577854676</v>
      </c>
      <c r="BK5" s="3">
        <v>9</v>
      </c>
      <c r="BL5" s="5">
        <v>9</v>
      </c>
      <c r="BM5" s="12">
        <f t="shared" si="31"/>
        <v>1</v>
      </c>
      <c r="BN5" s="12">
        <f t="shared" si="32"/>
        <v>0.22145328719723192</v>
      </c>
      <c r="BO5" s="3">
        <v>8</v>
      </c>
      <c r="BP5" s="5">
        <v>8</v>
      </c>
      <c r="BQ5" s="12">
        <f t="shared" si="33"/>
        <v>1</v>
      </c>
      <c r="BR5" s="12">
        <f t="shared" si="34"/>
        <v>0.28027681660899645</v>
      </c>
      <c r="BS5" s="3"/>
      <c r="BT5" s="5"/>
      <c r="BU5" s="12"/>
      <c r="BV5" s="12"/>
      <c r="BW5" s="3"/>
      <c r="BX5" s="5"/>
      <c r="BY5" s="12"/>
      <c r="BZ5" s="12"/>
      <c r="CA5" s="3"/>
      <c r="CB5" s="5"/>
      <c r="CC5" s="12"/>
      <c r="CD5" s="12"/>
      <c r="CE5" s="3"/>
      <c r="CF5" s="5"/>
      <c r="CG5" s="12"/>
      <c r="CH5" s="12"/>
      <c r="CI5" s="3"/>
      <c r="CJ5" s="5"/>
      <c r="CK5" s="12"/>
      <c r="CL5" s="12"/>
      <c r="CM5" s="3"/>
      <c r="CN5" s="5"/>
      <c r="CO5" s="12"/>
      <c r="CP5" s="12"/>
      <c r="CQ5" s="3"/>
      <c r="CR5" s="5"/>
      <c r="CS5" s="12"/>
      <c r="CT5" s="12"/>
      <c r="CU5" s="3"/>
      <c r="CV5" s="5"/>
      <c r="CW5" s="12"/>
      <c r="CX5" s="12"/>
      <c r="CY5" s="3"/>
      <c r="CZ5" s="5"/>
      <c r="DA5" s="12"/>
      <c r="DB5" s="12"/>
      <c r="DC5" s="3"/>
      <c r="DD5" s="5"/>
      <c r="DE5" s="12"/>
      <c r="DF5" s="12"/>
      <c r="DG5" s="3"/>
      <c r="DH5" s="5"/>
      <c r="DI5" s="12"/>
      <c r="DJ5" s="12"/>
      <c r="DK5" s="3"/>
      <c r="DL5" s="5"/>
      <c r="DM5" s="12"/>
      <c r="DN5" s="12"/>
      <c r="DO5" s="3"/>
      <c r="DP5" s="5"/>
      <c r="DQ5" s="12"/>
      <c r="DR5" s="12"/>
      <c r="DS5" s="3"/>
      <c r="DT5" s="5"/>
      <c r="DU5" s="12"/>
      <c r="DV5" s="12"/>
      <c r="DW5" s="3"/>
      <c r="DX5" s="5"/>
      <c r="DY5" s="12"/>
      <c r="DZ5" s="12"/>
      <c r="EA5" s="3"/>
      <c r="EB5" s="5"/>
      <c r="EC5" s="12"/>
      <c r="ED5" s="12"/>
      <c r="EE5" s="3"/>
      <c r="EF5" s="5"/>
      <c r="EG5" s="12"/>
      <c r="EH5" s="12"/>
      <c r="EI5" s="3"/>
      <c r="EJ5" s="5"/>
      <c r="EK5" s="12"/>
      <c r="EL5" s="12"/>
      <c r="EM5" s="3"/>
      <c r="EN5" s="5"/>
      <c r="EO5" s="12"/>
      <c r="EP5" s="12"/>
      <c r="EQ5" s="3"/>
      <c r="ER5" s="5"/>
      <c r="ES5" s="12"/>
      <c r="ET5" s="12"/>
      <c r="EU5" s="3"/>
      <c r="EV5" s="5"/>
      <c r="EW5" s="12"/>
      <c r="EX5" s="12"/>
      <c r="EY5" s="3"/>
      <c r="EZ5" s="5"/>
      <c r="FA5" s="12"/>
      <c r="FB5" s="12"/>
      <c r="FC5" s="3"/>
      <c r="FD5" s="5"/>
      <c r="FE5" s="12"/>
      <c r="FF5" s="12"/>
      <c r="FG5" s="3"/>
      <c r="FH5" s="5"/>
      <c r="FI5" s="12"/>
      <c r="FJ5" s="12"/>
      <c r="FK5" s="4">
        <f t="shared" si="2"/>
        <v>17</v>
      </c>
      <c r="FL5" s="15">
        <f t="shared" si="35"/>
        <v>99.019607843137251</v>
      </c>
      <c r="FM5" s="15">
        <f t="shared" si="3"/>
        <v>8.5294117647058822</v>
      </c>
      <c r="FN5" s="15">
        <f t="shared" si="36"/>
        <v>1.143660123248446</v>
      </c>
      <c r="FO5" s="16">
        <f t="shared" si="37"/>
        <v>99.019607843137251</v>
      </c>
      <c r="FP5" s="17" t="s">
        <v>3</v>
      </c>
      <c r="FQ5" s="24">
        <f t="shared" si="38"/>
        <v>1.143660123248446</v>
      </c>
      <c r="FR5" s="4" t="str">
        <f t="shared" si="39"/>
        <v>отлично</v>
      </c>
    </row>
    <row r="6" spans="1:174" ht="30.75" customHeight="1" thickBot="1" x14ac:dyDescent="0.3">
      <c r="A6" s="21">
        <v>4</v>
      </c>
      <c r="B6" s="31" t="s">
        <v>10</v>
      </c>
      <c r="C6" s="3">
        <v>7</v>
      </c>
      <c r="D6" s="3">
        <v>7</v>
      </c>
      <c r="E6" s="8">
        <f t="shared" si="4"/>
        <v>1</v>
      </c>
      <c r="F6" s="12">
        <f t="shared" si="5"/>
        <v>2.9100346020761219</v>
      </c>
      <c r="G6" s="3">
        <v>8</v>
      </c>
      <c r="H6" s="3">
        <v>8</v>
      </c>
      <c r="I6" s="12">
        <f t="shared" si="0"/>
        <v>1</v>
      </c>
      <c r="J6" s="12">
        <f t="shared" si="1"/>
        <v>0.4982698961937706</v>
      </c>
      <c r="K6" s="3">
        <v>8</v>
      </c>
      <c r="L6" s="5">
        <v>8</v>
      </c>
      <c r="M6" s="12">
        <f t="shared" si="6"/>
        <v>1</v>
      </c>
      <c r="N6" s="12">
        <f t="shared" si="7"/>
        <v>0.4982698961937706</v>
      </c>
      <c r="O6" s="3">
        <v>9</v>
      </c>
      <c r="P6" s="5">
        <v>9</v>
      </c>
      <c r="Q6" s="12">
        <f t="shared" si="8"/>
        <v>1</v>
      </c>
      <c r="R6" s="12">
        <f t="shared" si="9"/>
        <v>8.6505190311419122E-2</v>
      </c>
      <c r="S6" s="3">
        <v>8</v>
      </c>
      <c r="T6" s="26">
        <v>8</v>
      </c>
      <c r="U6" s="12">
        <f t="shared" si="10"/>
        <v>1</v>
      </c>
      <c r="V6" s="12">
        <f t="shared" si="11"/>
        <v>0.4982698961937706</v>
      </c>
      <c r="W6" s="3">
        <v>8</v>
      </c>
      <c r="X6" s="3">
        <v>8</v>
      </c>
      <c r="Y6" s="12">
        <f t="shared" si="12"/>
        <v>1</v>
      </c>
      <c r="Z6" s="12">
        <f t="shared" si="13"/>
        <v>0.4982698961937706</v>
      </c>
      <c r="AA6" s="3">
        <v>9</v>
      </c>
      <c r="AB6" s="5">
        <v>9</v>
      </c>
      <c r="AC6" s="12">
        <f t="shared" si="14"/>
        <v>1</v>
      </c>
      <c r="AD6" s="12">
        <f t="shared" si="15"/>
        <v>8.6505190311419122E-2</v>
      </c>
      <c r="AE6" s="3">
        <v>8</v>
      </c>
      <c r="AF6" s="5">
        <v>8</v>
      </c>
      <c r="AG6" s="12">
        <f t="shared" si="16"/>
        <v>1</v>
      </c>
      <c r="AH6" s="12">
        <f t="shared" si="17"/>
        <v>0.4982698961937706</v>
      </c>
      <c r="AI6" s="3">
        <v>9</v>
      </c>
      <c r="AJ6" s="5">
        <v>9</v>
      </c>
      <c r="AK6" s="12">
        <f t="shared" si="18"/>
        <v>1</v>
      </c>
      <c r="AL6" s="12">
        <f t="shared" si="19"/>
        <v>8.6505190311419122E-2</v>
      </c>
      <c r="AM6" s="3">
        <v>9</v>
      </c>
      <c r="AN6" s="5">
        <v>9</v>
      </c>
      <c r="AO6" s="12">
        <f t="shared" si="40"/>
        <v>1</v>
      </c>
      <c r="AP6" s="12">
        <f t="shared" si="20"/>
        <v>8.6505190311419122E-2</v>
      </c>
      <c r="AQ6" s="3">
        <v>10</v>
      </c>
      <c r="AR6" s="5">
        <v>10</v>
      </c>
      <c r="AS6" s="12">
        <f t="shared" si="21"/>
        <v>1</v>
      </c>
      <c r="AT6" s="12">
        <f t="shared" si="22"/>
        <v>1.6747404844290676</v>
      </c>
      <c r="AU6" s="3">
        <v>8</v>
      </c>
      <c r="AV6" s="5">
        <v>8</v>
      </c>
      <c r="AW6" s="12">
        <f t="shared" si="23"/>
        <v>1</v>
      </c>
      <c r="AX6" s="12">
        <f t="shared" si="24"/>
        <v>0.4982698961937706</v>
      </c>
      <c r="AY6" s="3">
        <v>10</v>
      </c>
      <c r="AZ6" s="5">
        <v>10</v>
      </c>
      <c r="BA6" s="12">
        <f t="shared" si="25"/>
        <v>1</v>
      </c>
      <c r="BB6" s="12">
        <f t="shared" si="26"/>
        <v>1.6747404844290676</v>
      </c>
      <c r="BC6" s="3">
        <v>10</v>
      </c>
      <c r="BD6" s="5">
        <v>10</v>
      </c>
      <c r="BE6" s="12">
        <f t="shared" si="27"/>
        <v>1</v>
      </c>
      <c r="BF6" s="12">
        <f t="shared" si="28"/>
        <v>1.6747404844290676</v>
      </c>
      <c r="BG6" s="3">
        <v>10</v>
      </c>
      <c r="BH6" s="5">
        <v>10</v>
      </c>
      <c r="BI6" s="12">
        <f t="shared" si="29"/>
        <v>1</v>
      </c>
      <c r="BJ6" s="12">
        <f t="shared" si="30"/>
        <v>1.6747404844290676</v>
      </c>
      <c r="BK6" s="3">
        <v>9</v>
      </c>
      <c r="BL6" s="5">
        <v>9</v>
      </c>
      <c r="BM6" s="12">
        <f t="shared" si="31"/>
        <v>1</v>
      </c>
      <c r="BN6" s="12">
        <f t="shared" si="32"/>
        <v>8.6505190311419122E-2</v>
      </c>
      <c r="BO6" s="3">
        <v>8</v>
      </c>
      <c r="BP6" s="5">
        <v>8</v>
      </c>
      <c r="BQ6" s="12">
        <f t="shared" si="33"/>
        <v>1</v>
      </c>
      <c r="BR6" s="12">
        <f t="shared" si="34"/>
        <v>0.4982698961937706</v>
      </c>
      <c r="BS6" s="3"/>
      <c r="BT6" s="5"/>
      <c r="BU6" s="12"/>
      <c r="BV6" s="12"/>
      <c r="BW6" s="3"/>
      <c r="BX6" s="5"/>
      <c r="BY6" s="12"/>
      <c r="BZ6" s="12"/>
      <c r="CA6" s="3"/>
      <c r="CB6" s="5"/>
      <c r="CC6" s="12"/>
      <c r="CD6" s="12"/>
      <c r="CE6" s="3"/>
      <c r="CF6" s="5"/>
      <c r="CG6" s="12"/>
      <c r="CH6" s="12"/>
      <c r="CI6" s="3"/>
      <c r="CJ6" s="5"/>
      <c r="CK6" s="12"/>
      <c r="CL6" s="12"/>
      <c r="CM6" s="3"/>
      <c r="CN6" s="5"/>
      <c r="CO6" s="12"/>
      <c r="CP6" s="12"/>
      <c r="CQ6" s="3"/>
      <c r="CR6" s="5"/>
      <c r="CS6" s="12"/>
      <c r="CT6" s="12"/>
      <c r="CU6" s="3"/>
      <c r="CV6" s="5"/>
      <c r="CW6" s="12"/>
      <c r="CX6" s="12"/>
      <c r="CY6" s="3"/>
      <c r="CZ6" s="5"/>
      <c r="DA6" s="12"/>
      <c r="DB6" s="12"/>
      <c r="DC6" s="3"/>
      <c r="DD6" s="5"/>
      <c r="DE6" s="12"/>
      <c r="DF6" s="12"/>
      <c r="DG6" s="3"/>
      <c r="DH6" s="5"/>
      <c r="DI6" s="12"/>
      <c r="DJ6" s="12"/>
      <c r="DK6" s="3"/>
      <c r="DL6" s="5"/>
      <c r="DM6" s="12"/>
      <c r="DN6" s="12"/>
      <c r="DO6" s="3"/>
      <c r="DP6" s="5"/>
      <c r="DQ6" s="12"/>
      <c r="DR6" s="12"/>
      <c r="DS6" s="3"/>
      <c r="DT6" s="5"/>
      <c r="DU6" s="12"/>
      <c r="DV6" s="12"/>
      <c r="DW6" s="3"/>
      <c r="DX6" s="5"/>
      <c r="DY6" s="12"/>
      <c r="DZ6" s="12"/>
      <c r="EA6" s="3"/>
      <c r="EB6" s="5"/>
      <c r="EC6" s="12"/>
      <c r="ED6" s="12"/>
      <c r="EE6" s="3"/>
      <c r="EF6" s="5"/>
      <c r="EG6" s="12"/>
      <c r="EH6" s="12"/>
      <c r="EI6" s="3"/>
      <c r="EJ6" s="5"/>
      <c r="EK6" s="12"/>
      <c r="EL6" s="12"/>
      <c r="EM6" s="3"/>
      <c r="EN6" s="5"/>
      <c r="EO6" s="12"/>
      <c r="EP6" s="12"/>
      <c r="EQ6" s="3"/>
      <c r="ER6" s="5"/>
      <c r="ES6" s="12"/>
      <c r="ET6" s="12"/>
      <c r="EU6" s="3"/>
      <c r="EV6" s="5"/>
      <c r="EW6" s="12"/>
      <c r="EX6" s="12"/>
      <c r="EY6" s="3"/>
      <c r="EZ6" s="5"/>
      <c r="FA6" s="12"/>
      <c r="FB6" s="12"/>
      <c r="FC6" s="3"/>
      <c r="FD6" s="5"/>
      <c r="FE6" s="12"/>
      <c r="FF6" s="12"/>
      <c r="FG6" s="3"/>
      <c r="FH6" s="5"/>
      <c r="FI6" s="12"/>
      <c r="FJ6" s="12"/>
      <c r="FK6" s="4">
        <f t="shared" si="2"/>
        <v>17</v>
      </c>
      <c r="FL6" s="15">
        <f>(E6+I6+M6+Q6+U6+Y6+AC6+AG6+AK6+AO6+AS6+AW6+BA6+BE6+BI6+BM6+BQ6+BU6+BY6+CC6+CG6+CK6+CO6+CS6+CW6+DA6+DE6+DI6+DM6+DQ6+DU6+DY6+EC6+EG6+EK6+EO6+ES6+EW6+FA6+FE6+FI6)*100/FK6</f>
        <v>100</v>
      </c>
      <c r="FM6" s="15">
        <f t="shared" si="3"/>
        <v>8.7058823529411757</v>
      </c>
      <c r="FN6" s="15">
        <f t="shared" si="36"/>
        <v>0.89210299341782939</v>
      </c>
      <c r="FO6" s="16">
        <f>FL6</f>
        <v>100</v>
      </c>
      <c r="FP6" s="17" t="s">
        <v>3</v>
      </c>
      <c r="FQ6" s="24">
        <f t="shared" si="38"/>
        <v>0.89210299341782939</v>
      </c>
      <c r="FR6" s="4" t="str">
        <f t="shared" si="39"/>
        <v>отлично</v>
      </c>
    </row>
    <row r="7" spans="1:174" ht="54" customHeight="1" thickBot="1" x14ac:dyDescent="0.3">
      <c r="A7" s="21">
        <v>5</v>
      </c>
      <c r="B7" s="31" t="s">
        <v>11</v>
      </c>
      <c r="C7" s="3">
        <v>8</v>
      </c>
      <c r="D7" s="3">
        <v>8</v>
      </c>
      <c r="E7" s="8">
        <f t="shared" si="4"/>
        <v>1</v>
      </c>
      <c r="F7" s="12">
        <f t="shared" si="5"/>
        <v>0.58477508650519161</v>
      </c>
      <c r="G7" s="3">
        <v>9</v>
      </c>
      <c r="H7" s="3">
        <v>8</v>
      </c>
      <c r="I7" s="12">
        <f t="shared" si="0"/>
        <v>0.88888888888888884</v>
      </c>
      <c r="J7" s="12">
        <f t="shared" si="1"/>
        <v>0.58477508650519161</v>
      </c>
      <c r="K7" s="3">
        <v>10</v>
      </c>
      <c r="L7" s="5">
        <v>10</v>
      </c>
      <c r="M7" s="12">
        <f t="shared" si="6"/>
        <v>1</v>
      </c>
      <c r="N7" s="12">
        <f t="shared" si="7"/>
        <v>1.5259515570934234</v>
      </c>
      <c r="O7" s="3">
        <v>9</v>
      </c>
      <c r="P7" s="5">
        <v>8</v>
      </c>
      <c r="Q7" s="12">
        <f t="shared" si="8"/>
        <v>0.88888888888888884</v>
      </c>
      <c r="R7" s="12">
        <f t="shared" si="9"/>
        <v>0.58477508650519161</v>
      </c>
      <c r="S7" s="3">
        <v>5</v>
      </c>
      <c r="T7" s="26">
        <v>5</v>
      </c>
      <c r="U7" s="12">
        <f t="shared" si="10"/>
        <v>1</v>
      </c>
      <c r="V7" s="12">
        <f t="shared" si="11"/>
        <v>14.173010380622843</v>
      </c>
      <c r="W7" s="3">
        <v>8</v>
      </c>
      <c r="X7" s="3">
        <v>8</v>
      </c>
      <c r="Y7" s="12">
        <f t="shared" si="12"/>
        <v>1</v>
      </c>
      <c r="Z7" s="12">
        <f t="shared" si="13"/>
        <v>0.58477508650519161</v>
      </c>
      <c r="AA7" s="3">
        <v>10</v>
      </c>
      <c r="AB7" s="5">
        <v>10</v>
      </c>
      <c r="AC7" s="12">
        <f t="shared" si="14"/>
        <v>1</v>
      </c>
      <c r="AD7" s="12">
        <f t="shared" si="15"/>
        <v>1.5259515570934234</v>
      </c>
      <c r="AE7" s="3">
        <v>9</v>
      </c>
      <c r="AF7" s="5">
        <v>9</v>
      </c>
      <c r="AG7" s="12">
        <f t="shared" si="16"/>
        <v>1</v>
      </c>
      <c r="AH7" s="12">
        <f t="shared" si="17"/>
        <v>5.5363321799307565E-2</v>
      </c>
      <c r="AI7" s="3">
        <v>9</v>
      </c>
      <c r="AJ7" s="5">
        <v>9</v>
      </c>
      <c r="AK7" s="12">
        <f t="shared" si="18"/>
        <v>1</v>
      </c>
      <c r="AL7" s="12">
        <f t="shared" si="19"/>
        <v>5.5363321799307565E-2</v>
      </c>
      <c r="AM7" s="3">
        <v>10</v>
      </c>
      <c r="AN7" s="5">
        <v>10</v>
      </c>
      <c r="AO7" s="12">
        <f t="shared" si="40"/>
        <v>1</v>
      </c>
      <c r="AP7" s="12">
        <f t="shared" si="20"/>
        <v>1.5259515570934234</v>
      </c>
      <c r="AQ7" s="3">
        <v>10</v>
      </c>
      <c r="AR7" s="5">
        <v>10</v>
      </c>
      <c r="AS7" s="12">
        <f t="shared" si="21"/>
        <v>1</v>
      </c>
      <c r="AT7" s="12">
        <f t="shared" si="22"/>
        <v>1.5259515570934234</v>
      </c>
      <c r="AU7" s="3">
        <v>9</v>
      </c>
      <c r="AV7" s="5">
        <v>9</v>
      </c>
      <c r="AW7" s="12">
        <f t="shared" si="23"/>
        <v>1</v>
      </c>
      <c r="AX7" s="12">
        <f t="shared" si="24"/>
        <v>5.5363321799307565E-2</v>
      </c>
      <c r="AY7" s="3">
        <v>9</v>
      </c>
      <c r="AZ7" s="5">
        <v>9</v>
      </c>
      <c r="BA7" s="12">
        <f t="shared" si="25"/>
        <v>1</v>
      </c>
      <c r="BB7" s="12">
        <f>POWER(AZ7-$FM7,2)</f>
        <v>5.5363321799307565E-2</v>
      </c>
      <c r="BC7" s="3">
        <v>9</v>
      </c>
      <c r="BD7" s="5">
        <v>9</v>
      </c>
      <c r="BE7" s="12">
        <f t="shared" si="27"/>
        <v>1</v>
      </c>
      <c r="BF7" s="12">
        <f t="shared" si="28"/>
        <v>5.5363321799307565E-2</v>
      </c>
      <c r="BG7" s="3">
        <v>10</v>
      </c>
      <c r="BH7" s="5">
        <v>10</v>
      </c>
      <c r="BI7" s="12">
        <f t="shared" si="29"/>
        <v>1</v>
      </c>
      <c r="BJ7" s="12">
        <f t="shared" si="30"/>
        <v>1.5259515570934234</v>
      </c>
      <c r="BK7" s="3">
        <v>9</v>
      </c>
      <c r="BL7" s="5">
        <v>9</v>
      </c>
      <c r="BM7" s="12">
        <f t="shared" si="31"/>
        <v>1</v>
      </c>
      <c r="BN7" s="12">
        <f t="shared" si="32"/>
        <v>5.5363321799307565E-2</v>
      </c>
      <c r="BO7" s="3">
        <v>8</v>
      </c>
      <c r="BP7" s="5">
        <v>8</v>
      </c>
      <c r="BQ7" s="12">
        <f t="shared" si="33"/>
        <v>1</v>
      </c>
      <c r="BR7" s="12">
        <f t="shared" si="34"/>
        <v>0.58477508650519161</v>
      </c>
      <c r="BS7" s="3"/>
      <c r="BT7" s="5"/>
      <c r="BU7" s="12"/>
      <c r="BV7" s="12"/>
      <c r="BW7" s="3"/>
      <c r="BX7" s="5"/>
      <c r="BY7" s="12"/>
      <c r="BZ7" s="12"/>
      <c r="CA7" s="3"/>
      <c r="CB7" s="5"/>
      <c r="CC7" s="12"/>
      <c r="CD7" s="12"/>
      <c r="CE7" s="3"/>
      <c r="CF7" s="5"/>
      <c r="CG7" s="12"/>
      <c r="CH7" s="12"/>
      <c r="CI7" s="3"/>
      <c r="CJ7" s="5"/>
      <c r="CK7" s="12"/>
      <c r="CL7" s="12"/>
      <c r="CM7" s="3"/>
      <c r="CN7" s="5"/>
      <c r="CO7" s="12"/>
      <c r="CP7" s="12"/>
      <c r="CQ7" s="3"/>
      <c r="CR7" s="5"/>
      <c r="CS7" s="12"/>
      <c r="CT7" s="12"/>
      <c r="CU7" s="3"/>
      <c r="CV7" s="5"/>
      <c r="CW7" s="12"/>
      <c r="CX7" s="12"/>
      <c r="CY7" s="3"/>
      <c r="CZ7" s="5"/>
      <c r="DA7" s="12"/>
      <c r="DB7" s="12"/>
      <c r="DC7" s="3"/>
      <c r="DD7" s="5"/>
      <c r="DE7" s="12"/>
      <c r="DF7" s="12"/>
      <c r="DG7" s="3"/>
      <c r="DH7" s="5"/>
      <c r="DI7" s="12"/>
      <c r="DJ7" s="12"/>
      <c r="DK7" s="5"/>
      <c r="DL7" s="50"/>
      <c r="DM7" s="12"/>
      <c r="DN7" s="12"/>
      <c r="DO7" s="3"/>
      <c r="DP7" s="5"/>
      <c r="DQ7" s="12"/>
      <c r="DR7" s="12"/>
      <c r="DS7" s="3"/>
      <c r="DT7" s="5"/>
      <c r="DU7" s="12"/>
      <c r="DV7" s="12"/>
      <c r="DW7" s="3"/>
      <c r="DX7" s="5"/>
      <c r="DY7" s="12"/>
      <c r="DZ7" s="12"/>
      <c r="EA7" s="3"/>
      <c r="EB7" s="5"/>
      <c r="EC7" s="12"/>
      <c r="ED7" s="12"/>
      <c r="EE7" s="3"/>
      <c r="EF7" s="5"/>
      <c r="EG7" s="12"/>
      <c r="EH7" s="12"/>
      <c r="EI7" s="3"/>
      <c r="EJ7" s="5"/>
      <c r="EK7" s="12"/>
      <c r="EL7" s="12"/>
      <c r="EM7" s="3"/>
      <c r="EN7" s="5"/>
      <c r="EO7" s="12"/>
      <c r="EP7" s="12"/>
      <c r="EQ7" s="3"/>
      <c r="ER7" s="5"/>
      <c r="ES7" s="12"/>
      <c r="ET7" s="12"/>
      <c r="EU7" s="3"/>
      <c r="EV7" s="5"/>
      <c r="EW7" s="12"/>
      <c r="EX7" s="12"/>
      <c r="EY7" s="3"/>
      <c r="EZ7" s="5"/>
      <c r="FA7" s="12"/>
      <c r="FB7" s="12"/>
      <c r="FC7" s="3"/>
      <c r="FD7" s="5"/>
      <c r="FE7" s="12"/>
      <c r="FF7" s="12"/>
      <c r="FG7" s="3"/>
      <c r="FH7" s="5"/>
      <c r="FI7" s="12"/>
      <c r="FJ7" s="12"/>
      <c r="FK7" s="4">
        <f t="shared" si="2"/>
        <v>17</v>
      </c>
      <c r="FL7" s="15">
        <f t="shared" si="35"/>
        <v>98.692810457516345</v>
      </c>
      <c r="FM7" s="15">
        <f t="shared" si="3"/>
        <v>8.764705882352942</v>
      </c>
      <c r="FN7" s="15">
        <f t="shared" si="36"/>
        <v>1.2141039670911939</v>
      </c>
      <c r="FO7" s="16">
        <f t="shared" si="37"/>
        <v>98.692810457516345</v>
      </c>
      <c r="FP7" s="17" t="s">
        <v>3</v>
      </c>
      <c r="FQ7" s="24">
        <f t="shared" si="38"/>
        <v>1.2141039670911939</v>
      </c>
      <c r="FR7" s="4" t="str">
        <f t="shared" si="39"/>
        <v>отлично</v>
      </c>
    </row>
    <row r="8" spans="1:174" ht="48.75" customHeight="1" thickBot="1" x14ac:dyDescent="0.3">
      <c r="A8" s="21">
        <v>6</v>
      </c>
      <c r="B8" s="31" t="s">
        <v>12</v>
      </c>
      <c r="C8" s="3">
        <v>6</v>
      </c>
      <c r="D8" s="3">
        <v>6</v>
      </c>
      <c r="E8" s="8">
        <f t="shared" si="4"/>
        <v>1</v>
      </c>
      <c r="F8" s="12">
        <f t="shared" si="5"/>
        <v>7.0069204152249105</v>
      </c>
      <c r="G8" s="3">
        <v>8</v>
      </c>
      <c r="H8" s="3">
        <v>8</v>
      </c>
      <c r="I8" s="12">
        <f t="shared" si="0"/>
        <v>1</v>
      </c>
      <c r="J8" s="12">
        <f t="shared" si="1"/>
        <v>0.41868512110726575</v>
      </c>
      <c r="K8" s="3">
        <v>8</v>
      </c>
      <c r="L8" s="5">
        <v>8</v>
      </c>
      <c r="M8" s="12">
        <f t="shared" si="6"/>
        <v>1</v>
      </c>
      <c r="N8" s="12">
        <f t="shared" si="7"/>
        <v>0.41868512110726575</v>
      </c>
      <c r="O8" s="3">
        <v>8</v>
      </c>
      <c r="P8" s="5">
        <v>8</v>
      </c>
      <c r="Q8" s="12">
        <f t="shared" si="8"/>
        <v>1</v>
      </c>
      <c r="R8" s="12">
        <f t="shared" si="9"/>
        <v>0.41868512110726575</v>
      </c>
      <c r="S8" s="3">
        <v>9</v>
      </c>
      <c r="T8" s="26">
        <v>9</v>
      </c>
      <c r="U8" s="12">
        <f t="shared" si="10"/>
        <v>1</v>
      </c>
      <c r="V8" s="12">
        <f t="shared" si="11"/>
        <v>0.12456747404844327</v>
      </c>
      <c r="W8" s="3">
        <v>8</v>
      </c>
      <c r="X8" s="3">
        <v>8</v>
      </c>
      <c r="Y8" s="12">
        <f t="shared" si="12"/>
        <v>1</v>
      </c>
      <c r="Z8" s="12">
        <f t="shared" si="13"/>
        <v>0.41868512110726575</v>
      </c>
      <c r="AA8" s="3">
        <v>10</v>
      </c>
      <c r="AB8" s="5">
        <v>10</v>
      </c>
      <c r="AC8" s="12">
        <f t="shared" si="14"/>
        <v>1</v>
      </c>
      <c r="AD8" s="12">
        <f t="shared" si="15"/>
        <v>1.8304498269896208</v>
      </c>
      <c r="AE8" s="3">
        <v>7</v>
      </c>
      <c r="AF8" s="5">
        <v>7</v>
      </c>
      <c r="AG8" s="12">
        <f t="shared" si="16"/>
        <v>1</v>
      </c>
      <c r="AH8" s="12">
        <f t="shared" si="17"/>
        <v>2.7128027681660885</v>
      </c>
      <c r="AI8" s="3">
        <v>9</v>
      </c>
      <c r="AJ8" s="5">
        <v>9</v>
      </c>
      <c r="AK8" s="12">
        <f t="shared" si="18"/>
        <v>1</v>
      </c>
      <c r="AL8" s="12">
        <f t="shared" si="19"/>
        <v>0.12456747404844327</v>
      </c>
      <c r="AM8" s="3">
        <v>9</v>
      </c>
      <c r="AN8" s="5">
        <v>9</v>
      </c>
      <c r="AO8" s="12">
        <f t="shared" si="40"/>
        <v>1</v>
      </c>
      <c r="AP8" s="12">
        <f t="shared" si="20"/>
        <v>0.12456747404844327</v>
      </c>
      <c r="AQ8" s="3">
        <v>9</v>
      </c>
      <c r="AR8" s="5">
        <v>9</v>
      </c>
      <c r="AS8" s="12">
        <f t="shared" si="21"/>
        <v>1</v>
      </c>
      <c r="AT8" s="12">
        <f t="shared" si="22"/>
        <v>0.12456747404844327</v>
      </c>
      <c r="AU8" s="3">
        <v>10</v>
      </c>
      <c r="AV8" s="5">
        <v>10</v>
      </c>
      <c r="AW8" s="12">
        <f t="shared" si="23"/>
        <v>1</v>
      </c>
      <c r="AX8" s="12">
        <f t="shared" si="24"/>
        <v>1.8304498269896208</v>
      </c>
      <c r="AY8" s="3">
        <v>9</v>
      </c>
      <c r="AZ8" s="5">
        <v>9</v>
      </c>
      <c r="BA8" s="12">
        <f t="shared" si="25"/>
        <v>1</v>
      </c>
      <c r="BB8" s="12">
        <f t="shared" si="26"/>
        <v>0.12456747404844327</v>
      </c>
      <c r="BC8" s="3">
        <v>10</v>
      </c>
      <c r="BD8" s="5">
        <v>10</v>
      </c>
      <c r="BE8" s="12">
        <f t="shared" si="27"/>
        <v>1</v>
      </c>
      <c r="BF8" s="12">
        <f t="shared" si="28"/>
        <v>1.8304498269896208</v>
      </c>
      <c r="BG8" s="3">
        <v>10</v>
      </c>
      <c r="BH8" s="5">
        <v>10</v>
      </c>
      <c r="BI8" s="12">
        <f t="shared" si="29"/>
        <v>1</v>
      </c>
      <c r="BJ8" s="12">
        <f t="shared" si="30"/>
        <v>1.8304498269896208</v>
      </c>
      <c r="BK8" s="3">
        <v>9</v>
      </c>
      <c r="BL8" s="5">
        <v>9</v>
      </c>
      <c r="BM8" s="12">
        <f t="shared" si="31"/>
        <v>1</v>
      </c>
      <c r="BN8" s="12">
        <f t="shared" si="32"/>
        <v>0.12456747404844327</v>
      </c>
      <c r="BO8" s="3">
        <v>8</v>
      </c>
      <c r="BP8" s="5">
        <v>8</v>
      </c>
      <c r="BQ8" s="12">
        <f t="shared" si="33"/>
        <v>1</v>
      </c>
      <c r="BR8" s="12">
        <f t="shared" si="34"/>
        <v>0.41868512110726575</v>
      </c>
      <c r="BS8" s="3"/>
      <c r="BT8" s="5"/>
      <c r="BU8" s="12"/>
      <c r="BV8" s="12"/>
      <c r="BW8" s="3"/>
      <c r="BX8" s="5"/>
      <c r="BY8" s="12"/>
      <c r="BZ8" s="12"/>
      <c r="CA8" s="3"/>
      <c r="CB8" s="5"/>
      <c r="CC8" s="12"/>
      <c r="CD8" s="12"/>
      <c r="CE8" s="3"/>
      <c r="CF8" s="5"/>
      <c r="CG8" s="12"/>
      <c r="CH8" s="12"/>
      <c r="CI8" s="3"/>
      <c r="CJ8" s="5"/>
      <c r="CK8" s="12"/>
      <c r="CL8" s="12"/>
      <c r="CM8" s="3"/>
      <c r="CN8" s="5"/>
      <c r="CO8" s="12"/>
      <c r="CP8" s="12"/>
      <c r="CQ8" s="3"/>
      <c r="CR8" s="5"/>
      <c r="CS8" s="12"/>
      <c r="CT8" s="12"/>
      <c r="CU8" s="3"/>
      <c r="CV8" s="5"/>
      <c r="CW8" s="12"/>
      <c r="CX8" s="12"/>
      <c r="CY8" s="3"/>
      <c r="CZ8" s="5"/>
      <c r="DA8" s="12"/>
      <c r="DB8" s="12"/>
      <c r="DC8" s="3"/>
      <c r="DD8" s="5"/>
      <c r="DE8" s="12"/>
      <c r="DF8" s="12"/>
      <c r="DG8" s="3"/>
      <c r="DH8" s="5"/>
      <c r="DI8" s="12"/>
      <c r="DJ8" s="12"/>
      <c r="DK8" s="3"/>
      <c r="DL8" s="5"/>
      <c r="DM8" s="12"/>
      <c r="DN8" s="12"/>
      <c r="DO8" s="3"/>
      <c r="DP8" s="5"/>
      <c r="DQ8" s="12"/>
      <c r="DR8" s="12"/>
      <c r="DS8" s="3"/>
      <c r="DT8" s="5"/>
      <c r="DU8" s="12"/>
      <c r="DV8" s="12"/>
      <c r="DW8" s="3"/>
      <c r="DX8" s="5"/>
      <c r="DY8" s="12"/>
      <c r="DZ8" s="12"/>
      <c r="EA8" s="3"/>
      <c r="EB8" s="5"/>
      <c r="EC8" s="12"/>
      <c r="ED8" s="12"/>
      <c r="EE8" s="3"/>
      <c r="EF8" s="5"/>
      <c r="EG8" s="12"/>
      <c r="EH8" s="12"/>
      <c r="EI8" s="3"/>
      <c r="EJ8" s="5"/>
      <c r="EK8" s="12"/>
      <c r="EL8" s="12"/>
      <c r="EM8" s="3"/>
      <c r="EN8" s="5"/>
      <c r="EO8" s="12"/>
      <c r="EP8" s="12"/>
      <c r="EQ8" s="3"/>
      <c r="ER8" s="5"/>
      <c r="ES8" s="12"/>
      <c r="ET8" s="12"/>
      <c r="EU8" s="3"/>
      <c r="EV8" s="5"/>
      <c r="EW8" s="12"/>
      <c r="EX8" s="12"/>
      <c r="EY8" s="3"/>
      <c r="EZ8" s="5"/>
      <c r="FA8" s="12"/>
      <c r="FB8" s="12"/>
      <c r="FC8" s="3"/>
      <c r="FD8" s="5"/>
      <c r="FE8" s="12"/>
      <c r="FF8" s="12"/>
      <c r="FG8" s="3"/>
      <c r="FH8" s="5"/>
      <c r="FI8" s="12"/>
      <c r="FJ8" s="12"/>
      <c r="FK8" s="4">
        <f t="shared" si="2"/>
        <v>17</v>
      </c>
      <c r="FL8" s="15">
        <f>(E8+I8+M8+Q8+U8+Y8+AC8+AG8+AK8+AO8+AS8+AW8+BA8+BE8+BI8+BM8+BQ8+BU8+BY8+CC8+CG8+CK8+CO8+CS8+CW8+DA8+DE8+DI8+DM8+DQ8+DU8+DY8+EC8+EG8+EK8+EO8+ES8+EW8+FA8+FE8+FI8)*100/FK8</f>
        <v>100</v>
      </c>
      <c r="FM8" s="15">
        <f t="shared" si="3"/>
        <v>8.6470588235294112</v>
      </c>
      <c r="FN8" s="15">
        <f t="shared" si="36"/>
        <v>1.0814574300500139</v>
      </c>
      <c r="FO8" s="16">
        <f t="shared" si="37"/>
        <v>100</v>
      </c>
      <c r="FP8" s="17" t="s">
        <v>3</v>
      </c>
      <c r="FQ8" s="24">
        <f t="shared" si="38"/>
        <v>1.0814574300500139</v>
      </c>
      <c r="FR8" s="4" t="str">
        <f t="shared" si="39"/>
        <v>отлично</v>
      </c>
    </row>
    <row r="9" spans="1:174" ht="77.25" customHeight="1" thickBot="1" x14ac:dyDescent="0.3">
      <c r="A9" s="21">
        <v>7</v>
      </c>
      <c r="B9" s="31" t="s">
        <v>16</v>
      </c>
      <c r="C9" s="3">
        <v>7</v>
      </c>
      <c r="D9" s="3">
        <v>7</v>
      </c>
      <c r="E9" s="8">
        <f t="shared" si="4"/>
        <v>1</v>
      </c>
      <c r="F9" s="12">
        <f t="shared" si="5"/>
        <v>3.7681660899653986</v>
      </c>
      <c r="G9" s="3">
        <v>9</v>
      </c>
      <c r="H9" s="3">
        <v>9</v>
      </c>
      <c r="I9" s="12">
        <f t="shared" si="0"/>
        <v>1</v>
      </c>
      <c r="J9" s="12">
        <f t="shared" si="1"/>
        <v>3.4602076124567228E-3</v>
      </c>
      <c r="K9" s="3">
        <v>10</v>
      </c>
      <c r="L9" s="5">
        <v>10</v>
      </c>
      <c r="M9" s="12">
        <f t="shared" si="6"/>
        <v>1</v>
      </c>
      <c r="N9" s="12">
        <f t="shared" si="7"/>
        <v>1.1211072664359858</v>
      </c>
      <c r="O9" s="3">
        <v>9</v>
      </c>
      <c r="P9" s="5">
        <v>8</v>
      </c>
      <c r="Q9" s="12">
        <f t="shared" si="8"/>
        <v>0.88888888888888884</v>
      </c>
      <c r="R9" s="12">
        <f t="shared" si="9"/>
        <v>0.8858131487889277</v>
      </c>
      <c r="S9" s="3">
        <v>9</v>
      </c>
      <c r="T9" s="26">
        <v>9</v>
      </c>
      <c r="U9" s="12">
        <f t="shared" si="10"/>
        <v>1</v>
      </c>
      <c r="V9" s="12">
        <f t="shared" si="11"/>
        <v>3.4602076124567228E-3</v>
      </c>
      <c r="W9" s="3">
        <v>8</v>
      </c>
      <c r="X9" s="3">
        <v>8</v>
      </c>
      <c r="Y9" s="12">
        <f t="shared" si="12"/>
        <v>1</v>
      </c>
      <c r="Z9" s="12">
        <f t="shared" si="13"/>
        <v>0.8858131487889277</v>
      </c>
      <c r="AA9" s="3">
        <v>10</v>
      </c>
      <c r="AB9" s="5">
        <v>10</v>
      </c>
      <c r="AC9" s="12">
        <f t="shared" si="14"/>
        <v>1</v>
      </c>
      <c r="AD9" s="12">
        <f t="shared" si="15"/>
        <v>1.1211072664359858</v>
      </c>
      <c r="AE9" s="3">
        <v>8</v>
      </c>
      <c r="AF9" s="5">
        <v>8</v>
      </c>
      <c r="AG9" s="12">
        <f t="shared" si="16"/>
        <v>1</v>
      </c>
      <c r="AH9" s="12">
        <f t="shared" si="17"/>
        <v>0.8858131487889277</v>
      </c>
      <c r="AI9" s="3">
        <v>9</v>
      </c>
      <c r="AJ9" s="5">
        <v>9</v>
      </c>
      <c r="AK9" s="12">
        <f t="shared" si="18"/>
        <v>1</v>
      </c>
      <c r="AL9" s="12">
        <f t="shared" si="19"/>
        <v>3.4602076124567228E-3</v>
      </c>
      <c r="AM9" s="3">
        <v>10</v>
      </c>
      <c r="AN9" s="5">
        <v>10</v>
      </c>
      <c r="AO9" s="12">
        <f t="shared" si="40"/>
        <v>1</v>
      </c>
      <c r="AP9" s="12">
        <f t="shared" si="20"/>
        <v>1.1211072664359858</v>
      </c>
      <c r="AQ9" s="3">
        <v>10</v>
      </c>
      <c r="AR9" s="5">
        <v>10</v>
      </c>
      <c r="AS9" s="12">
        <f t="shared" si="21"/>
        <v>1</v>
      </c>
      <c r="AT9" s="12">
        <f t="shared" si="22"/>
        <v>1.1211072664359858</v>
      </c>
      <c r="AU9" s="3">
        <v>9</v>
      </c>
      <c r="AV9" s="5">
        <v>9</v>
      </c>
      <c r="AW9" s="12">
        <f t="shared" si="23"/>
        <v>1</v>
      </c>
      <c r="AX9" s="12">
        <f t="shared" si="24"/>
        <v>3.4602076124567228E-3</v>
      </c>
      <c r="AY9" s="3">
        <v>9</v>
      </c>
      <c r="AZ9" s="5">
        <v>9</v>
      </c>
      <c r="BA9" s="12">
        <f t="shared" si="25"/>
        <v>1</v>
      </c>
      <c r="BB9" s="12">
        <f t="shared" si="26"/>
        <v>3.4602076124567228E-3</v>
      </c>
      <c r="BC9" s="3">
        <v>9</v>
      </c>
      <c r="BD9" s="5">
        <v>9</v>
      </c>
      <c r="BE9" s="12">
        <f t="shared" si="27"/>
        <v>1</v>
      </c>
      <c r="BF9" s="12">
        <f t="shared" si="28"/>
        <v>3.4602076124567228E-3</v>
      </c>
      <c r="BG9" s="3">
        <v>10</v>
      </c>
      <c r="BH9" s="5">
        <v>10</v>
      </c>
      <c r="BI9" s="12">
        <f t="shared" si="29"/>
        <v>1</v>
      </c>
      <c r="BJ9" s="12">
        <f t="shared" si="30"/>
        <v>1.1211072664359858</v>
      </c>
      <c r="BK9" s="3">
        <v>9</v>
      </c>
      <c r="BL9" s="5">
        <v>9</v>
      </c>
      <c r="BM9" s="12">
        <f t="shared" si="31"/>
        <v>1</v>
      </c>
      <c r="BN9" s="12">
        <f t="shared" si="32"/>
        <v>3.4602076124567228E-3</v>
      </c>
      <c r="BO9" s="3">
        <v>8</v>
      </c>
      <c r="BP9" s="5">
        <v>8</v>
      </c>
      <c r="BQ9" s="12">
        <f t="shared" si="33"/>
        <v>1</v>
      </c>
      <c r="BR9" s="12">
        <f t="shared" si="34"/>
        <v>0.8858131487889277</v>
      </c>
      <c r="BS9" s="3"/>
      <c r="BT9" s="5"/>
      <c r="BU9" s="12"/>
      <c r="BV9" s="12"/>
      <c r="BW9" s="3"/>
      <c r="BX9" s="5"/>
      <c r="BY9" s="12"/>
      <c r="BZ9" s="12"/>
      <c r="CA9" s="3"/>
      <c r="CB9" s="5"/>
      <c r="CC9" s="12"/>
      <c r="CD9" s="12"/>
      <c r="CE9" s="3"/>
      <c r="CF9" s="5"/>
      <c r="CG9" s="12"/>
      <c r="CH9" s="12"/>
      <c r="CI9" s="3"/>
      <c r="CJ9" s="5"/>
      <c r="CK9" s="12"/>
      <c r="CL9" s="12"/>
      <c r="CM9" s="3"/>
      <c r="CN9" s="5"/>
      <c r="CO9" s="12"/>
      <c r="CP9" s="12"/>
      <c r="CQ9" s="3"/>
      <c r="CR9" s="5"/>
      <c r="CS9" s="12"/>
      <c r="CT9" s="12"/>
      <c r="CU9" s="3"/>
      <c r="CV9" s="5"/>
      <c r="CW9" s="12"/>
      <c r="CX9" s="12"/>
      <c r="CY9" s="3"/>
      <c r="CZ9" s="5"/>
      <c r="DA9" s="12"/>
      <c r="DB9" s="12"/>
      <c r="DC9" s="3"/>
      <c r="DD9" s="5"/>
      <c r="DE9" s="12"/>
      <c r="DF9" s="12"/>
      <c r="DG9" s="3"/>
      <c r="DH9" s="5"/>
      <c r="DI9" s="12"/>
      <c r="DJ9" s="12"/>
      <c r="DK9" s="3"/>
      <c r="DL9" s="5"/>
      <c r="DM9" s="12"/>
      <c r="DN9" s="12"/>
      <c r="DO9" s="3"/>
      <c r="DP9" s="5"/>
      <c r="DQ9" s="12"/>
      <c r="DR9" s="12"/>
      <c r="DS9" s="3"/>
      <c r="DT9" s="5"/>
      <c r="DU9" s="12"/>
      <c r="DV9" s="12"/>
      <c r="DW9" s="3"/>
      <c r="DX9" s="5"/>
      <c r="DY9" s="12"/>
      <c r="DZ9" s="12"/>
      <c r="EA9" s="3"/>
      <c r="EB9" s="5"/>
      <c r="EC9" s="12"/>
      <c r="ED9" s="12"/>
      <c r="EE9" s="3"/>
      <c r="EF9" s="5"/>
      <c r="EG9" s="12"/>
      <c r="EH9" s="12"/>
      <c r="EI9" s="3"/>
      <c r="EJ9" s="5"/>
      <c r="EK9" s="12"/>
      <c r="EL9" s="12"/>
      <c r="EM9" s="3"/>
      <c r="EN9" s="5"/>
      <c r="EO9" s="12"/>
      <c r="EP9" s="12"/>
      <c r="EQ9" s="3"/>
      <c r="ER9" s="5"/>
      <c r="ES9" s="12"/>
      <c r="ET9" s="12"/>
      <c r="EU9" s="3"/>
      <c r="EV9" s="5"/>
      <c r="EW9" s="12"/>
      <c r="EX9" s="12"/>
      <c r="EY9" s="3"/>
      <c r="EZ9" s="5"/>
      <c r="FA9" s="12"/>
      <c r="FB9" s="12"/>
      <c r="FC9" s="3"/>
      <c r="FD9" s="5"/>
      <c r="FE9" s="12"/>
      <c r="FF9" s="12"/>
      <c r="FG9" s="3"/>
      <c r="FH9" s="5"/>
      <c r="FI9" s="12"/>
      <c r="FJ9" s="12"/>
      <c r="FK9" s="4">
        <f t="shared" si="2"/>
        <v>17</v>
      </c>
      <c r="FL9" s="15">
        <f>(E9+I9+M9+Q9+U9+Y9+AC9+AG9+AK9+AO9+AS9+AW9+BA9+BE9+BI9+BM9+BQ9+BU9+BY9+CC9+CG9+CK9+CO9+CS9+CW9+DA9+DE9+DI9+DM9+DQ9+DU9+DY9+EC9+EG9+EK9+EO9+ES9+EW9+FA9+FE9+FI9)*100/FK9</f>
        <v>99.346405228758172</v>
      </c>
      <c r="FM9" s="15">
        <f t="shared" si="3"/>
        <v>8.9411764705882355</v>
      </c>
      <c r="FN9" s="15">
        <f t="shared" si="36"/>
        <v>0.87249393965831346</v>
      </c>
      <c r="FO9" s="16">
        <f t="shared" si="37"/>
        <v>99.346405228758172</v>
      </c>
      <c r="FP9" s="17" t="s">
        <v>3</v>
      </c>
      <c r="FQ9" s="24">
        <f t="shared" si="38"/>
        <v>0.87249393965831346</v>
      </c>
      <c r="FR9" s="4" t="str">
        <f t="shared" si="39"/>
        <v>отлично</v>
      </c>
    </row>
    <row r="10" spans="1:174" ht="85.5" customHeight="1" thickBot="1" x14ac:dyDescent="0.3">
      <c r="A10" s="21">
        <v>8</v>
      </c>
      <c r="B10" s="31" t="s">
        <v>17</v>
      </c>
      <c r="C10" s="3">
        <v>8</v>
      </c>
      <c r="D10" s="3">
        <v>8</v>
      </c>
      <c r="E10" s="8">
        <f t="shared" si="4"/>
        <v>1</v>
      </c>
      <c r="F10" s="12">
        <f t="shared" si="5"/>
        <v>5.5363321799307981E-2</v>
      </c>
      <c r="G10" s="3">
        <v>8</v>
      </c>
      <c r="H10" s="3">
        <v>9</v>
      </c>
      <c r="I10" s="12">
        <f t="shared" si="0"/>
        <v>1.125</v>
      </c>
      <c r="J10" s="12">
        <f t="shared" si="1"/>
        <v>1.5259515570934257</v>
      </c>
      <c r="K10" s="3">
        <v>10</v>
      </c>
      <c r="L10" s="5">
        <v>10</v>
      </c>
      <c r="M10" s="12">
        <f t="shared" si="6"/>
        <v>1</v>
      </c>
      <c r="N10" s="12">
        <f t="shared" si="7"/>
        <v>4.9965397923875434</v>
      </c>
      <c r="O10" s="3">
        <v>8</v>
      </c>
      <c r="P10" s="5">
        <v>8</v>
      </c>
      <c r="Q10" s="12">
        <f t="shared" si="8"/>
        <v>1</v>
      </c>
      <c r="R10" s="12">
        <f t="shared" si="9"/>
        <v>5.5363321799307981E-2</v>
      </c>
      <c r="S10" s="3">
        <v>9</v>
      </c>
      <c r="T10" s="26">
        <v>9</v>
      </c>
      <c r="U10" s="12">
        <f t="shared" si="10"/>
        <v>1</v>
      </c>
      <c r="V10" s="12">
        <f t="shared" si="11"/>
        <v>1.5259515570934257</v>
      </c>
      <c r="W10" s="3">
        <v>2</v>
      </c>
      <c r="X10" s="3">
        <v>2</v>
      </c>
      <c r="Y10" s="12">
        <f t="shared" si="12"/>
        <v>1</v>
      </c>
      <c r="Z10" s="12">
        <f t="shared" si="13"/>
        <v>33.231833910034602</v>
      </c>
      <c r="AA10" s="3">
        <v>9</v>
      </c>
      <c r="AB10" s="5">
        <v>9</v>
      </c>
      <c r="AC10" s="12">
        <f t="shared" si="14"/>
        <v>1</v>
      </c>
      <c r="AD10" s="12">
        <f t="shared" si="15"/>
        <v>1.5259515570934257</v>
      </c>
      <c r="AE10" s="3">
        <v>8</v>
      </c>
      <c r="AF10" s="5">
        <v>8</v>
      </c>
      <c r="AG10" s="12">
        <f t="shared" si="16"/>
        <v>1</v>
      </c>
      <c r="AH10" s="12">
        <f t="shared" si="17"/>
        <v>5.5363321799307981E-2</v>
      </c>
      <c r="AI10" s="3">
        <v>9</v>
      </c>
      <c r="AJ10" s="5">
        <v>9</v>
      </c>
      <c r="AK10" s="12">
        <f t="shared" si="18"/>
        <v>1</v>
      </c>
      <c r="AL10" s="12">
        <f t="shared" si="19"/>
        <v>1.5259515570934257</v>
      </c>
      <c r="AM10" s="3">
        <v>10</v>
      </c>
      <c r="AN10" s="5">
        <v>10</v>
      </c>
      <c r="AO10" s="12">
        <f t="shared" si="40"/>
        <v>1</v>
      </c>
      <c r="AP10" s="12">
        <f t="shared" si="20"/>
        <v>4.9965397923875434</v>
      </c>
      <c r="AQ10" s="3">
        <v>10</v>
      </c>
      <c r="AR10" s="5">
        <v>10</v>
      </c>
      <c r="AS10" s="12">
        <f t="shared" si="21"/>
        <v>1</v>
      </c>
      <c r="AT10" s="12">
        <f t="shared" si="22"/>
        <v>4.9965397923875434</v>
      </c>
      <c r="AU10" s="3">
        <v>9</v>
      </c>
      <c r="AV10" s="5">
        <v>9</v>
      </c>
      <c r="AW10" s="12">
        <f t="shared" si="23"/>
        <v>1</v>
      </c>
      <c r="AX10" s="12">
        <f t="shared" si="24"/>
        <v>1.5259515570934257</v>
      </c>
      <c r="AY10" s="3">
        <v>10</v>
      </c>
      <c r="AZ10" s="5">
        <v>10</v>
      </c>
      <c r="BA10" s="12">
        <f t="shared" si="25"/>
        <v>1</v>
      </c>
      <c r="BB10" s="12">
        <f t="shared" si="26"/>
        <v>4.9965397923875434</v>
      </c>
      <c r="BC10" s="3">
        <v>9</v>
      </c>
      <c r="BD10" s="5">
        <v>9</v>
      </c>
      <c r="BE10" s="12">
        <f t="shared" si="27"/>
        <v>1</v>
      </c>
      <c r="BF10" s="12">
        <f t="shared" si="28"/>
        <v>1.5259515570934257</v>
      </c>
      <c r="BG10" s="3">
        <v>2</v>
      </c>
      <c r="BH10" s="5">
        <v>2</v>
      </c>
      <c r="BI10" s="12">
        <f t="shared" si="29"/>
        <v>1</v>
      </c>
      <c r="BJ10" s="12">
        <f t="shared" si="30"/>
        <v>33.231833910034602</v>
      </c>
      <c r="BK10" s="3">
        <v>2</v>
      </c>
      <c r="BL10" s="5">
        <v>2</v>
      </c>
      <c r="BM10" s="12">
        <f t="shared" si="31"/>
        <v>1</v>
      </c>
      <c r="BN10" s="12">
        <f t="shared" si="32"/>
        <v>33.231833910034602</v>
      </c>
      <c r="BO10" s="3">
        <v>8</v>
      </c>
      <c r="BP10" s="5">
        <v>8</v>
      </c>
      <c r="BQ10" s="12">
        <f t="shared" si="33"/>
        <v>1</v>
      </c>
      <c r="BR10" s="12">
        <f t="shared" si="34"/>
        <v>5.5363321799307981E-2</v>
      </c>
      <c r="BS10" s="3"/>
      <c r="BT10" s="5"/>
      <c r="BU10" s="12"/>
      <c r="BV10" s="12"/>
      <c r="BW10" s="3"/>
      <c r="BX10" s="5"/>
      <c r="BY10" s="12"/>
      <c r="BZ10" s="12"/>
      <c r="CA10" s="3"/>
      <c r="CB10" s="5"/>
      <c r="CC10" s="12"/>
      <c r="CD10" s="12"/>
      <c r="CE10" s="3"/>
      <c r="CF10" s="5"/>
      <c r="CG10" s="12"/>
      <c r="CH10" s="12"/>
      <c r="CI10" s="3"/>
      <c r="CJ10" s="5"/>
      <c r="CK10" s="12"/>
      <c r="CL10" s="12"/>
      <c r="CM10" s="3"/>
      <c r="CN10" s="5"/>
      <c r="CO10" s="12"/>
      <c r="CP10" s="12"/>
      <c r="CQ10" s="3"/>
      <c r="CR10" s="5"/>
      <c r="CS10" s="12"/>
      <c r="CT10" s="12"/>
      <c r="CU10" s="3"/>
      <c r="CV10" s="5"/>
      <c r="CW10" s="12"/>
      <c r="CX10" s="12"/>
      <c r="CY10" s="3"/>
      <c r="CZ10" s="5"/>
      <c r="DA10" s="12"/>
      <c r="DB10" s="12"/>
      <c r="DC10" s="3"/>
      <c r="DD10" s="5"/>
      <c r="DE10" s="12"/>
      <c r="DF10" s="12"/>
      <c r="DG10" s="3"/>
      <c r="DH10" s="5"/>
      <c r="DI10" s="12"/>
      <c r="DJ10" s="12"/>
      <c r="DK10" s="3"/>
      <c r="DL10" s="5"/>
      <c r="DM10" s="12"/>
      <c r="DN10" s="12"/>
      <c r="DO10" s="3"/>
      <c r="DP10" s="5"/>
      <c r="DQ10" s="12"/>
      <c r="DR10" s="12"/>
      <c r="DS10" s="3"/>
      <c r="DT10" s="5"/>
      <c r="DU10" s="12"/>
      <c r="DV10" s="12"/>
      <c r="DW10" s="3"/>
      <c r="DX10" s="5"/>
      <c r="DY10" s="12"/>
      <c r="DZ10" s="12"/>
      <c r="EA10" s="3"/>
      <c r="EB10" s="5"/>
      <c r="EC10" s="12"/>
      <c r="ED10" s="12"/>
      <c r="EE10" s="3"/>
      <c r="EF10" s="5"/>
      <c r="EG10" s="12"/>
      <c r="EH10" s="12"/>
      <c r="EI10" s="3"/>
      <c r="EJ10" s="5"/>
      <c r="EK10" s="12"/>
      <c r="EL10" s="12"/>
      <c r="EM10" s="3"/>
      <c r="EN10" s="5"/>
      <c r="EO10" s="12"/>
      <c r="EP10" s="12"/>
      <c r="EQ10" s="3"/>
      <c r="ER10" s="5"/>
      <c r="ES10" s="12"/>
      <c r="ET10" s="12"/>
      <c r="EU10" s="3"/>
      <c r="EV10" s="5"/>
      <c r="EW10" s="12"/>
      <c r="EX10" s="12"/>
      <c r="EY10" s="3"/>
      <c r="EZ10" s="5"/>
      <c r="FA10" s="12"/>
      <c r="FB10" s="12"/>
      <c r="FC10" s="3"/>
      <c r="FD10" s="5"/>
      <c r="FE10" s="12"/>
      <c r="FF10" s="12"/>
      <c r="FG10" s="3"/>
      <c r="FH10" s="5"/>
      <c r="FI10" s="12"/>
      <c r="FJ10" s="12"/>
      <c r="FK10" s="4">
        <f>COUNT(C10,G10,K10,O10,S10,W10,AA10,AE10,AI10,AM10,AQ10,AU10,AY10,BC10,BG10,BK10,BO10,BS10,BW10,CA10,CE10,CI10,CM10,CQ10,CU10,CY10,DC10,DG10,DK10,DO10,DS10,DW10,EA10,EE10,EI10,EM10,EQ10,EU10,EY10,FC10,FG10)</f>
        <v>17</v>
      </c>
      <c r="FL10" s="15">
        <f>(E8+I8+M8+Q8+U8+Y8+AC8+AG8+AK8+AO8+AS8+AW8+BA8+BE8+BI8+BM8+BQ8+BU8+BY8+CC8+CG8+CK8+CO8+CS8+CW8+DA8+DE8+DI8+DM8+DQ8+DU8+DY8+EC8+EG8+EK8+EO8+ES8+EW8+FA8+FE8+FI8)*100/FK8</f>
        <v>100</v>
      </c>
      <c r="FM10" s="15">
        <f t="shared" si="3"/>
        <v>7.7647058823529411</v>
      </c>
      <c r="FN10" s="15">
        <f t="shared" si="36"/>
        <v>2.7553031596777342</v>
      </c>
      <c r="FO10" s="16">
        <f>FL10</f>
        <v>100</v>
      </c>
      <c r="FP10" s="17" t="s">
        <v>3</v>
      </c>
      <c r="FQ10" s="24">
        <f t="shared" si="38"/>
        <v>2.7553031596777342</v>
      </c>
      <c r="FR10" s="4" t="str">
        <f t="shared" si="39"/>
        <v>отлично</v>
      </c>
    </row>
    <row r="11" spans="1:174" ht="48" customHeight="1" thickBot="1" x14ac:dyDescent="0.3">
      <c r="A11" s="21">
        <v>9</v>
      </c>
      <c r="B11" s="31" t="s">
        <v>18</v>
      </c>
      <c r="C11" s="3">
        <v>9</v>
      </c>
      <c r="D11" s="3">
        <v>9</v>
      </c>
      <c r="E11" s="8">
        <f t="shared" si="4"/>
        <v>1</v>
      </c>
      <c r="F11" s="12">
        <f t="shared" si="5"/>
        <v>3.4602076124567228E-3</v>
      </c>
      <c r="G11" s="3">
        <v>9</v>
      </c>
      <c r="H11" s="3">
        <v>8</v>
      </c>
      <c r="I11" s="12">
        <f t="shared" si="0"/>
        <v>0.88888888888888884</v>
      </c>
      <c r="J11" s="12">
        <f t="shared" si="1"/>
        <v>1.1211072664359858</v>
      </c>
      <c r="K11" s="3">
        <v>9</v>
      </c>
      <c r="L11" s="5">
        <v>9</v>
      </c>
      <c r="M11" s="12">
        <f t="shared" si="6"/>
        <v>1</v>
      </c>
      <c r="N11" s="12">
        <f t="shared" si="7"/>
        <v>3.4602076124567228E-3</v>
      </c>
      <c r="O11" s="3">
        <v>8</v>
      </c>
      <c r="P11" s="5">
        <v>8</v>
      </c>
      <c r="Q11" s="12">
        <f t="shared" si="8"/>
        <v>1</v>
      </c>
      <c r="R11" s="12">
        <f t="shared" si="9"/>
        <v>1.1211072664359858</v>
      </c>
      <c r="S11" s="3">
        <v>8</v>
      </c>
      <c r="T11" s="26">
        <v>8</v>
      </c>
      <c r="U11" s="12">
        <f t="shared" si="10"/>
        <v>1</v>
      </c>
      <c r="V11" s="12">
        <f t="shared" si="11"/>
        <v>1.1211072664359858</v>
      </c>
      <c r="W11" s="3">
        <v>8</v>
      </c>
      <c r="X11" s="3">
        <v>8</v>
      </c>
      <c r="Y11" s="12">
        <f t="shared" si="12"/>
        <v>1</v>
      </c>
      <c r="Z11" s="12">
        <f t="shared" si="13"/>
        <v>1.1211072664359858</v>
      </c>
      <c r="AA11" s="3">
        <v>10</v>
      </c>
      <c r="AB11" s="5">
        <v>10</v>
      </c>
      <c r="AC11" s="12">
        <f t="shared" si="14"/>
        <v>1</v>
      </c>
      <c r="AD11" s="12">
        <f t="shared" si="15"/>
        <v>0.8858131487889277</v>
      </c>
      <c r="AE11" s="3">
        <v>9</v>
      </c>
      <c r="AF11" s="5">
        <v>9</v>
      </c>
      <c r="AG11" s="12">
        <f t="shared" si="16"/>
        <v>1</v>
      </c>
      <c r="AH11" s="12">
        <f t="shared" si="17"/>
        <v>3.4602076124567228E-3</v>
      </c>
      <c r="AI11" s="3">
        <v>9</v>
      </c>
      <c r="AJ11" s="5">
        <v>9</v>
      </c>
      <c r="AK11" s="12">
        <f t="shared" si="18"/>
        <v>1</v>
      </c>
      <c r="AL11" s="12">
        <f t="shared" si="19"/>
        <v>3.4602076124567228E-3</v>
      </c>
      <c r="AM11" s="3">
        <v>10</v>
      </c>
      <c r="AN11" s="5">
        <v>10</v>
      </c>
      <c r="AO11" s="12">
        <f t="shared" si="40"/>
        <v>1</v>
      </c>
      <c r="AP11" s="12">
        <f t="shared" si="20"/>
        <v>0.8858131487889277</v>
      </c>
      <c r="AQ11" s="3">
        <v>10</v>
      </c>
      <c r="AR11" s="5">
        <v>10</v>
      </c>
      <c r="AS11" s="12">
        <f t="shared" si="21"/>
        <v>1</v>
      </c>
      <c r="AT11" s="12">
        <f t="shared" si="22"/>
        <v>0.8858131487889277</v>
      </c>
      <c r="AU11" s="3">
        <v>10</v>
      </c>
      <c r="AV11" s="5">
        <v>10</v>
      </c>
      <c r="AW11" s="12">
        <f t="shared" si="23"/>
        <v>1</v>
      </c>
      <c r="AX11" s="12">
        <f t="shared" si="24"/>
        <v>0.8858131487889277</v>
      </c>
      <c r="AY11" s="3">
        <v>10</v>
      </c>
      <c r="AZ11" s="5">
        <v>10</v>
      </c>
      <c r="BA11" s="12">
        <f t="shared" si="25"/>
        <v>1</v>
      </c>
      <c r="BB11" s="12">
        <f t="shared" si="26"/>
        <v>0.8858131487889277</v>
      </c>
      <c r="BC11" s="3">
        <v>9</v>
      </c>
      <c r="BD11" s="5">
        <v>9</v>
      </c>
      <c r="BE11" s="12">
        <f t="shared" si="27"/>
        <v>1</v>
      </c>
      <c r="BF11" s="12">
        <f t="shared" si="28"/>
        <v>3.4602076124567228E-3</v>
      </c>
      <c r="BG11" s="3">
        <v>10</v>
      </c>
      <c r="BH11" s="5">
        <v>10</v>
      </c>
      <c r="BI11" s="12">
        <f t="shared" si="29"/>
        <v>1</v>
      </c>
      <c r="BJ11" s="12">
        <f t="shared" si="30"/>
        <v>0.8858131487889277</v>
      </c>
      <c r="BK11" s="3">
        <v>9</v>
      </c>
      <c r="BL11" s="5">
        <v>9</v>
      </c>
      <c r="BM11" s="12">
        <f t="shared" si="31"/>
        <v>1</v>
      </c>
      <c r="BN11" s="12">
        <f t="shared" si="32"/>
        <v>3.4602076124567228E-3</v>
      </c>
      <c r="BO11" s="3">
        <v>8</v>
      </c>
      <c r="BP11" s="5">
        <v>8</v>
      </c>
      <c r="BQ11" s="12">
        <f t="shared" si="33"/>
        <v>1</v>
      </c>
      <c r="BR11" s="12">
        <f t="shared" si="34"/>
        <v>1.1211072664359858</v>
      </c>
      <c r="BS11" s="3"/>
      <c r="BT11" s="5"/>
      <c r="BU11" s="12"/>
      <c r="BV11" s="12"/>
      <c r="BW11" s="3"/>
      <c r="BX11" s="5"/>
      <c r="BY11" s="12"/>
      <c r="BZ11" s="12"/>
      <c r="CA11" s="3"/>
      <c r="CB11" s="5"/>
      <c r="CC11" s="12"/>
      <c r="CD11" s="12"/>
      <c r="CE11" s="3"/>
      <c r="CF11" s="5"/>
      <c r="CG11" s="12"/>
      <c r="CH11" s="12"/>
      <c r="CI11" s="3"/>
      <c r="CJ11" s="5"/>
      <c r="CK11" s="12"/>
      <c r="CL11" s="12"/>
      <c r="CM11" s="3"/>
      <c r="CN11" s="5"/>
      <c r="CO11" s="12"/>
      <c r="CP11" s="12"/>
      <c r="CQ11" s="3"/>
      <c r="CR11" s="5"/>
      <c r="CS11" s="12"/>
      <c r="CT11" s="12"/>
      <c r="CU11" s="3"/>
      <c r="CV11" s="5"/>
      <c r="CW11" s="12"/>
      <c r="CX11" s="12"/>
      <c r="CY11" s="3"/>
      <c r="CZ11" s="5"/>
      <c r="DA11" s="12"/>
      <c r="DB11" s="12"/>
      <c r="DC11" s="3"/>
      <c r="DD11" s="5"/>
      <c r="DE11" s="12"/>
      <c r="DF11" s="12"/>
      <c r="DG11" s="3"/>
      <c r="DH11" s="5"/>
      <c r="DI11" s="12"/>
      <c r="DJ11" s="12"/>
      <c r="DK11" s="3"/>
      <c r="DL11" s="5"/>
      <c r="DM11" s="12"/>
      <c r="DN11" s="12"/>
      <c r="DO11" s="3"/>
      <c r="DP11" s="5"/>
      <c r="DQ11" s="12"/>
      <c r="DR11" s="12"/>
      <c r="DS11" s="3"/>
      <c r="DT11" s="5"/>
      <c r="DU11" s="12"/>
      <c r="DV11" s="12"/>
      <c r="DW11" s="3"/>
      <c r="DX11" s="5"/>
      <c r="DY11" s="12"/>
      <c r="DZ11" s="12"/>
      <c r="EA11" s="3"/>
      <c r="EB11" s="5"/>
      <c r="EC11" s="12"/>
      <c r="ED11" s="12"/>
      <c r="EE11" s="3"/>
      <c r="EF11" s="5"/>
      <c r="EG11" s="12"/>
      <c r="EH11" s="12"/>
      <c r="EI11" s="3"/>
      <c r="EJ11" s="5"/>
      <c r="EK11" s="12"/>
      <c r="EL11" s="12"/>
      <c r="EM11" s="3"/>
      <c r="EN11" s="5"/>
      <c r="EO11" s="12"/>
      <c r="EP11" s="12"/>
      <c r="EQ11" s="3"/>
      <c r="ER11" s="5"/>
      <c r="ES11" s="12"/>
      <c r="ET11" s="12"/>
      <c r="EU11" s="3"/>
      <c r="EV11" s="5"/>
      <c r="EW11" s="12"/>
      <c r="EX11" s="12"/>
      <c r="EY11" s="3"/>
      <c r="EZ11" s="5"/>
      <c r="FA11" s="12"/>
      <c r="FB11" s="12"/>
      <c r="FC11" s="3"/>
      <c r="FD11" s="5"/>
      <c r="FE11" s="12"/>
      <c r="FF11" s="12"/>
      <c r="FG11" s="3"/>
      <c r="FH11" s="5"/>
      <c r="FI11" s="12"/>
      <c r="FJ11" s="12"/>
      <c r="FK11" s="4">
        <f t="shared" si="2"/>
        <v>17</v>
      </c>
      <c r="FL11" s="15">
        <f t="shared" si="35"/>
        <v>99.346405228758172</v>
      </c>
      <c r="FM11" s="15">
        <f t="shared" si="3"/>
        <v>9.0588235294117645</v>
      </c>
      <c r="FN11" s="15">
        <f t="shared" si="36"/>
        <v>0.80224598217563869</v>
      </c>
      <c r="FO11" s="19">
        <f t="shared" si="37"/>
        <v>99.346405228758172</v>
      </c>
      <c r="FP11" s="20" t="s">
        <v>3</v>
      </c>
      <c r="FQ11" s="25">
        <f t="shared" si="38"/>
        <v>0.80224598217563869</v>
      </c>
      <c r="FR11" s="4" t="str">
        <f t="shared" si="39"/>
        <v>отлично</v>
      </c>
    </row>
    <row r="12" spans="1:174" ht="15" hidden="1" customHeight="1" x14ac:dyDescent="0.25">
      <c r="B12" s="27" t="s">
        <v>7</v>
      </c>
      <c r="C12" s="13">
        <f>SUM(C3:C11)</f>
        <v>66</v>
      </c>
      <c r="D12" s="13">
        <f>SUM(D3:D11)</f>
        <v>66</v>
      </c>
      <c r="E12" s="8">
        <f t="shared" si="4"/>
        <v>1</v>
      </c>
      <c r="F12" s="12">
        <f t="shared" ref="F12:F14" si="41">POWER(D12-FE12,2)</f>
        <v>30.25</v>
      </c>
      <c r="G12" s="13">
        <f>SUM(G3:G11)</f>
        <v>78</v>
      </c>
      <c r="H12" s="13">
        <f>SUM(H3:H11)</f>
        <v>77</v>
      </c>
      <c r="I12" s="12">
        <f t="shared" ref="I12:I14" si="42">H12/G12</f>
        <v>0.98717948717948723</v>
      </c>
      <c r="J12" s="12">
        <f t="shared" ref="J12:J14" si="43">POWER(H12-$FE12,2)</f>
        <v>30.25</v>
      </c>
      <c r="K12" s="13"/>
      <c r="L12" s="13"/>
      <c r="M12" s="12" t="e">
        <f t="shared" si="6"/>
        <v>#DIV/0!</v>
      </c>
      <c r="N12" s="12">
        <f t="shared" ref="N12:N14" si="44">POWER(L12-$FE12,2)</f>
        <v>5112.25</v>
      </c>
      <c r="O12" s="13"/>
      <c r="P12" s="13"/>
      <c r="Q12" s="12" t="e">
        <f t="shared" si="8"/>
        <v>#DIV/0!</v>
      </c>
      <c r="R12" s="12">
        <f t="shared" ref="R12:R14" si="45">POWER(P12-$FE12,2)</f>
        <v>5112.25</v>
      </c>
      <c r="S12" s="3">
        <v>10</v>
      </c>
      <c r="T12" s="13"/>
      <c r="U12" s="12">
        <f t="shared" si="10"/>
        <v>0</v>
      </c>
      <c r="V12" s="12">
        <f t="shared" ref="V12:V14" si="46">POWER(T12-$FE12,2)</f>
        <v>5112.25</v>
      </c>
      <c r="W12" s="3">
        <v>10</v>
      </c>
      <c r="Y12" s="12">
        <f t="shared" si="12"/>
        <v>0</v>
      </c>
      <c r="Z12" s="12">
        <f t="shared" ref="Z12:Z14" si="47">POWER(X12-$FE12,2)</f>
        <v>5112.25</v>
      </c>
      <c r="AC12" s="12" t="e">
        <f t="shared" si="14"/>
        <v>#DIV/0!</v>
      </c>
      <c r="AD12" s="12">
        <f t="shared" ref="AD12:AD14" si="48">POWER(AB12-$FE12,2)</f>
        <v>5112.25</v>
      </c>
      <c r="AE12" s="3"/>
      <c r="AG12" s="12" t="e">
        <f t="shared" si="16"/>
        <v>#DIV/0!</v>
      </c>
      <c r="AH12" s="12">
        <f t="shared" ref="AH12:AH14" si="49">POWER(AF12-$FE12,2)</f>
        <v>5112.25</v>
      </c>
      <c r="AK12" s="12" t="e">
        <f t="shared" si="18"/>
        <v>#DIV/0!</v>
      </c>
      <c r="AL12" s="12">
        <f t="shared" ref="AL12:AL14" si="50">POWER(AJ12-$FE12,2)</f>
        <v>5112.25</v>
      </c>
      <c r="AO12" s="12" t="e">
        <f t="shared" si="40"/>
        <v>#DIV/0!</v>
      </c>
      <c r="AP12" s="12">
        <f t="shared" ref="AP12:AP14" si="51">POWER(AN12-$FE12,2)</f>
        <v>5112.25</v>
      </c>
      <c r="AS12" s="12" t="e">
        <f t="shared" si="21"/>
        <v>#DIV/0!</v>
      </c>
      <c r="AT12" s="12">
        <f t="shared" ref="AT12:AT14" si="52">POWER(AR12-$FE12,2)</f>
        <v>5112.25</v>
      </c>
      <c r="BJ12" s="12" t="e">
        <f t="shared" si="30"/>
        <v>#DIV/0!</v>
      </c>
      <c r="DN12" s="12">
        <f t="shared" ref="DN12:DN14" si="53">POWER(DL12-$FE12,2)</f>
        <v>5112.25</v>
      </c>
      <c r="FC12" s="4">
        <f t="shared" ref="FC12:FC14" si="54">COUNT(EY12,EU12,EQ12,EM12,EI12,EE12,EA12,DW12,DS12,DO12,DK12,DG12,DC12,CY12,CU12,CQ12,CM12,CI12,CE12,CA12,BW12,BS12,BO12,BK12,BG12,BC12,AY12,AU12,AQ12,AM12,AI12,AE12,AA12,W12,S12,O12,K12,G12,C12)</f>
        <v>4</v>
      </c>
      <c r="FD12" s="15" t="e">
        <f t="shared" ref="FD12:FD14" si="55">(E12+I12+M12+Q12+U12+Y12+AC12+AG12+AK12+AO12+AS12+AW12+BA12+BE12+BI12+BM12+BQ12+BU12+BY12+CC12+CG12+CK12+CO12+CS12+CW12+DA12+DE12+DI12+DM12+DQ12+DU12+DY12+EC12+EG12+EK12+EO12+ES12+EW12+FA12)*100/FC12</f>
        <v>#DIV/0!</v>
      </c>
      <c r="FE12" s="15">
        <f t="shared" ref="FE12:FE14" si="56">AVERAGE(D12,H12,L12,P12,T12,X12,AB12,AF12,AJ12,AN12,AR12,AV12,AZ12,BD12,BH12,BL12,BP12,BT12,BX12,CB12,CF12,CJ12,CN12,CR12,CV12,CZ12,DD12,DH12,DL12,DP12,DT12,DX12,EB12,EF12,EJ12,EN12,ER12,EV12,EZ12)</f>
        <v>71.5</v>
      </c>
      <c r="FF12" s="15" t="e">
        <f t="shared" ref="FF12:FF14" si="57">SQRT((F12+J12+N12+R12+V12+Z12+AD12+AH12+AL12+AP12+AT12+AX12+BB12+BF12+BJ12++BN12+BR12+BV12+BZ12+CD12+CH12+CL12+CP12+CT12+CX12+DB12+DF12+DJ12+DN12+DR12+DV12+DZ12+ED12+EH12+EL12+EP12+ET12+EX12+FB12)/FC12)</f>
        <v>#DIV/0!</v>
      </c>
      <c r="FG12" s="19" t="e">
        <f t="shared" ref="FG12:FG14" si="58">FD12</f>
        <v>#DIV/0!</v>
      </c>
      <c r="FH12" s="17" t="s">
        <v>3</v>
      </c>
      <c r="FI12" s="25" t="e">
        <f t="shared" ref="FI12:FI14" si="59">FF12</f>
        <v>#DIV/0!</v>
      </c>
      <c r="FJ12" s="4" t="e">
        <f t="shared" ref="FJ12:FJ14" si="60">IF(FD12&lt;40,"неудовлетворительно",IF((FD12&gt;=40)*AND(FD12&lt;60),"удовлетворительно",IF((FD12&gt;=60)*AND(FD12&lt;80),"хорошо","отлично")))</f>
        <v>#DIV/0!</v>
      </c>
      <c r="FK12" s="18"/>
      <c r="FL12" s="15" t="e">
        <f t="shared" si="35"/>
        <v>#DIV/0!</v>
      </c>
      <c r="FM12" s="15" t="e">
        <f t="shared" ref="FM12:FM14" si="61">AVERAGE(D12,H12,L12,P12,T12,X12,AB12,AF12,AJ12,AN12,AR12,AV12,AZ12,BD12,BH12,BL12,BP12,BT12,BX12,CB12,CF12,CJ12,CN12,CR12,CV12,CZ12,DD12,DH12,DL12,DP12,DT12,DX12,EB12,EF12,EJ12,EN12,ER12,EV12,EZ12,FD12,FH12)</f>
        <v>#DIV/0!</v>
      </c>
      <c r="FN12" s="18"/>
      <c r="FO12" s="18"/>
      <c r="FP12" s="18"/>
      <c r="FQ12" s="18"/>
    </row>
    <row r="13" spans="1:174" ht="15" hidden="1" customHeight="1" x14ac:dyDescent="0.25">
      <c r="B13" s="27" t="s">
        <v>8</v>
      </c>
      <c r="C13" s="14">
        <f>AVERAGE(C3:C11)</f>
        <v>7.333333333333333</v>
      </c>
      <c r="D13" s="14">
        <f>AVERAGE(D3:D11)</f>
        <v>7.333333333333333</v>
      </c>
      <c r="E13" s="8">
        <f t="shared" si="4"/>
        <v>1</v>
      </c>
      <c r="F13" s="12">
        <f t="shared" si="41"/>
        <v>0</v>
      </c>
      <c r="G13" s="14"/>
      <c r="H13" s="14"/>
      <c r="I13" s="12" t="e">
        <f t="shared" si="42"/>
        <v>#DIV/0!</v>
      </c>
      <c r="J13" s="12">
        <f t="shared" si="43"/>
        <v>53.777777777777771</v>
      </c>
      <c r="K13" s="14"/>
      <c r="L13" s="14"/>
      <c r="M13" s="12" t="e">
        <f t="shared" si="6"/>
        <v>#DIV/0!</v>
      </c>
      <c r="N13" s="12">
        <f t="shared" si="44"/>
        <v>53.777777777777771</v>
      </c>
      <c r="O13" s="14"/>
      <c r="P13" s="14"/>
      <c r="Q13" s="12" t="e">
        <f t="shared" si="8"/>
        <v>#DIV/0!</v>
      </c>
      <c r="R13" s="12">
        <f t="shared" si="45"/>
        <v>53.777777777777771</v>
      </c>
      <c r="S13" s="3">
        <v>10</v>
      </c>
      <c r="T13" s="14"/>
      <c r="U13" s="12">
        <f t="shared" si="10"/>
        <v>0</v>
      </c>
      <c r="V13" s="12">
        <f t="shared" si="46"/>
        <v>53.777777777777771</v>
      </c>
      <c r="W13" s="3">
        <v>10</v>
      </c>
      <c r="Y13" s="12">
        <f t="shared" si="12"/>
        <v>0</v>
      </c>
      <c r="Z13" s="12">
        <f t="shared" si="47"/>
        <v>53.777777777777771</v>
      </c>
      <c r="AC13" s="12" t="e">
        <f t="shared" si="14"/>
        <v>#DIV/0!</v>
      </c>
      <c r="AD13" s="12">
        <f t="shared" si="48"/>
        <v>53.777777777777771</v>
      </c>
      <c r="AE13" s="3"/>
      <c r="AG13" s="12" t="e">
        <f t="shared" si="16"/>
        <v>#DIV/0!</v>
      </c>
      <c r="AH13" s="12">
        <f t="shared" si="49"/>
        <v>53.777777777777771</v>
      </c>
      <c r="AK13" s="12" t="e">
        <f t="shared" si="18"/>
        <v>#DIV/0!</v>
      </c>
      <c r="AL13" s="12">
        <f t="shared" si="50"/>
        <v>53.777777777777771</v>
      </c>
      <c r="AO13" s="12" t="e">
        <f t="shared" si="40"/>
        <v>#DIV/0!</v>
      </c>
      <c r="AP13" s="12">
        <f t="shared" si="51"/>
        <v>53.777777777777771</v>
      </c>
      <c r="AS13" s="12" t="e">
        <f t="shared" si="21"/>
        <v>#DIV/0!</v>
      </c>
      <c r="AT13" s="12">
        <f t="shared" si="52"/>
        <v>53.777777777777771</v>
      </c>
      <c r="BJ13" s="12" t="e">
        <f t="shared" si="30"/>
        <v>#DIV/0!</v>
      </c>
      <c r="DN13" s="12">
        <f t="shared" si="53"/>
        <v>53.777777777777771</v>
      </c>
      <c r="FC13" s="4">
        <f t="shared" si="54"/>
        <v>3</v>
      </c>
      <c r="FD13" s="15" t="e">
        <f t="shared" si="55"/>
        <v>#DIV/0!</v>
      </c>
      <c r="FE13" s="15">
        <f t="shared" si="56"/>
        <v>7.333333333333333</v>
      </c>
      <c r="FF13" s="15" t="e">
        <f t="shared" si="57"/>
        <v>#DIV/0!</v>
      </c>
      <c r="FG13" s="19" t="e">
        <f t="shared" si="58"/>
        <v>#DIV/0!</v>
      </c>
      <c r="FH13" s="17" t="s">
        <v>3</v>
      </c>
      <c r="FI13" s="25" t="e">
        <f t="shared" si="59"/>
        <v>#DIV/0!</v>
      </c>
      <c r="FJ13" s="4" t="e">
        <f t="shared" si="60"/>
        <v>#DIV/0!</v>
      </c>
      <c r="FK13" s="18"/>
      <c r="FL13" s="15" t="e">
        <f t="shared" si="35"/>
        <v>#DIV/0!</v>
      </c>
      <c r="FM13" s="15" t="e">
        <f t="shared" si="61"/>
        <v>#DIV/0!</v>
      </c>
      <c r="FN13" s="18"/>
      <c r="FO13" s="18"/>
      <c r="FP13" s="18"/>
      <c r="FQ13" s="18"/>
    </row>
    <row r="14" spans="1:174" ht="15" hidden="1" customHeight="1" x14ac:dyDescent="0.25">
      <c r="B14" s="28" t="s">
        <v>9</v>
      </c>
      <c r="E14" s="8" t="e">
        <f t="shared" si="4"/>
        <v>#DIV/0!</v>
      </c>
      <c r="F14" s="12" t="e">
        <f t="shared" si="41"/>
        <v>#DIV/0!</v>
      </c>
      <c r="I14" s="12" t="e">
        <f t="shared" si="42"/>
        <v>#DIV/0!</v>
      </c>
      <c r="J14" s="12" t="e">
        <f t="shared" si="43"/>
        <v>#DIV/0!</v>
      </c>
      <c r="M14" s="12" t="e">
        <f t="shared" si="6"/>
        <v>#DIV/0!</v>
      </c>
      <c r="N14" s="12" t="e">
        <f t="shared" si="44"/>
        <v>#DIV/0!</v>
      </c>
      <c r="Q14" s="12" t="e">
        <f t="shared" si="8"/>
        <v>#DIV/0!</v>
      </c>
      <c r="R14" s="12" t="e">
        <f t="shared" si="45"/>
        <v>#DIV/0!</v>
      </c>
      <c r="S14" s="3">
        <v>10</v>
      </c>
      <c r="U14" s="12">
        <f t="shared" si="10"/>
        <v>0</v>
      </c>
      <c r="V14" s="12" t="e">
        <f t="shared" si="46"/>
        <v>#DIV/0!</v>
      </c>
      <c r="W14" s="47">
        <v>10</v>
      </c>
      <c r="Y14" s="29">
        <f t="shared" si="12"/>
        <v>0</v>
      </c>
      <c r="Z14" s="29" t="e">
        <f t="shared" si="47"/>
        <v>#DIV/0!</v>
      </c>
      <c r="AC14" s="29" t="e">
        <f t="shared" si="14"/>
        <v>#DIV/0!</v>
      </c>
      <c r="AD14" s="12" t="e">
        <f t="shared" si="48"/>
        <v>#DIV/0!</v>
      </c>
      <c r="AE14" s="3"/>
      <c r="AG14" s="12" t="e">
        <f t="shared" si="16"/>
        <v>#DIV/0!</v>
      </c>
      <c r="AH14" s="12" t="e">
        <f t="shared" si="49"/>
        <v>#DIV/0!</v>
      </c>
      <c r="AK14" s="12" t="e">
        <f t="shared" si="18"/>
        <v>#DIV/0!</v>
      </c>
      <c r="AL14" s="12" t="e">
        <f t="shared" si="50"/>
        <v>#DIV/0!</v>
      </c>
      <c r="AO14" s="12" t="e">
        <f t="shared" si="40"/>
        <v>#DIV/0!</v>
      </c>
      <c r="AP14" s="12" t="e">
        <f t="shared" si="51"/>
        <v>#DIV/0!</v>
      </c>
      <c r="AS14" s="12" t="e">
        <f t="shared" si="21"/>
        <v>#DIV/0!</v>
      </c>
      <c r="AT14" s="12" t="e">
        <f t="shared" si="52"/>
        <v>#DIV/0!</v>
      </c>
      <c r="BJ14" s="12" t="e">
        <f t="shared" si="30"/>
        <v>#DIV/0!</v>
      </c>
      <c r="DN14" s="29" t="e">
        <f t="shared" si="53"/>
        <v>#DIV/0!</v>
      </c>
      <c r="FC14" s="4">
        <f t="shared" si="54"/>
        <v>2</v>
      </c>
      <c r="FD14" s="15" t="e">
        <f t="shared" si="55"/>
        <v>#DIV/0!</v>
      </c>
      <c r="FE14" s="15" t="e">
        <f t="shared" si="56"/>
        <v>#DIV/0!</v>
      </c>
      <c r="FF14" s="15" t="e">
        <f t="shared" si="57"/>
        <v>#DIV/0!</v>
      </c>
      <c r="FG14" s="19" t="e">
        <f t="shared" si="58"/>
        <v>#DIV/0!</v>
      </c>
      <c r="FH14" s="17" t="s">
        <v>3</v>
      </c>
      <c r="FI14" s="25" t="e">
        <f t="shared" si="59"/>
        <v>#DIV/0!</v>
      </c>
      <c r="FJ14" s="4" t="e">
        <f t="shared" si="60"/>
        <v>#DIV/0!</v>
      </c>
      <c r="FK14" s="18"/>
      <c r="FL14" s="15" t="e">
        <f t="shared" si="35"/>
        <v>#DIV/0!</v>
      </c>
      <c r="FM14" s="15" t="e">
        <f t="shared" si="61"/>
        <v>#DIV/0!</v>
      </c>
      <c r="FN14" s="18"/>
      <c r="FO14" s="18"/>
      <c r="FP14" s="18"/>
      <c r="FQ14" s="18"/>
    </row>
    <row r="15" spans="1:174" ht="43.5" customHeight="1" x14ac:dyDescent="0.25">
      <c r="W15" s="32"/>
      <c r="X15" s="32"/>
      <c r="Y15" s="32"/>
      <c r="Z15" s="32"/>
      <c r="AA15" s="32"/>
      <c r="AB15" s="32"/>
      <c r="AC15" s="32"/>
      <c r="FG15" s="2"/>
      <c r="FI15" s="2"/>
      <c r="FJ15" s="2"/>
      <c r="FK15" s="2"/>
      <c r="FL15" s="2"/>
      <c r="FM15" s="2"/>
      <c r="FN15" s="2"/>
      <c r="FO15" s="2"/>
      <c r="FP15" s="2"/>
      <c r="FQ15" s="2"/>
    </row>
    <row r="16" spans="1:174" x14ac:dyDescent="0.25">
      <c r="W16" s="32"/>
      <c r="X16" s="32"/>
      <c r="Y16" s="32"/>
      <c r="Z16" s="32"/>
      <c r="AA16" s="32"/>
      <c r="AB16" s="32"/>
      <c r="AC16" s="32"/>
      <c r="FO16" s="38">
        <f>AVERAGE(FO3:FO11)</f>
        <v>99.373638344226578</v>
      </c>
      <c r="FP16" s="39" t="s">
        <v>3</v>
      </c>
      <c r="FQ16" s="40">
        <f>AVERAGE(FQ3:FQ11)</f>
        <v>1.2350153144101503</v>
      </c>
      <c r="FR16" s="41" t="str">
        <f>IF(FO16&lt;40,"неудовлетворительно",IF((FO16&gt;=40)*AND(FO16&lt;60),"удовлетворительно",IF((FO16&gt;=60)*AND(FO16&lt;80),"хорошо","отлично")))</f>
        <v>отлично</v>
      </c>
    </row>
    <row r="17" spans="1:173" x14ac:dyDescent="0.25"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pans="1:173" ht="15.75" x14ac:dyDescent="0.25">
      <c r="V18" s="32"/>
      <c r="W18" s="32"/>
      <c r="X18" s="48"/>
      <c r="Y18" s="48"/>
      <c r="Z18" s="48"/>
      <c r="AA18" s="82"/>
      <c r="AB18" s="82"/>
      <c r="AC18" s="82"/>
      <c r="AD18" s="56"/>
      <c r="AE18" s="32"/>
    </row>
    <row r="19" spans="1:173" x14ac:dyDescent="0.25">
      <c r="V19" s="32"/>
      <c r="W19" s="32"/>
      <c r="X19" s="33"/>
      <c r="Y19" s="32"/>
      <c r="Z19" s="32"/>
      <c r="AA19" s="34"/>
      <c r="AB19" s="35"/>
      <c r="AC19" s="36"/>
      <c r="AD19" s="32"/>
      <c r="AE19" s="32"/>
    </row>
    <row r="20" spans="1:173" x14ac:dyDescent="0.25">
      <c r="V20" s="32"/>
      <c r="W20" s="32"/>
      <c r="X20" s="33"/>
      <c r="Y20" s="32"/>
      <c r="Z20" s="32"/>
      <c r="AA20" s="34"/>
      <c r="AB20" s="35"/>
      <c r="AC20" s="36"/>
      <c r="AD20" s="32"/>
      <c r="AE20" s="32"/>
    </row>
    <row r="21" spans="1:173" x14ac:dyDescent="0.25">
      <c r="V21" s="32"/>
      <c r="W21" s="32"/>
      <c r="X21" s="33"/>
      <c r="Y21" s="32"/>
      <c r="Z21" s="32"/>
      <c r="AA21" s="34"/>
      <c r="AB21" s="35"/>
      <c r="AC21" s="36"/>
      <c r="AD21" s="32"/>
      <c r="AE21" s="32"/>
      <c r="FC21" s="32"/>
      <c r="FD21" s="34"/>
      <c r="FE21" s="32"/>
      <c r="FF21" s="32"/>
      <c r="FG21" s="32"/>
      <c r="FH21" s="32"/>
      <c r="FI21" s="32"/>
      <c r="FJ21" s="32"/>
    </row>
    <row r="22" spans="1:173" x14ac:dyDescent="0.25">
      <c r="V22" s="32"/>
      <c r="W22" s="32"/>
      <c r="X22" s="33"/>
      <c r="Y22" s="32"/>
      <c r="Z22" s="32"/>
      <c r="AA22" s="34"/>
      <c r="AB22" s="35"/>
      <c r="AC22" s="36"/>
      <c r="AD22" s="32"/>
      <c r="AE22" s="32"/>
      <c r="FC22" s="32"/>
      <c r="FD22" s="34"/>
      <c r="FE22" s="32"/>
      <c r="FF22" s="32"/>
      <c r="FG22" s="32"/>
      <c r="FH22" s="32"/>
      <c r="FI22" s="32"/>
      <c r="FJ22" s="32"/>
    </row>
    <row r="23" spans="1:173" x14ac:dyDescent="0.25">
      <c r="V23" s="32"/>
      <c r="W23" s="32"/>
      <c r="X23" s="33"/>
      <c r="Y23" s="32"/>
      <c r="Z23" s="32"/>
      <c r="AA23" s="34"/>
      <c r="AB23" s="35"/>
      <c r="AC23" s="36"/>
      <c r="AD23" s="32"/>
      <c r="AE23" s="32"/>
      <c r="FC23" s="32"/>
      <c r="FD23" s="34"/>
      <c r="FE23" s="32"/>
      <c r="FF23" s="32"/>
      <c r="FG23" s="32"/>
      <c r="FH23" s="32"/>
      <c r="FI23" s="32"/>
      <c r="FJ23" s="32"/>
    </row>
    <row r="24" spans="1:173" x14ac:dyDescent="0.25">
      <c r="V24" s="32"/>
      <c r="W24" s="32"/>
      <c r="X24" s="33"/>
      <c r="Y24" s="32"/>
      <c r="Z24" s="32"/>
      <c r="AA24" s="34"/>
      <c r="AB24" s="35"/>
      <c r="AC24" s="36"/>
      <c r="AD24" s="32"/>
      <c r="AE24" s="32"/>
      <c r="FC24" s="32"/>
      <c r="FD24" s="34"/>
      <c r="FE24" s="32"/>
      <c r="FF24" s="32"/>
      <c r="FG24" s="32"/>
      <c r="FH24" s="32"/>
      <c r="FI24" s="32"/>
      <c r="FJ24" s="32"/>
    </row>
    <row r="25" spans="1:173" x14ac:dyDescent="0.25">
      <c r="V25" s="32"/>
      <c r="W25" s="32"/>
      <c r="X25" s="33"/>
      <c r="Y25" s="32"/>
      <c r="Z25" s="32"/>
      <c r="AA25" s="34"/>
      <c r="AB25" s="35"/>
      <c r="AC25" s="36"/>
      <c r="AD25" s="32"/>
      <c r="AE25" s="32"/>
      <c r="FC25" s="32"/>
      <c r="FD25" s="34"/>
      <c r="FE25" s="32"/>
      <c r="FF25" s="32"/>
      <c r="FG25" s="32"/>
      <c r="FH25" s="32"/>
      <c r="FI25" s="32"/>
      <c r="FJ25" s="32"/>
    </row>
    <row r="26" spans="1:173" x14ac:dyDescent="0.25">
      <c r="V26" s="32"/>
      <c r="W26" s="32"/>
      <c r="X26" s="33"/>
      <c r="Y26" s="32"/>
      <c r="Z26" s="32"/>
      <c r="AA26" s="34"/>
      <c r="AB26" s="35"/>
      <c r="AC26" s="36"/>
      <c r="AD26" s="32"/>
      <c r="AE26" s="32"/>
      <c r="FC26" s="32"/>
      <c r="FD26" s="34"/>
      <c r="FE26" s="32"/>
      <c r="FF26" s="32"/>
      <c r="FG26" s="32"/>
      <c r="FH26" s="32"/>
      <c r="FI26" s="32"/>
      <c r="FJ26" s="32"/>
    </row>
    <row r="27" spans="1:173" x14ac:dyDescent="0.25">
      <c r="V27" s="32"/>
      <c r="W27" s="32"/>
      <c r="X27" s="33"/>
      <c r="Y27" s="32"/>
      <c r="Z27" s="32"/>
      <c r="AA27" s="34"/>
      <c r="AB27" s="35"/>
      <c r="AC27" s="36"/>
      <c r="AD27" s="32"/>
      <c r="AE27" s="32"/>
      <c r="FC27" s="79"/>
      <c r="FD27" s="79"/>
      <c r="FE27" s="79"/>
      <c r="FF27" s="42"/>
      <c r="FG27" s="32"/>
      <c r="FH27" s="32"/>
      <c r="FI27" s="32"/>
      <c r="FJ27" s="32"/>
    </row>
    <row r="28" spans="1:173" ht="19.5" x14ac:dyDescent="0.35">
      <c r="A28" s="83"/>
      <c r="B28" s="84"/>
      <c r="V28" s="32"/>
      <c r="W28" s="32"/>
      <c r="X28" s="33"/>
      <c r="Y28" s="32"/>
      <c r="Z28" s="32"/>
      <c r="AA28" s="34"/>
      <c r="AB28" s="35"/>
      <c r="AC28" s="36"/>
      <c r="AD28" s="32"/>
      <c r="AE28" s="32"/>
      <c r="FC28" s="79"/>
      <c r="FD28" s="79"/>
      <c r="FE28" s="79"/>
      <c r="FF28" s="79"/>
      <c r="FG28" s="43"/>
      <c r="FH28" s="44"/>
      <c r="FI28" s="45"/>
      <c r="FJ28" s="46"/>
      <c r="FK28" s="51"/>
      <c r="FL28" s="51"/>
      <c r="FM28" s="51"/>
      <c r="FN28" s="51"/>
      <c r="FO28" s="51"/>
      <c r="FP28" s="51"/>
      <c r="FQ28" s="51"/>
    </row>
    <row r="29" spans="1:173" x14ac:dyDescent="0.25">
      <c r="V29" s="32"/>
      <c r="W29" s="32"/>
      <c r="X29" s="34"/>
      <c r="Y29" s="32"/>
      <c r="Z29" s="32"/>
      <c r="AA29" s="32"/>
      <c r="AB29" s="32"/>
      <c r="AC29" s="32"/>
      <c r="AD29" s="32"/>
      <c r="AE29" s="32"/>
      <c r="FC29" s="32"/>
      <c r="FD29" s="32"/>
      <c r="FE29" s="32"/>
      <c r="FF29" s="32"/>
      <c r="FG29" s="32"/>
      <c r="FH29" s="32"/>
      <c r="FI29" s="32"/>
      <c r="FJ29" s="32"/>
    </row>
    <row r="30" spans="1:173" x14ac:dyDescent="0.25">
      <c r="V30" s="32"/>
      <c r="W30" s="32"/>
      <c r="X30" s="34"/>
      <c r="Y30" s="32"/>
      <c r="Z30" s="32"/>
      <c r="AA30" s="32"/>
      <c r="AB30" s="32"/>
      <c r="AC30" s="32"/>
      <c r="AD30" s="32"/>
      <c r="AE30" s="32"/>
    </row>
    <row r="31" spans="1:173" x14ac:dyDescent="0.25">
      <c r="V31" s="32"/>
      <c r="W31" s="79"/>
      <c r="X31" s="79"/>
      <c r="Y31" s="79"/>
      <c r="Z31" s="34"/>
      <c r="AA31" s="32"/>
      <c r="AB31" s="32"/>
      <c r="AC31" s="32"/>
      <c r="AD31" s="32"/>
      <c r="AE31" s="32"/>
    </row>
    <row r="32" spans="1:173" x14ac:dyDescent="0.25">
      <c r="V32" s="32"/>
      <c r="W32" s="79"/>
      <c r="X32" s="79"/>
      <c r="Y32" s="79"/>
      <c r="Z32" s="79"/>
      <c r="AA32" s="43"/>
      <c r="AB32" s="44"/>
      <c r="AC32" s="45"/>
      <c r="AD32" s="46"/>
      <c r="AE32" s="32"/>
    </row>
    <row r="33" spans="23:29" customFormat="1" x14ac:dyDescent="0.25">
      <c r="W33" s="32"/>
      <c r="X33" s="32"/>
      <c r="Y33" s="32"/>
      <c r="Z33" s="32"/>
      <c r="AA33" s="32"/>
      <c r="AB33" s="32"/>
      <c r="AC33" s="32"/>
    </row>
    <row r="34" spans="23:29" customFormat="1" x14ac:dyDescent="0.25">
      <c r="W34" s="32"/>
      <c r="X34" s="32"/>
      <c r="Y34" s="32"/>
      <c r="Z34" s="32"/>
      <c r="AA34" s="32"/>
      <c r="AB34" s="32"/>
      <c r="AC34" s="32"/>
    </row>
    <row r="35" spans="23:29" customFormat="1" x14ac:dyDescent="0.25">
      <c r="W35" s="32"/>
      <c r="X35" s="32"/>
      <c r="Y35" s="32"/>
      <c r="Z35" s="32"/>
      <c r="AA35" s="32"/>
      <c r="AB35" s="32"/>
      <c r="AC35" s="32"/>
    </row>
    <row r="36" spans="23:29" customFormat="1" x14ac:dyDescent="0.25">
      <c r="W36" s="32"/>
      <c r="X36" s="32"/>
      <c r="Y36" s="32"/>
      <c r="Z36" s="32"/>
      <c r="AA36" s="32"/>
      <c r="AB36" s="32"/>
      <c r="AC36" s="32"/>
    </row>
    <row r="37" spans="23:29" customFormat="1" x14ac:dyDescent="0.25">
      <c r="W37" s="37"/>
      <c r="X37" s="52"/>
      <c r="Y37" s="52"/>
      <c r="Z37" s="37"/>
      <c r="AA37" s="18"/>
      <c r="AB37" s="18"/>
      <c r="AC37" s="18"/>
    </row>
    <row r="38" spans="23:29" customFormat="1" x14ac:dyDescent="0.25">
      <c r="W38" s="37"/>
      <c r="X38" s="52"/>
      <c r="Y38" s="52"/>
      <c r="Z38" s="37"/>
      <c r="AA38" s="18"/>
      <c r="AB38" s="18"/>
      <c r="AC38" s="18"/>
    </row>
    <row r="39" spans="23:29" customFormat="1" x14ac:dyDescent="0.25">
      <c r="W39" s="37"/>
      <c r="X39" s="52"/>
      <c r="Y39" s="52"/>
      <c r="Z39" s="37"/>
      <c r="AA39" s="18"/>
      <c r="AB39" s="18"/>
      <c r="AC39" s="18"/>
    </row>
    <row r="40" spans="23:29" customFormat="1" x14ac:dyDescent="0.25">
      <c r="W40" s="37"/>
      <c r="X40" s="52"/>
      <c r="Y40" s="52"/>
      <c r="Z40" s="37"/>
      <c r="AA40" s="18"/>
      <c r="AB40" s="18"/>
      <c r="AC40" s="18"/>
    </row>
    <row r="41" spans="23:29" customFormat="1" x14ac:dyDescent="0.25">
      <c r="W41" s="37"/>
      <c r="X41" s="52"/>
      <c r="Y41" s="52"/>
      <c r="Z41" s="37"/>
      <c r="AA41" s="18"/>
      <c r="AB41" s="18"/>
      <c r="AC41" s="18"/>
    </row>
    <row r="42" spans="23:29" customFormat="1" x14ac:dyDescent="0.25">
      <c r="W42" s="37"/>
      <c r="X42" s="52"/>
      <c r="Y42" s="52"/>
      <c r="Z42" s="37"/>
      <c r="AA42" s="18"/>
      <c r="AB42" s="18"/>
      <c r="AC42" s="18"/>
    </row>
    <row r="43" spans="23:29" customFormat="1" x14ac:dyDescent="0.25">
      <c r="W43" s="37"/>
      <c r="X43" s="52"/>
      <c r="Y43" s="52"/>
      <c r="Z43" s="37"/>
      <c r="AA43" s="18"/>
      <c r="AB43" s="18"/>
      <c r="AC43" s="18"/>
    </row>
    <row r="44" spans="23:29" customFormat="1" x14ac:dyDescent="0.25">
      <c r="W44" s="37"/>
      <c r="X44" s="52"/>
      <c r="Y44" s="52"/>
      <c r="Z44" s="37"/>
      <c r="AA44" s="18"/>
      <c r="AB44" s="18"/>
      <c r="AC44" s="18"/>
    </row>
    <row r="45" spans="23:29" customFormat="1" x14ac:dyDescent="0.25">
      <c r="W45" s="37"/>
      <c r="X45" s="52"/>
      <c r="Y45" s="52"/>
      <c r="Z45" s="37"/>
      <c r="AA45" s="18"/>
      <c r="AB45" s="18"/>
      <c r="AC45" s="18"/>
    </row>
    <row r="46" spans="23:29" customFormat="1" x14ac:dyDescent="0.25">
      <c r="W46" s="37"/>
      <c r="X46" s="52"/>
      <c r="Y46" s="52"/>
      <c r="Z46" s="37"/>
      <c r="AA46" s="18"/>
      <c r="AB46" s="18"/>
      <c r="AC46" s="18"/>
    </row>
    <row r="47" spans="23:29" customFormat="1" x14ac:dyDescent="0.25">
      <c r="W47" s="37"/>
      <c r="X47" s="52"/>
      <c r="Y47" s="52"/>
      <c r="Z47" s="37"/>
      <c r="AA47" s="18"/>
      <c r="AB47" s="18"/>
      <c r="AC47" s="18"/>
    </row>
    <row r="48" spans="23:29" customFormat="1" x14ac:dyDescent="0.25">
      <c r="W48" s="37"/>
      <c r="X48" s="52"/>
      <c r="Y48" s="52"/>
      <c r="Z48" s="37"/>
      <c r="AA48" s="18"/>
      <c r="AB48" s="18"/>
      <c r="AC48" s="18"/>
    </row>
    <row r="49" spans="23:29" customFormat="1" x14ac:dyDescent="0.25">
      <c r="W49" s="37"/>
      <c r="X49" s="52"/>
      <c r="Y49" s="52"/>
      <c r="Z49" s="37"/>
      <c r="AA49" s="18"/>
      <c r="AB49" s="18"/>
      <c r="AC49" s="18"/>
    </row>
    <row r="50" spans="23:29" customFormat="1" x14ac:dyDescent="0.25">
      <c r="W50" s="37"/>
      <c r="X50" s="52"/>
      <c r="Y50" s="52"/>
      <c r="Z50" s="37"/>
      <c r="AA50" s="18"/>
      <c r="AB50" s="18"/>
      <c r="AC50" s="18"/>
    </row>
    <row r="51" spans="23:29" customFormat="1" x14ac:dyDescent="0.25">
      <c r="W51" s="37"/>
      <c r="X51" s="52"/>
      <c r="Y51" s="52"/>
      <c r="Z51" s="37"/>
      <c r="AA51" s="18"/>
      <c r="AB51" s="18"/>
      <c r="AC51" s="18"/>
    </row>
    <row r="52" spans="23:29" customFormat="1" x14ac:dyDescent="0.25">
      <c r="W52" s="37"/>
      <c r="X52" s="52"/>
      <c r="Y52" s="52"/>
      <c r="Z52" s="37"/>
      <c r="AA52" s="18"/>
      <c r="AB52" s="18"/>
      <c r="AC52" s="18"/>
    </row>
    <row r="53" spans="23:29" customFormat="1" x14ac:dyDescent="0.25">
      <c r="W53" s="37"/>
      <c r="X53" s="52"/>
      <c r="Y53" s="52"/>
      <c r="Z53" s="37"/>
      <c r="AA53" s="18"/>
      <c r="AB53" s="18"/>
      <c r="AC53" s="18"/>
    </row>
    <row r="54" spans="23:29" customFormat="1" x14ac:dyDescent="0.25">
      <c r="W54" s="37"/>
      <c r="X54" s="52"/>
      <c r="Y54" s="52"/>
      <c r="Z54" s="37"/>
      <c r="AA54" s="18"/>
      <c r="AB54" s="18"/>
      <c r="AC54" s="18"/>
    </row>
    <row r="55" spans="23:29" customFormat="1" x14ac:dyDescent="0.25">
      <c r="W55" s="37"/>
      <c r="X55" s="52"/>
      <c r="Y55" s="52"/>
      <c r="Z55" s="37"/>
      <c r="AA55" s="18"/>
      <c r="AB55" s="18"/>
      <c r="AC55" s="18"/>
    </row>
    <row r="56" spans="23:29" customFormat="1" x14ac:dyDescent="0.25">
      <c r="W56" s="37"/>
      <c r="X56" s="52"/>
      <c r="Y56" s="52"/>
      <c r="Z56" s="37"/>
      <c r="AA56" s="18"/>
      <c r="AB56" s="18"/>
      <c r="AC56" s="18"/>
    </row>
    <row r="57" spans="23:29" customFormat="1" x14ac:dyDescent="0.25">
      <c r="W57" s="37"/>
      <c r="X57" s="52"/>
      <c r="Y57" s="52"/>
      <c r="Z57" s="37"/>
      <c r="AA57" s="18"/>
      <c r="AB57" s="18"/>
      <c r="AC57" s="18"/>
    </row>
    <row r="58" spans="23:29" customFormat="1" x14ac:dyDescent="0.25">
      <c r="W58" s="37"/>
      <c r="X58" s="52"/>
      <c r="Y58" s="52"/>
      <c r="Z58" s="37"/>
      <c r="AA58" s="18"/>
      <c r="AB58" s="18"/>
      <c r="AC58" s="18"/>
    </row>
    <row r="59" spans="23:29" customFormat="1" x14ac:dyDescent="0.25">
      <c r="W59" s="37"/>
      <c r="X59" s="52"/>
      <c r="Y59" s="52"/>
      <c r="Z59" s="37"/>
      <c r="AA59" s="18"/>
      <c r="AB59" s="18"/>
      <c r="AC59" s="18"/>
    </row>
    <row r="60" spans="23:29" customFormat="1" x14ac:dyDescent="0.25">
      <c r="W60" s="37"/>
      <c r="X60" s="52"/>
      <c r="Y60" s="52"/>
      <c r="Z60" s="37"/>
      <c r="AA60" s="18"/>
      <c r="AB60" s="18"/>
      <c r="AC60" s="18"/>
    </row>
    <row r="61" spans="23:29" customFormat="1" x14ac:dyDescent="0.25">
      <c r="W61" s="37"/>
      <c r="X61" s="52"/>
      <c r="Y61" s="52"/>
      <c r="Z61" s="37"/>
      <c r="AA61" s="18"/>
      <c r="AB61" s="18"/>
      <c r="AC61" s="18"/>
    </row>
    <row r="62" spans="23:29" customFormat="1" x14ac:dyDescent="0.25">
      <c r="W62" s="37"/>
      <c r="X62" s="52"/>
      <c r="Y62" s="52"/>
      <c r="Z62" s="37"/>
      <c r="AA62" s="18"/>
      <c r="AB62" s="18"/>
      <c r="AC62" s="18"/>
    </row>
    <row r="63" spans="23:29" customFormat="1" x14ac:dyDescent="0.25">
      <c r="W63" s="37"/>
      <c r="X63" s="52"/>
      <c r="Y63" s="52"/>
      <c r="Z63" s="37"/>
      <c r="AA63" s="18"/>
      <c r="AB63" s="18"/>
      <c r="AC63" s="18"/>
    </row>
    <row r="64" spans="23:29" customFormat="1" x14ac:dyDescent="0.25">
      <c r="W64" s="37"/>
      <c r="X64" s="52"/>
      <c r="Y64" s="52"/>
      <c r="Z64" s="37"/>
      <c r="AA64" s="18"/>
      <c r="AB64" s="18"/>
      <c r="AC64" s="18"/>
    </row>
    <row r="65" spans="23:29" customFormat="1" x14ac:dyDescent="0.25">
      <c r="W65" s="37"/>
      <c r="X65" s="52"/>
      <c r="Y65" s="52"/>
      <c r="Z65" s="37"/>
      <c r="AA65" s="18"/>
      <c r="AB65" s="18"/>
      <c r="AC65" s="18"/>
    </row>
    <row r="66" spans="23:29" customFormat="1" x14ac:dyDescent="0.25">
      <c r="W66" s="37"/>
      <c r="X66" s="52"/>
      <c r="Y66" s="52"/>
      <c r="Z66" s="37"/>
      <c r="AA66" s="18"/>
      <c r="AB66" s="18"/>
      <c r="AC66" s="18"/>
    </row>
    <row r="67" spans="23:29" customFormat="1" x14ac:dyDescent="0.25">
      <c r="W67" s="37"/>
      <c r="X67" s="52"/>
      <c r="Y67" s="52"/>
      <c r="Z67" s="37"/>
      <c r="AA67" s="18"/>
      <c r="AB67" s="18"/>
      <c r="AC67" s="18"/>
    </row>
    <row r="68" spans="23:29" customFormat="1" x14ac:dyDescent="0.25">
      <c r="W68" s="37"/>
      <c r="X68" s="52"/>
      <c r="Y68" s="52"/>
      <c r="Z68" s="37"/>
      <c r="AA68" s="18"/>
      <c r="AB68" s="18"/>
      <c r="AC68" s="18"/>
    </row>
    <row r="69" spans="23:29" customFormat="1" x14ac:dyDescent="0.25">
      <c r="W69" s="37"/>
      <c r="X69" s="52"/>
      <c r="Y69" s="52"/>
      <c r="Z69" s="37"/>
      <c r="AA69" s="18"/>
      <c r="AB69" s="18"/>
      <c r="AC69" s="18"/>
    </row>
    <row r="70" spans="23:29" customFormat="1" x14ac:dyDescent="0.25">
      <c r="W70" s="37"/>
      <c r="X70" s="52"/>
      <c r="Y70" s="52"/>
      <c r="Z70" s="37"/>
      <c r="AA70" s="18"/>
      <c r="AB70" s="18"/>
      <c r="AC70" s="18"/>
    </row>
    <row r="71" spans="23:29" customFormat="1" x14ac:dyDescent="0.25">
      <c r="W71" s="37"/>
      <c r="X71" s="52"/>
      <c r="Y71" s="52"/>
      <c r="Z71" s="37"/>
      <c r="AA71" s="18"/>
      <c r="AB71" s="18"/>
      <c r="AC71" s="18"/>
    </row>
    <row r="72" spans="23:29" customFormat="1" x14ac:dyDescent="0.25">
      <c r="W72" s="37"/>
      <c r="X72" s="52"/>
      <c r="Y72" s="52"/>
      <c r="Z72" s="37"/>
      <c r="AA72" s="18"/>
      <c r="AB72" s="18"/>
      <c r="AC72" s="18"/>
    </row>
    <row r="73" spans="23:29" customFormat="1" x14ac:dyDescent="0.25">
      <c r="W73" s="37"/>
      <c r="X73" s="52"/>
      <c r="Y73" s="52"/>
      <c r="Z73" s="37"/>
      <c r="AA73" s="18"/>
      <c r="AB73" s="18"/>
      <c r="AC73" s="18"/>
    </row>
    <row r="74" spans="23:29" customFormat="1" x14ac:dyDescent="0.25">
      <c r="W74" s="37"/>
      <c r="X74" s="52"/>
      <c r="Y74" s="52"/>
      <c r="Z74" s="37"/>
      <c r="AA74" s="18"/>
      <c r="AB74" s="18"/>
      <c r="AC74" s="18"/>
    </row>
    <row r="75" spans="23:29" customFormat="1" x14ac:dyDescent="0.25">
      <c r="W75" s="37"/>
      <c r="X75" s="52"/>
      <c r="Y75" s="52"/>
      <c r="Z75" s="37"/>
      <c r="AA75" s="18"/>
      <c r="AB75" s="18"/>
      <c r="AC75" s="18"/>
    </row>
    <row r="76" spans="23:29" customFormat="1" x14ac:dyDescent="0.25">
      <c r="W76" s="37"/>
      <c r="X76" s="52"/>
      <c r="Y76" s="52"/>
      <c r="Z76" s="37"/>
      <c r="AA76" s="18"/>
      <c r="AB76" s="18"/>
      <c r="AC76" s="18"/>
    </row>
    <row r="77" spans="23:29" customFormat="1" x14ac:dyDescent="0.25">
      <c r="W77" s="37"/>
      <c r="X77" s="52"/>
      <c r="Y77" s="52"/>
      <c r="Z77" s="37"/>
      <c r="AA77" s="18"/>
      <c r="AB77" s="18"/>
      <c r="AC77" s="18"/>
    </row>
    <row r="78" spans="23:29" customFormat="1" x14ac:dyDescent="0.25">
      <c r="W78" s="37"/>
      <c r="X78" s="52"/>
      <c r="Y78" s="52"/>
      <c r="Z78" s="37"/>
      <c r="AA78" s="18"/>
      <c r="AB78" s="18"/>
      <c r="AC78" s="18"/>
    </row>
    <row r="79" spans="23:29" customFormat="1" x14ac:dyDescent="0.25">
      <c r="W79" s="37"/>
      <c r="X79" s="52"/>
      <c r="Y79" s="52"/>
      <c r="Z79" s="37"/>
      <c r="AA79" s="18"/>
      <c r="AB79" s="18"/>
      <c r="AC79" s="18"/>
    </row>
    <row r="80" spans="23:29" customFormat="1" x14ac:dyDescent="0.25">
      <c r="W80" s="37"/>
      <c r="X80" s="52"/>
      <c r="Y80" s="52"/>
      <c r="Z80" s="37"/>
      <c r="AA80" s="18"/>
      <c r="AB80" s="18"/>
      <c r="AC80" s="18"/>
    </row>
    <row r="81" spans="23:29" customFormat="1" x14ac:dyDescent="0.25">
      <c r="W81" s="37"/>
      <c r="X81" s="52"/>
      <c r="Y81" s="52"/>
      <c r="Z81" s="37"/>
      <c r="AA81" s="18"/>
      <c r="AB81" s="18"/>
      <c r="AC81" s="18"/>
    </row>
    <row r="82" spans="23:29" customFormat="1" x14ac:dyDescent="0.25">
      <c r="W82" s="37"/>
      <c r="X82" s="52"/>
      <c r="Y82" s="52"/>
      <c r="Z82" s="37"/>
      <c r="AA82" s="18"/>
      <c r="AB82" s="18"/>
      <c r="AC82" s="18"/>
    </row>
    <row r="83" spans="23:29" customFormat="1" x14ac:dyDescent="0.25">
      <c r="W83" s="37"/>
      <c r="X83" s="52"/>
      <c r="Y83" s="52"/>
      <c r="Z83" s="37"/>
      <c r="AA83" s="18"/>
      <c r="AB83" s="18"/>
      <c r="AC83" s="18"/>
    </row>
    <row r="84" spans="23:29" customFormat="1" x14ac:dyDescent="0.25">
      <c r="W84" s="37"/>
      <c r="X84" s="52"/>
      <c r="Y84" s="52"/>
      <c r="Z84" s="37"/>
      <c r="AA84" s="18"/>
      <c r="AB84" s="18"/>
      <c r="AC84" s="18"/>
    </row>
    <row r="85" spans="23:29" customFormat="1" x14ac:dyDescent="0.25">
      <c r="W85" s="37"/>
      <c r="X85" s="52"/>
      <c r="Y85" s="52"/>
      <c r="Z85" s="37"/>
      <c r="AA85" s="18"/>
      <c r="AB85" s="18"/>
      <c r="AC85" s="18"/>
    </row>
    <row r="86" spans="23:29" customFormat="1" x14ac:dyDescent="0.25">
      <c r="W86" s="37"/>
      <c r="X86" s="52"/>
      <c r="Y86" s="52"/>
      <c r="Z86" s="37"/>
      <c r="AA86" s="18"/>
      <c r="AB86" s="18"/>
      <c r="AC86" s="18"/>
    </row>
    <row r="87" spans="23:29" customFormat="1" x14ac:dyDescent="0.25">
      <c r="W87" s="37"/>
      <c r="X87" s="52"/>
      <c r="Y87" s="52"/>
      <c r="Z87" s="37"/>
      <c r="AA87" s="18"/>
      <c r="AB87" s="18"/>
      <c r="AC87" s="18"/>
    </row>
    <row r="88" spans="23:29" customFormat="1" x14ac:dyDescent="0.25">
      <c r="W88" s="37"/>
      <c r="X88" s="52"/>
      <c r="Y88" s="52"/>
      <c r="Z88" s="37"/>
      <c r="AA88" s="18"/>
      <c r="AB88" s="18"/>
      <c r="AC88" s="18"/>
    </row>
    <row r="89" spans="23:29" customFormat="1" x14ac:dyDescent="0.25">
      <c r="W89" s="37"/>
      <c r="X89" s="52"/>
      <c r="Y89" s="52"/>
      <c r="Z89" s="37"/>
      <c r="AA89" s="18"/>
      <c r="AB89" s="18"/>
      <c r="AC89" s="18"/>
    </row>
    <row r="90" spans="23:29" customFormat="1" x14ac:dyDescent="0.25">
      <c r="W90" s="37"/>
      <c r="X90" s="52"/>
      <c r="Y90" s="52"/>
      <c r="Z90" s="37"/>
      <c r="AA90" s="18"/>
      <c r="AB90" s="18"/>
      <c r="AC90" s="18"/>
    </row>
    <row r="91" spans="23:29" customFormat="1" x14ac:dyDescent="0.25">
      <c r="W91" s="37"/>
      <c r="X91" s="52"/>
      <c r="Y91" s="52"/>
      <c r="Z91" s="37"/>
      <c r="AA91" s="18"/>
      <c r="AB91" s="18"/>
      <c r="AC91" s="18"/>
    </row>
    <row r="92" spans="23:29" customFormat="1" x14ac:dyDescent="0.25">
      <c r="W92" s="37"/>
      <c r="X92" s="52"/>
      <c r="Y92" s="52"/>
      <c r="Z92" s="37"/>
      <c r="AA92" s="18"/>
      <c r="AB92" s="18"/>
      <c r="AC92" s="18"/>
    </row>
    <row r="93" spans="23:29" customFormat="1" x14ac:dyDescent="0.25">
      <c r="W93" s="37"/>
      <c r="X93" s="52"/>
      <c r="Y93" s="52"/>
      <c r="Z93" s="37"/>
      <c r="AA93" s="18"/>
      <c r="AB93" s="18"/>
      <c r="AC93" s="18"/>
    </row>
    <row r="94" spans="23:29" customFormat="1" x14ac:dyDescent="0.25">
      <c r="W94" s="37"/>
      <c r="X94" s="52"/>
      <c r="Y94" s="52"/>
      <c r="Z94" s="37"/>
      <c r="AA94" s="18"/>
      <c r="AB94" s="18"/>
      <c r="AC94" s="18"/>
    </row>
    <row r="95" spans="23:29" customFormat="1" x14ac:dyDescent="0.25">
      <c r="W95" s="37"/>
      <c r="X95" s="52"/>
      <c r="Y95" s="52"/>
      <c r="Z95" s="37"/>
      <c r="AA95" s="18"/>
      <c r="AB95" s="18"/>
      <c r="AC95" s="18"/>
    </row>
    <row r="96" spans="23:29" customFormat="1" x14ac:dyDescent="0.25">
      <c r="W96" s="37"/>
      <c r="X96" s="52"/>
      <c r="Y96" s="52"/>
      <c r="Z96" s="37"/>
      <c r="AA96" s="18"/>
      <c r="AB96" s="18"/>
      <c r="AC96" s="18"/>
    </row>
    <row r="97" spans="23:29" customFormat="1" x14ac:dyDescent="0.25">
      <c r="W97" s="37"/>
      <c r="X97" s="52"/>
      <c r="Y97" s="52"/>
      <c r="Z97" s="37"/>
      <c r="AA97" s="18"/>
      <c r="AB97" s="18"/>
      <c r="AC97" s="18"/>
    </row>
    <row r="98" spans="23:29" customFormat="1" x14ac:dyDescent="0.25">
      <c r="W98" s="37"/>
      <c r="X98" s="52"/>
      <c r="Y98" s="52"/>
      <c r="Z98" s="37"/>
      <c r="AA98" s="18"/>
      <c r="AB98" s="18"/>
      <c r="AC98" s="18"/>
    </row>
    <row r="99" spans="23:29" customFormat="1" x14ac:dyDescent="0.25">
      <c r="W99" s="37"/>
      <c r="X99" s="52"/>
      <c r="Y99" s="52"/>
      <c r="Z99" s="37"/>
      <c r="AA99" s="18"/>
      <c r="AB99" s="18"/>
      <c r="AC99" s="18"/>
    </row>
    <row r="100" spans="23:29" customFormat="1" x14ac:dyDescent="0.25">
      <c r="W100" s="37"/>
      <c r="X100" s="52"/>
      <c r="Y100" s="52"/>
      <c r="Z100" s="37"/>
      <c r="AA100" s="18"/>
      <c r="AB100" s="18"/>
      <c r="AC100" s="18"/>
    </row>
    <row r="101" spans="23:29" customFormat="1" x14ac:dyDescent="0.25">
      <c r="W101" s="37"/>
      <c r="X101" s="52"/>
      <c r="Y101" s="52"/>
      <c r="Z101" s="37"/>
      <c r="AA101" s="18"/>
      <c r="AB101" s="18"/>
      <c r="AC101" s="18"/>
    </row>
    <row r="102" spans="23:29" customFormat="1" x14ac:dyDescent="0.25">
      <c r="W102" s="37"/>
      <c r="X102" s="52"/>
      <c r="Y102" s="52"/>
      <c r="Z102" s="37"/>
      <c r="AA102" s="18"/>
      <c r="AB102" s="18"/>
      <c r="AC102" s="18"/>
    </row>
    <row r="103" spans="23:29" customFormat="1" x14ac:dyDescent="0.25">
      <c r="W103" s="37"/>
      <c r="X103" s="52"/>
      <c r="Y103" s="52"/>
      <c r="Z103" s="37"/>
      <c r="AA103" s="18"/>
      <c r="AB103" s="18"/>
      <c r="AC103" s="18"/>
    </row>
    <row r="104" spans="23:29" customFormat="1" x14ac:dyDescent="0.25">
      <c r="W104" s="37"/>
      <c r="X104" s="52"/>
      <c r="Y104" s="52"/>
      <c r="Z104" s="37"/>
      <c r="AA104" s="18"/>
      <c r="AB104" s="18"/>
      <c r="AC104" s="18"/>
    </row>
    <row r="105" spans="23:29" customFormat="1" x14ac:dyDescent="0.25">
      <c r="W105" s="37"/>
      <c r="X105" s="52"/>
      <c r="Y105" s="52"/>
      <c r="Z105" s="37"/>
      <c r="AA105" s="18"/>
      <c r="AB105" s="18"/>
      <c r="AC105" s="18"/>
    </row>
    <row r="106" spans="23:29" customFormat="1" x14ac:dyDescent="0.25">
      <c r="W106" s="37"/>
      <c r="X106" s="52"/>
      <c r="Y106" s="52"/>
      <c r="Z106" s="37"/>
      <c r="AA106" s="18"/>
      <c r="AB106" s="18"/>
      <c r="AC106" s="18"/>
    </row>
    <row r="107" spans="23:29" customFormat="1" x14ac:dyDescent="0.25">
      <c r="W107" s="37"/>
      <c r="X107" s="52"/>
      <c r="Y107" s="52"/>
      <c r="Z107" s="37"/>
      <c r="AA107" s="18"/>
      <c r="AB107" s="18"/>
      <c r="AC107" s="18"/>
    </row>
    <row r="108" spans="23:29" customFormat="1" x14ac:dyDescent="0.25">
      <c r="W108" s="37"/>
      <c r="X108" s="52"/>
      <c r="Y108" s="52"/>
      <c r="Z108" s="37"/>
      <c r="AA108" s="18"/>
      <c r="AB108" s="18"/>
      <c r="AC108" s="18"/>
    </row>
    <row r="109" spans="23:29" customFormat="1" x14ac:dyDescent="0.25">
      <c r="W109" s="37"/>
      <c r="X109" s="52"/>
      <c r="Y109" s="52"/>
      <c r="Z109" s="37"/>
      <c r="AA109" s="18"/>
      <c r="AB109" s="18"/>
      <c r="AC109" s="18"/>
    </row>
    <row r="110" spans="23:29" customFormat="1" x14ac:dyDescent="0.25">
      <c r="W110" s="37"/>
      <c r="X110" s="52"/>
      <c r="Y110" s="52"/>
      <c r="Z110" s="37"/>
      <c r="AA110" s="18"/>
      <c r="AB110" s="18"/>
      <c r="AC110" s="18"/>
    </row>
    <row r="111" spans="23:29" customFormat="1" x14ac:dyDescent="0.25">
      <c r="W111" s="37"/>
      <c r="X111" s="52"/>
      <c r="Y111" s="52"/>
      <c r="Z111" s="37"/>
      <c r="AA111" s="18"/>
      <c r="AB111" s="18"/>
      <c r="AC111" s="18"/>
    </row>
    <row r="112" spans="23:29" customFormat="1" x14ac:dyDescent="0.25">
      <c r="W112" s="37"/>
      <c r="X112" s="52"/>
      <c r="Y112" s="52"/>
      <c r="Z112" s="37"/>
      <c r="AA112" s="18"/>
      <c r="AB112" s="18"/>
      <c r="AC112" s="18"/>
    </row>
    <row r="113" spans="23:29" customFormat="1" x14ac:dyDescent="0.25">
      <c r="W113" s="37"/>
      <c r="X113" s="52"/>
      <c r="Y113" s="52"/>
      <c r="Z113" s="37"/>
      <c r="AA113" s="18"/>
      <c r="AB113" s="18"/>
      <c r="AC113" s="18"/>
    </row>
    <row r="114" spans="23:29" customFormat="1" x14ac:dyDescent="0.25">
      <c r="W114" s="37"/>
      <c r="X114" s="52"/>
      <c r="Y114" s="52"/>
      <c r="Z114" s="37"/>
      <c r="AA114" s="18"/>
      <c r="AB114" s="18"/>
      <c r="AC114" s="18"/>
    </row>
    <row r="115" spans="23:29" customFormat="1" x14ac:dyDescent="0.25">
      <c r="W115" s="37"/>
      <c r="X115" s="52"/>
      <c r="Y115" s="52"/>
      <c r="Z115" s="37"/>
      <c r="AA115" s="18"/>
      <c r="AB115" s="18"/>
      <c r="AC115" s="18"/>
    </row>
    <row r="116" spans="23:29" customFormat="1" x14ac:dyDescent="0.25">
      <c r="W116" s="37"/>
      <c r="X116" s="52"/>
      <c r="Y116" s="52"/>
      <c r="Z116" s="37"/>
      <c r="AA116" s="18"/>
      <c r="AB116" s="18"/>
      <c r="AC116" s="18"/>
    </row>
    <row r="117" spans="23:29" customFormat="1" x14ac:dyDescent="0.25">
      <c r="W117" s="37"/>
      <c r="X117" s="52"/>
      <c r="Y117" s="52"/>
      <c r="Z117" s="37"/>
      <c r="AA117" s="18"/>
      <c r="AB117" s="18"/>
      <c r="AC117" s="18"/>
    </row>
    <row r="118" spans="23:29" customFormat="1" x14ac:dyDescent="0.25">
      <c r="W118" s="37"/>
      <c r="X118" s="52"/>
      <c r="Y118" s="52"/>
      <c r="Z118" s="37"/>
      <c r="AA118" s="18"/>
      <c r="AB118" s="18"/>
      <c r="AC118" s="18"/>
    </row>
    <row r="119" spans="23:29" customFormat="1" x14ac:dyDescent="0.25">
      <c r="W119" s="37"/>
      <c r="X119" s="52"/>
      <c r="Y119" s="52"/>
      <c r="Z119" s="37"/>
      <c r="AA119" s="18"/>
      <c r="AB119" s="18"/>
      <c r="AC119" s="18"/>
    </row>
    <row r="120" spans="23:29" customFormat="1" x14ac:dyDescent="0.25">
      <c r="W120" s="37"/>
      <c r="X120" s="52"/>
      <c r="Y120" s="52"/>
      <c r="Z120" s="37"/>
      <c r="AA120" s="18"/>
      <c r="AB120" s="18"/>
      <c r="AC120" s="18"/>
    </row>
    <row r="121" spans="23:29" customFormat="1" x14ac:dyDescent="0.25">
      <c r="W121" s="37"/>
      <c r="X121" s="52"/>
      <c r="Y121" s="52"/>
      <c r="Z121" s="37"/>
      <c r="AA121" s="18"/>
      <c r="AB121" s="18"/>
      <c r="AC121" s="18"/>
    </row>
    <row r="122" spans="23:29" customFormat="1" x14ac:dyDescent="0.25">
      <c r="W122" s="37"/>
      <c r="X122" s="52"/>
      <c r="Y122" s="52"/>
      <c r="Z122" s="37"/>
      <c r="AA122" s="18"/>
      <c r="AB122" s="18"/>
      <c r="AC122" s="18"/>
    </row>
    <row r="123" spans="23:29" customFormat="1" x14ac:dyDescent="0.25">
      <c r="W123" s="37"/>
      <c r="X123" s="52"/>
      <c r="Y123" s="52"/>
      <c r="Z123" s="37"/>
      <c r="AA123" s="18"/>
      <c r="AB123" s="18"/>
      <c r="AC123" s="18"/>
    </row>
    <row r="124" spans="23:29" customFormat="1" x14ac:dyDescent="0.25">
      <c r="W124" s="37"/>
      <c r="X124" s="52"/>
      <c r="Y124" s="52"/>
      <c r="Z124" s="37"/>
      <c r="AA124" s="18"/>
      <c r="AB124" s="18"/>
      <c r="AC124" s="18"/>
    </row>
    <row r="125" spans="23:29" customFormat="1" x14ac:dyDescent="0.25">
      <c r="W125" s="37"/>
      <c r="X125" s="52"/>
      <c r="Y125" s="52"/>
      <c r="Z125" s="37"/>
      <c r="AA125" s="18"/>
      <c r="AB125" s="18"/>
      <c r="AC125" s="18"/>
    </row>
    <row r="126" spans="23:29" customFormat="1" x14ac:dyDescent="0.25">
      <c r="W126" s="37"/>
      <c r="X126" s="52"/>
      <c r="Y126" s="52"/>
      <c r="Z126" s="37"/>
      <c r="AA126" s="18"/>
      <c r="AB126" s="18"/>
      <c r="AC126" s="18"/>
    </row>
    <row r="127" spans="23:29" customFormat="1" x14ac:dyDescent="0.25">
      <c r="W127" s="37"/>
      <c r="X127" s="52"/>
      <c r="Y127" s="52"/>
      <c r="Z127" s="37"/>
      <c r="AA127" s="18"/>
      <c r="AB127" s="18"/>
      <c r="AC127" s="18"/>
    </row>
    <row r="128" spans="23:29" customFormat="1" x14ac:dyDescent="0.25">
      <c r="W128" s="37"/>
      <c r="X128" s="52"/>
      <c r="Y128" s="52"/>
      <c r="Z128" s="37"/>
      <c r="AA128" s="18"/>
      <c r="AB128" s="18"/>
      <c r="AC128" s="18"/>
    </row>
    <row r="129" spans="23:29" customFormat="1" x14ac:dyDescent="0.25">
      <c r="W129" s="37"/>
      <c r="X129" s="52"/>
      <c r="Y129" s="52"/>
      <c r="Z129" s="37"/>
      <c r="AA129" s="18"/>
      <c r="AB129" s="18"/>
      <c r="AC129" s="18"/>
    </row>
    <row r="130" spans="23:29" customFormat="1" x14ac:dyDescent="0.25">
      <c r="W130" s="37"/>
      <c r="X130" s="52"/>
      <c r="Y130" s="52"/>
      <c r="Z130" s="37"/>
      <c r="AA130" s="18"/>
      <c r="AB130" s="18"/>
      <c r="AC130" s="18"/>
    </row>
    <row r="131" spans="23:29" customFormat="1" x14ac:dyDescent="0.25">
      <c r="W131" s="37"/>
      <c r="X131" s="52"/>
      <c r="Y131" s="52"/>
      <c r="Z131" s="37"/>
      <c r="AA131" s="18"/>
      <c r="AB131" s="18"/>
      <c r="AC131" s="18"/>
    </row>
    <row r="132" spans="23:29" customFormat="1" x14ac:dyDescent="0.25">
      <c r="W132" s="37"/>
      <c r="X132" s="52"/>
      <c r="Y132" s="52"/>
      <c r="Z132" s="37"/>
      <c r="AA132" s="18"/>
      <c r="AB132" s="18"/>
      <c r="AC132" s="18"/>
    </row>
    <row r="133" spans="23:29" customFormat="1" x14ac:dyDescent="0.25">
      <c r="W133" s="37"/>
      <c r="X133" s="52"/>
      <c r="Y133" s="52"/>
      <c r="Z133" s="37"/>
      <c r="AA133" s="18"/>
      <c r="AB133" s="18"/>
      <c r="AC133" s="18"/>
    </row>
    <row r="134" spans="23:29" customFormat="1" x14ac:dyDescent="0.25">
      <c r="W134" s="37"/>
      <c r="X134" s="52"/>
      <c r="Y134" s="52"/>
      <c r="Z134" s="37"/>
      <c r="AA134" s="18"/>
      <c r="AB134" s="18"/>
      <c r="AC134" s="18"/>
    </row>
    <row r="135" spans="23:29" customFormat="1" x14ac:dyDescent="0.25">
      <c r="W135" s="37"/>
      <c r="X135" s="52"/>
      <c r="Y135" s="52"/>
      <c r="Z135" s="37"/>
      <c r="AA135" s="18"/>
      <c r="AB135" s="18"/>
      <c r="AC135" s="18"/>
    </row>
    <row r="136" spans="23:29" customFormat="1" x14ac:dyDescent="0.25">
      <c r="W136" s="37"/>
      <c r="X136" s="52"/>
      <c r="Y136" s="52"/>
      <c r="Z136" s="37"/>
      <c r="AA136" s="18"/>
      <c r="AB136" s="18"/>
      <c r="AC136" s="18"/>
    </row>
    <row r="137" spans="23:29" customFormat="1" x14ac:dyDescent="0.25">
      <c r="W137" s="37"/>
      <c r="X137" s="52"/>
      <c r="Y137" s="52"/>
      <c r="Z137" s="37"/>
      <c r="AA137" s="18"/>
      <c r="AB137" s="18"/>
      <c r="AC137" s="18"/>
    </row>
    <row r="138" spans="23:29" customFormat="1" x14ac:dyDescent="0.25">
      <c r="W138" s="37"/>
      <c r="X138" s="52"/>
      <c r="Y138" s="52"/>
      <c r="Z138" s="37"/>
      <c r="AA138" s="18"/>
      <c r="AB138" s="18"/>
      <c r="AC138" s="18"/>
    </row>
    <row r="139" spans="23:29" customFormat="1" x14ac:dyDescent="0.25">
      <c r="W139" s="37"/>
      <c r="X139" s="52"/>
      <c r="Y139" s="52"/>
      <c r="Z139" s="37"/>
      <c r="AA139" s="18"/>
      <c r="AB139" s="18"/>
      <c r="AC139" s="18"/>
    </row>
    <row r="140" spans="23:29" customFormat="1" x14ac:dyDescent="0.25">
      <c r="W140" s="37"/>
      <c r="X140" s="52"/>
      <c r="Y140" s="52"/>
      <c r="Z140" s="37"/>
      <c r="AA140" s="18"/>
      <c r="AB140" s="18"/>
      <c r="AC140" s="18"/>
    </row>
    <row r="141" spans="23:29" customFormat="1" x14ac:dyDescent="0.25">
      <c r="W141" s="37"/>
      <c r="X141" s="52"/>
      <c r="Y141" s="52"/>
      <c r="Z141" s="37"/>
      <c r="AA141" s="18"/>
      <c r="AB141" s="18"/>
      <c r="AC141" s="18"/>
    </row>
    <row r="142" spans="23:29" customFormat="1" x14ac:dyDescent="0.25">
      <c r="W142" s="37"/>
      <c r="X142" s="52"/>
      <c r="Y142" s="52"/>
      <c r="Z142" s="37"/>
      <c r="AA142" s="18"/>
      <c r="AB142" s="18"/>
      <c r="AC142" s="18"/>
    </row>
    <row r="143" spans="23:29" customFormat="1" x14ac:dyDescent="0.25">
      <c r="W143" s="37"/>
      <c r="X143" s="52"/>
      <c r="Y143" s="52"/>
      <c r="Z143" s="37"/>
      <c r="AA143" s="18"/>
      <c r="AB143" s="18"/>
      <c r="AC143" s="18"/>
    </row>
    <row r="144" spans="23:29" customFormat="1" x14ac:dyDescent="0.25">
      <c r="W144" s="37"/>
      <c r="X144" s="52"/>
      <c r="Y144" s="52"/>
      <c r="Z144" s="37"/>
      <c r="AA144" s="18"/>
      <c r="AB144" s="18"/>
      <c r="AC144" s="18"/>
    </row>
    <row r="145" spans="23:29" customFormat="1" x14ac:dyDescent="0.25">
      <c r="W145" s="37"/>
      <c r="X145" s="52"/>
      <c r="Y145" s="52"/>
      <c r="Z145" s="37"/>
      <c r="AA145" s="18"/>
      <c r="AB145" s="18"/>
      <c r="AC145" s="18"/>
    </row>
    <row r="146" spans="23:29" customFormat="1" x14ac:dyDescent="0.25">
      <c r="W146" s="37"/>
      <c r="X146" s="52"/>
      <c r="Y146" s="52"/>
      <c r="Z146" s="37"/>
      <c r="AA146" s="18"/>
      <c r="AB146" s="18"/>
      <c r="AC146" s="18"/>
    </row>
    <row r="147" spans="23:29" customFormat="1" x14ac:dyDescent="0.25">
      <c r="W147" s="37"/>
      <c r="X147" s="52"/>
      <c r="Y147" s="52"/>
      <c r="Z147" s="37"/>
      <c r="AA147" s="18"/>
      <c r="AB147" s="18"/>
      <c r="AC147" s="18"/>
    </row>
    <row r="148" spans="23:29" customFormat="1" x14ac:dyDescent="0.25">
      <c r="W148" s="37"/>
      <c r="X148" s="52"/>
      <c r="Y148" s="52"/>
      <c r="Z148" s="37"/>
      <c r="AA148" s="18"/>
      <c r="AB148" s="18"/>
      <c r="AC148" s="18"/>
    </row>
    <row r="149" spans="23:29" customFormat="1" x14ac:dyDescent="0.25">
      <c r="W149" s="37"/>
      <c r="X149" s="52"/>
      <c r="Y149" s="52"/>
      <c r="Z149" s="37"/>
      <c r="AA149" s="18"/>
      <c r="AB149" s="18"/>
      <c r="AC149" s="18"/>
    </row>
    <row r="150" spans="23:29" customFormat="1" x14ac:dyDescent="0.25">
      <c r="W150" s="37"/>
      <c r="X150" s="52"/>
      <c r="Y150" s="52"/>
      <c r="Z150" s="37"/>
      <c r="AA150" s="18"/>
      <c r="AB150" s="18"/>
      <c r="AC150" s="18"/>
    </row>
    <row r="151" spans="23:29" customFormat="1" x14ac:dyDescent="0.25">
      <c r="W151" s="37"/>
      <c r="X151" s="52"/>
      <c r="Y151" s="52"/>
      <c r="Z151" s="37"/>
      <c r="AA151" s="18"/>
      <c r="AB151" s="18"/>
      <c r="AC151" s="18"/>
    </row>
    <row r="152" spans="23:29" customFormat="1" x14ac:dyDescent="0.25">
      <c r="W152" s="37"/>
      <c r="X152" s="52"/>
      <c r="Y152" s="52"/>
      <c r="Z152" s="37"/>
      <c r="AA152" s="18"/>
      <c r="AB152" s="18"/>
      <c r="AC152" s="18"/>
    </row>
    <row r="153" spans="23:29" customFormat="1" x14ac:dyDescent="0.25">
      <c r="W153" s="37"/>
      <c r="X153" s="52"/>
      <c r="Y153" s="52"/>
      <c r="Z153" s="37"/>
      <c r="AA153" s="18"/>
      <c r="AB153" s="18"/>
      <c r="AC153" s="18"/>
    </row>
    <row r="154" spans="23:29" customFormat="1" x14ac:dyDescent="0.25">
      <c r="W154" s="37"/>
      <c r="X154" s="52"/>
      <c r="Y154" s="52"/>
      <c r="Z154" s="37"/>
      <c r="AA154" s="18"/>
      <c r="AB154" s="18"/>
      <c r="AC154" s="18"/>
    </row>
    <row r="155" spans="23:29" customFormat="1" x14ac:dyDescent="0.25">
      <c r="W155" s="37"/>
      <c r="X155" s="52"/>
      <c r="Y155" s="52"/>
      <c r="Z155" s="37"/>
      <c r="AA155" s="18"/>
      <c r="AB155" s="18"/>
      <c r="AC155" s="18"/>
    </row>
    <row r="156" spans="23:29" customFormat="1" x14ac:dyDescent="0.25">
      <c r="W156" s="37"/>
      <c r="X156" s="52"/>
      <c r="Y156" s="52"/>
      <c r="Z156" s="37"/>
      <c r="AA156" s="18"/>
      <c r="AB156" s="18"/>
      <c r="AC156" s="18"/>
    </row>
    <row r="157" spans="23:29" customFormat="1" x14ac:dyDescent="0.25">
      <c r="W157" s="37"/>
      <c r="X157" s="52"/>
      <c r="Y157" s="52"/>
      <c r="Z157" s="37"/>
      <c r="AA157" s="18"/>
      <c r="AB157" s="18"/>
      <c r="AC157" s="18"/>
    </row>
    <row r="158" spans="23:29" customFormat="1" x14ac:dyDescent="0.25">
      <c r="W158" s="37"/>
      <c r="X158" s="52"/>
      <c r="Y158" s="52"/>
      <c r="Z158" s="37"/>
      <c r="AA158" s="18"/>
      <c r="AB158" s="18"/>
      <c r="AC158" s="18"/>
    </row>
    <row r="159" spans="23:29" customFormat="1" x14ac:dyDescent="0.25">
      <c r="W159" s="37"/>
      <c r="X159" s="52"/>
      <c r="Y159" s="52"/>
      <c r="Z159" s="37"/>
      <c r="AA159" s="18"/>
      <c r="AB159" s="18"/>
      <c r="AC159" s="18"/>
    </row>
    <row r="160" spans="23:29" customFormat="1" x14ac:dyDescent="0.25">
      <c r="W160" s="37"/>
      <c r="X160" s="52"/>
      <c r="Y160" s="52"/>
      <c r="Z160" s="37"/>
      <c r="AA160" s="18"/>
      <c r="AB160" s="18"/>
      <c r="AC160" s="18"/>
    </row>
    <row r="161" spans="23:29" customFormat="1" x14ac:dyDescent="0.25">
      <c r="W161" s="37"/>
      <c r="X161" s="52"/>
      <c r="Y161" s="52"/>
      <c r="Z161" s="37"/>
      <c r="AA161" s="18"/>
      <c r="AB161" s="18"/>
      <c r="AC161" s="18"/>
    </row>
    <row r="162" spans="23:29" customFormat="1" x14ac:dyDescent="0.25">
      <c r="W162" s="37"/>
      <c r="X162" s="52"/>
      <c r="Y162" s="52"/>
      <c r="Z162" s="37"/>
      <c r="AA162" s="18"/>
      <c r="AB162" s="18"/>
      <c r="AC162" s="18"/>
    </row>
    <row r="163" spans="23:29" customFormat="1" x14ac:dyDescent="0.25">
      <c r="W163" s="37"/>
      <c r="X163" s="52"/>
      <c r="Y163" s="52"/>
      <c r="Z163" s="37"/>
      <c r="AA163" s="18"/>
      <c r="AB163" s="18"/>
      <c r="AC163" s="18"/>
    </row>
    <row r="164" spans="23:29" customFormat="1" x14ac:dyDescent="0.25">
      <c r="W164" s="37"/>
      <c r="X164" s="52"/>
      <c r="Y164" s="52"/>
      <c r="Z164" s="37"/>
      <c r="AA164" s="18"/>
      <c r="AB164" s="18"/>
      <c r="AC164" s="18"/>
    </row>
    <row r="165" spans="23:29" customFormat="1" x14ac:dyDescent="0.25">
      <c r="W165" s="37"/>
      <c r="X165" s="52"/>
      <c r="Y165" s="52"/>
      <c r="Z165" s="37"/>
      <c r="AA165" s="18"/>
      <c r="AB165" s="18"/>
      <c r="AC165" s="18"/>
    </row>
    <row r="166" spans="23:29" customFormat="1" x14ac:dyDescent="0.25">
      <c r="W166" s="37"/>
      <c r="X166" s="52"/>
      <c r="Y166" s="52"/>
      <c r="Z166" s="37"/>
      <c r="AA166" s="18"/>
      <c r="AB166" s="18"/>
      <c r="AC166" s="18"/>
    </row>
    <row r="167" spans="23:29" customFormat="1" x14ac:dyDescent="0.25">
      <c r="W167" s="37"/>
      <c r="X167" s="52"/>
      <c r="Y167" s="52"/>
      <c r="Z167" s="37"/>
      <c r="AA167" s="18"/>
      <c r="AB167" s="18"/>
      <c r="AC167" s="18"/>
    </row>
    <row r="168" spans="23:29" customFormat="1" x14ac:dyDescent="0.25">
      <c r="W168" s="37"/>
      <c r="X168" s="52"/>
      <c r="Y168" s="52"/>
      <c r="Z168" s="37"/>
      <c r="AA168" s="18"/>
      <c r="AB168" s="18"/>
      <c r="AC168" s="18"/>
    </row>
    <row r="169" spans="23:29" customFormat="1" x14ac:dyDescent="0.25">
      <c r="W169" s="37"/>
      <c r="X169" s="52"/>
      <c r="Y169" s="52"/>
      <c r="Z169" s="37"/>
      <c r="AA169" s="18"/>
      <c r="AB169" s="18"/>
      <c r="AC169" s="18"/>
    </row>
    <row r="170" spans="23:29" customFormat="1" x14ac:dyDescent="0.25">
      <c r="W170" s="37"/>
      <c r="X170" s="52"/>
      <c r="Y170" s="52"/>
      <c r="Z170" s="37"/>
      <c r="AA170" s="18"/>
      <c r="AB170" s="18"/>
      <c r="AC170" s="18"/>
    </row>
    <row r="171" spans="23:29" customFormat="1" x14ac:dyDescent="0.25">
      <c r="W171" s="37"/>
      <c r="X171" s="52"/>
      <c r="Y171" s="52"/>
      <c r="Z171" s="37"/>
      <c r="AA171" s="18"/>
      <c r="AB171" s="18"/>
      <c r="AC171" s="18"/>
    </row>
    <row r="172" spans="23:29" customFormat="1" x14ac:dyDescent="0.25">
      <c r="W172" s="37"/>
      <c r="X172" s="52"/>
      <c r="Y172" s="52"/>
      <c r="Z172" s="37"/>
      <c r="AA172" s="18"/>
      <c r="AB172" s="18"/>
      <c r="AC172" s="18"/>
    </row>
    <row r="173" spans="23:29" customFormat="1" x14ac:dyDescent="0.25">
      <c r="W173" s="37"/>
      <c r="X173" s="52"/>
      <c r="Y173" s="52"/>
      <c r="Z173" s="37"/>
      <c r="AA173" s="18"/>
      <c r="AB173" s="18"/>
      <c r="AC173" s="18"/>
    </row>
    <row r="174" spans="23:29" customFormat="1" x14ac:dyDescent="0.25">
      <c r="W174" s="37"/>
      <c r="X174" s="52"/>
      <c r="Y174" s="52"/>
      <c r="Z174" s="37"/>
      <c r="AA174" s="18"/>
      <c r="AB174" s="18"/>
      <c r="AC174" s="18"/>
    </row>
    <row r="175" spans="23:29" customFormat="1" x14ac:dyDescent="0.25">
      <c r="W175" s="37"/>
      <c r="X175" s="52"/>
      <c r="Y175" s="52"/>
      <c r="Z175" s="37"/>
      <c r="AA175" s="18"/>
      <c r="AB175" s="18"/>
      <c r="AC175" s="18"/>
    </row>
    <row r="176" spans="23:29" customFormat="1" x14ac:dyDescent="0.25">
      <c r="W176" s="37"/>
      <c r="X176" s="52"/>
      <c r="Y176" s="52"/>
      <c r="Z176" s="37"/>
      <c r="AA176" s="18"/>
      <c r="AB176" s="18"/>
      <c r="AC176" s="18"/>
    </row>
    <row r="177" spans="23:29" customFormat="1" x14ac:dyDescent="0.25">
      <c r="W177" s="37"/>
      <c r="X177" s="52"/>
      <c r="Y177" s="52"/>
      <c r="Z177" s="37"/>
      <c r="AA177" s="18"/>
      <c r="AB177" s="18"/>
      <c r="AC177" s="18"/>
    </row>
    <row r="178" spans="23:29" customFormat="1" x14ac:dyDescent="0.25">
      <c r="W178" s="37"/>
      <c r="X178" s="52"/>
      <c r="Y178" s="52"/>
      <c r="Z178" s="37"/>
      <c r="AA178" s="18"/>
      <c r="AB178" s="18"/>
      <c r="AC178" s="18"/>
    </row>
    <row r="179" spans="23:29" customFormat="1" x14ac:dyDescent="0.25">
      <c r="W179" s="37"/>
      <c r="X179" s="52"/>
      <c r="Y179" s="52"/>
      <c r="Z179" s="37"/>
      <c r="AA179" s="18"/>
      <c r="AB179" s="18"/>
      <c r="AC179" s="18"/>
    </row>
    <row r="180" spans="23:29" customFormat="1" x14ac:dyDescent="0.25">
      <c r="W180" s="37"/>
      <c r="X180" s="52"/>
      <c r="Y180" s="52"/>
      <c r="Z180" s="37"/>
      <c r="AA180" s="18"/>
      <c r="AB180" s="18"/>
      <c r="AC180" s="18"/>
    </row>
    <row r="181" spans="23:29" customFormat="1" x14ac:dyDescent="0.25">
      <c r="W181" s="37"/>
      <c r="X181" s="52"/>
      <c r="Y181" s="52"/>
      <c r="Z181" s="37"/>
      <c r="AA181" s="18"/>
      <c r="AB181" s="18"/>
      <c r="AC181" s="18"/>
    </row>
    <row r="182" spans="23:29" customFormat="1" x14ac:dyDescent="0.25">
      <c r="W182" s="37"/>
      <c r="X182" s="52"/>
      <c r="Y182" s="52"/>
      <c r="Z182" s="37"/>
      <c r="AA182" s="18"/>
      <c r="AB182" s="18"/>
      <c r="AC182" s="18"/>
    </row>
    <row r="183" spans="23:29" customFormat="1" x14ac:dyDescent="0.25">
      <c r="W183" s="37"/>
      <c r="X183" s="52"/>
      <c r="Y183" s="52"/>
      <c r="Z183" s="37"/>
      <c r="AA183" s="18"/>
      <c r="AB183" s="18"/>
      <c r="AC183" s="18"/>
    </row>
    <row r="184" spans="23:29" customFormat="1" x14ac:dyDescent="0.25">
      <c r="W184" s="37"/>
      <c r="X184" s="52"/>
      <c r="Y184" s="52"/>
      <c r="Z184" s="37"/>
      <c r="AA184" s="18"/>
      <c r="AB184" s="18"/>
      <c r="AC184" s="18"/>
    </row>
    <row r="185" spans="23:29" customFormat="1" x14ac:dyDescent="0.25">
      <c r="W185" s="37"/>
      <c r="X185" s="52"/>
      <c r="Y185" s="52"/>
      <c r="Z185" s="37"/>
      <c r="AA185" s="18"/>
      <c r="AB185" s="18"/>
      <c r="AC185" s="18"/>
    </row>
    <row r="186" spans="23:29" customFormat="1" x14ac:dyDescent="0.25">
      <c r="W186" s="37"/>
      <c r="X186" s="52"/>
      <c r="Y186" s="52"/>
      <c r="Z186" s="37"/>
      <c r="AA186" s="18"/>
      <c r="AB186" s="18"/>
      <c r="AC186" s="18"/>
    </row>
    <row r="187" spans="23:29" customFormat="1" x14ac:dyDescent="0.25">
      <c r="W187" s="37"/>
      <c r="X187" s="52"/>
      <c r="Y187" s="52"/>
      <c r="Z187" s="37"/>
      <c r="AA187" s="18"/>
      <c r="AB187" s="18"/>
      <c r="AC187" s="18"/>
    </row>
    <row r="188" spans="23:29" customFormat="1" x14ac:dyDescent="0.25">
      <c r="W188" s="37"/>
      <c r="X188" s="52"/>
      <c r="Y188" s="52"/>
      <c r="Z188" s="37"/>
      <c r="AA188" s="18"/>
      <c r="AB188" s="18"/>
      <c r="AC188" s="18"/>
    </row>
    <row r="189" spans="23:29" customFormat="1" x14ac:dyDescent="0.25">
      <c r="W189" s="37"/>
      <c r="X189" s="52"/>
      <c r="Y189" s="52"/>
      <c r="Z189" s="37"/>
      <c r="AA189" s="18"/>
      <c r="AB189" s="18"/>
      <c r="AC189" s="18"/>
    </row>
    <row r="190" spans="23:29" customFormat="1" x14ac:dyDescent="0.25">
      <c r="W190" s="37"/>
      <c r="X190" s="52"/>
      <c r="Y190" s="52"/>
      <c r="Z190" s="37"/>
      <c r="AA190" s="18"/>
      <c r="AB190" s="18"/>
      <c r="AC190" s="18"/>
    </row>
    <row r="191" spans="23:29" customFormat="1" x14ac:dyDescent="0.25">
      <c r="W191" s="37"/>
      <c r="X191" s="52"/>
      <c r="Y191" s="52"/>
      <c r="Z191" s="37"/>
      <c r="AA191" s="18"/>
      <c r="AB191" s="18"/>
      <c r="AC191" s="18"/>
    </row>
    <row r="192" spans="23:29" customFormat="1" x14ac:dyDescent="0.25">
      <c r="W192" s="37"/>
      <c r="X192" s="52"/>
      <c r="Y192" s="52"/>
      <c r="Z192" s="37"/>
      <c r="AA192" s="18"/>
      <c r="AB192" s="18"/>
      <c r="AC192" s="18"/>
    </row>
    <row r="193" spans="23:29" customFormat="1" x14ac:dyDescent="0.25">
      <c r="W193" s="37"/>
      <c r="X193" s="52"/>
      <c r="Y193" s="52"/>
      <c r="Z193" s="37"/>
      <c r="AA193" s="18"/>
      <c r="AB193" s="18"/>
      <c r="AC193" s="18"/>
    </row>
    <row r="194" spans="23:29" customFormat="1" x14ac:dyDescent="0.25">
      <c r="W194" s="37"/>
      <c r="X194" s="52"/>
      <c r="Y194" s="52"/>
      <c r="Z194" s="37"/>
      <c r="AA194" s="18"/>
      <c r="AB194" s="18"/>
      <c r="AC194" s="18"/>
    </row>
    <row r="195" spans="23:29" customFormat="1" x14ac:dyDescent="0.25">
      <c r="W195" s="37"/>
      <c r="X195" s="52"/>
      <c r="Y195" s="52"/>
      <c r="Z195" s="37"/>
      <c r="AA195" s="18"/>
      <c r="AB195" s="18"/>
      <c r="AC195" s="18"/>
    </row>
    <row r="196" spans="23:29" customFormat="1" x14ac:dyDescent="0.25">
      <c r="W196" s="37"/>
      <c r="X196" s="52"/>
      <c r="Y196" s="52"/>
      <c r="Z196" s="37"/>
      <c r="AA196" s="18"/>
      <c r="AB196" s="18"/>
      <c r="AC196" s="18"/>
    </row>
    <row r="197" spans="23:29" customFormat="1" x14ac:dyDescent="0.25">
      <c r="W197" s="37"/>
      <c r="X197" s="52"/>
      <c r="Y197" s="52"/>
      <c r="Z197" s="37"/>
      <c r="AA197" s="18"/>
      <c r="AB197" s="18"/>
      <c r="AC197" s="18"/>
    </row>
    <row r="198" spans="23:29" customFormat="1" x14ac:dyDescent="0.25">
      <c r="W198" s="37"/>
      <c r="X198" s="52"/>
      <c r="Y198" s="52"/>
      <c r="Z198" s="37"/>
      <c r="AA198" s="18"/>
      <c r="AB198" s="18"/>
      <c r="AC198" s="18"/>
    </row>
    <row r="199" spans="23:29" customFormat="1" x14ac:dyDescent="0.25">
      <c r="W199" s="37"/>
      <c r="X199" s="52"/>
      <c r="Y199" s="52"/>
      <c r="Z199" s="37"/>
      <c r="AA199" s="18"/>
      <c r="AB199" s="18"/>
      <c r="AC199" s="18"/>
    </row>
    <row r="200" spans="23:29" customFormat="1" x14ac:dyDescent="0.25">
      <c r="W200" s="37"/>
      <c r="X200" s="52"/>
      <c r="Y200" s="52"/>
      <c r="Z200" s="37"/>
      <c r="AA200" s="18"/>
      <c r="AB200" s="18"/>
      <c r="AC200" s="18"/>
    </row>
    <row r="201" spans="23:29" customFormat="1" x14ac:dyDescent="0.25">
      <c r="W201" s="37"/>
      <c r="X201" s="52"/>
      <c r="Y201" s="52"/>
      <c r="Z201" s="37"/>
      <c r="AA201" s="18"/>
      <c r="AB201" s="18"/>
      <c r="AC201" s="18"/>
    </row>
    <row r="202" spans="23:29" customFormat="1" x14ac:dyDescent="0.25">
      <c r="W202" s="37"/>
      <c r="X202" s="52"/>
      <c r="Y202" s="52"/>
      <c r="Z202" s="37"/>
      <c r="AA202" s="18"/>
      <c r="AB202" s="18"/>
      <c r="AC202" s="18"/>
    </row>
    <row r="203" spans="23:29" customFormat="1" x14ac:dyDescent="0.25">
      <c r="W203" s="37"/>
      <c r="X203" s="52"/>
      <c r="Y203" s="52"/>
      <c r="Z203" s="37"/>
      <c r="AA203" s="18"/>
      <c r="AB203" s="18"/>
      <c r="AC203" s="18"/>
    </row>
    <row r="204" spans="23:29" customFormat="1" x14ac:dyDescent="0.25">
      <c r="W204" s="37"/>
      <c r="X204" s="52"/>
      <c r="Y204" s="52"/>
      <c r="Z204" s="37"/>
      <c r="AA204" s="18"/>
      <c r="AB204" s="18"/>
      <c r="AC204" s="18"/>
    </row>
    <row r="205" spans="23:29" customFormat="1" x14ac:dyDescent="0.25">
      <c r="W205" s="37"/>
      <c r="X205" s="52"/>
      <c r="Y205" s="52"/>
      <c r="Z205" s="37"/>
      <c r="AA205" s="18"/>
      <c r="AB205" s="18"/>
      <c r="AC205" s="18"/>
    </row>
    <row r="206" spans="23:29" customFormat="1" x14ac:dyDescent="0.25">
      <c r="W206" s="37"/>
      <c r="X206" s="52"/>
      <c r="Y206" s="52"/>
      <c r="Z206" s="37"/>
      <c r="AA206" s="18"/>
      <c r="AB206" s="18"/>
      <c r="AC206" s="18"/>
    </row>
    <row r="207" spans="23:29" customFormat="1" x14ac:dyDescent="0.25">
      <c r="W207" s="37"/>
      <c r="X207" s="52"/>
      <c r="Y207" s="52"/>
      <c r="Z207" s="37"/>
      <c r="AA207" s="18"/>
      <c r="AB207" s="18"/>
      <c r="AC207" s="18"/>
    </row>
    <row r="208" spans="23:29" customFormat="1" x14ac:dyDescent="0.25">
      <c r="W208" s="37"/>
      <c r="X208" s="52"/>
      <c r="Y208" s="52"/>
      <c r="Z208" s="37"/>
      <c r="AA208" s="18"/>
      <c r="AB208" s="18"/>
      <c r="AC208" s="18"/>
    </row>
    <row r="209" spans="23:29" customFormat="1" x14ac:dyDescent="0.25">
      <c r="W209" s="37"/>
      <c r="X209" s="52"/>
      <c r="Y209" s="52"/>
      <c r="Z209" s="37"/>
      <c r="AA209" s="18"/>
      <c r="AB209" s="18"/>
      <c r="AC209" s="18"/>
    </row>
    <row r="210" spans="23:29" customFormat="1" x14ac:dyDescent="0.25">
      <c r="W210" s="37"/>
      <c r="X210" s="52"/>
      <c r="Y210" s="52"/>
      <c r="Z210" s="37"/>
      <c r="AA210" s="18"/>
      <c r="AB210" s="18"/>
      <c r="AC210" s="18"/>
    </row>
    <row r="211" spans="23:29" customFormat="1" x14ac:dyDescent="0.25">
      <c r="W211" s="37"/>
      <c r="X211" s="52"/>
      <c r="Y211" s="52"/>
      <c r="Z211" s="37"/>
      <c r="AA211" s="18"/>
      <c r="AB211" s="18"/>
      <c r="AC211" s="18"/>
    </row>
    <row r="212" spans="23:29" customFormat="1" x14ac:dyDescent="0.25">
      <c r="W212" s="37"/>
      <c r="X212" s="52"/>
      <c r="Y212" s="52"/>
      <c r="Z212" s="37"/>
      <c r="AA212" s="18"/>
      <c r="AB212" s="18"/>
      <c r="AC212" s="18"/>
    </row>
    <row r="213" spans="23:29" customFormat="1" x14ac:dyDescent="0.25">
      <c r="W213" s="37"/>
      <c r="X213" s="52"/>
      <c r="Y213" s="52"/>
      <c r="Z213" s="37"/>
      <c r="AA213" s="18"/>
      <c r="AB213" s="18"/>
      <c r="AC213" s="18"/>
    </row>
    <row r="214" spans="23:29" customFormat="1" x14ac:dyDescent="0.25">
      <c r="W214" s="37"/>
      <c r="X214" s="52"/>
      <c r="Y214" s="52"/>
      <c r="Z214" s="37"/>
      <c r="AA214" s="18"/>
      <c r="AB214" s="18"/>
      <c r="AC214" s="18"/>
    </row>
    <row r="215" spans="23:29" customFormat="1" x14ac:dyDescent="0.25">
      <c r="W215" s="37"/>
      <c r="X215" s="52"/>
      <c r="Y215" s="52"/>
      <c r="Z215" s="37"/>
      <c r="AA215" s="18"/>
      <c r="AB215" s="18"/>
      <c r="AC215" s="18"/>
    </row>
    <row r="216" spans="23:29" customFormat="1" x14ac:dyDescent="0.25">
      <c r="W216" s="37"/>
      <c r="X216" s="52"/>
      <c r="Y216" s="52"/>
      <c r="Z216" s="37"/>
      <c r="AA216" s="18"/>
      <c r="AB216" s="18"/>
      <c r="AC216" s="18"/>
    </row>
    <row r="217" spans="23:29" customFormat="1" x14ac:dyDescent="0.25">
      <c r="W217" s="37"/>
      <c r="X217" s="52"/>
      <c r="Y217" s="52"/>
      <c r="Z217" s="37"/>
      <c r="AA217" s="18"/>
      <c r="AB217" s="18"/>
      <c r="AC217" s="18"/>
    </row>
    <row r="218" spans="23:29" customFormat="1" x14ac:dyDescent="0.25">
      <c r="W218" s="37"/>
      <c r="X218" s="52"/>
      <c r="Y218" s="52"/>
      <c r="Z218" s="37"/>
      <c r="AA218" s="18"/>
      <c r="AB218" s="18"/>
      <c r="AC218" s="18"/>
    </row>
    <row r="219" spans="23:29" customFormat="1" x14ac:dyDescent="0.25">
      <c r="W219" s="37"/>
      <c r="X219" s="52"/>
      <c r="Y219" s="52"/>
      <c r="Z219" s="37"/>
      <c r="AA219" s="18"/>
      <c r="AB219" s="18"/>
      <c r="AC219" s="18"/>
    </row>
    <row r="220" spans="23:29" customFormat="1" x14ac:dyDescent="0.25">
      <c r="W220" s="37"/>
      <c r="X220" s="52"/>
      <c r="Y220" s="52"/>
      <c r="Z220" s="37"/>
      <c r="AA220" s="18"/>
      <c r="AB220" s="18"/>
      <c r="AC220" s="18"/>
    </row>
    <row r="221" spans="23:29" customFormat="1" x14ac:dyDescent="0.25">
      <c r="W221" s="37"/>
      <c r="X221" s="52"/>
      <c r="Y221" s="52"/>
      <c r="Z221" s="37"/>
      <c r="AA221" s="18"/>
      <c r="AB221" s="18"/>
      <c r="AC221" s="18"/>
    </row>
    <row r="222" spans="23:29" customFormat="1" x14ac:dyDescent="0.25">
      <c r="W222" s="37"/>
      <c r="X222" s="52"/>
      <c r="Y222" s="52"/>
      <c r="Z222" s="37"/>
      <c r="AA222" s="18"/>
      <c r="AB222" s="18"/>
      <c r="AC222" s="18"/>
    </row>
    <row r="223" spans="23:29" customFormat="1" x14ac:dyDescent="0.25">
      <c r="W223" s="37"/>
      <c r="X223" s="52"/>
      <c r="Y223" s="52"/>
      <c r="Z223" s="37"/>
      <c r="AA223" s="18"/>
      <c r="AB223" s="18"/>
      <c r="AC223" s="18"/>
    </row>
    <row r="224" spans="23:29" customFormat="1" x14ac:dyDescent="0.25">
      <c r="W224" s="37"/>
      <c r="X224" s="52"/>
      <c r="Y224" s="52"/>
      <c r="Z224" s="37"/>
      <c r="AA224" s="18"/>
      <c r="AB224" s="18"/>
      <c r="AC224" s="18"/>
    </row>
    <row r="225" spans="23:29" customFormat="1" x14ac:dyDescent="0.25">
      <c r="W225" s="37"/>
      <c r="X225" s="52"/>
      <c r="Y225" s="52"/>
      <c r="Z225" s="37"/>
      <c r="AA225" s="18"/>
      <c r="AB225" s="18"/>
      <c r="AC225" s="18"/>
    </row>
    <row r="226" spans="23:29" customFormat="1" x14ac:dyDescent="0.25">
      <c r="W226" s="37"/>
      <c r="X226" s="52"/>
      <c r="Y226" s="52"/>
      <c r="Z226" s="37"/>
      <c r="AA226" s="18"/>
      <c r="AB226" s="18"/>
      <c r="AC226" s="18"/>
    </row>
    <row r="227" spans="23:29" customFormat="1" x14ac:dyDescent="0.25">
      <c r="W227" s="37"/>
      <c r="X227" s="52"/>
      <c r="Y227" s="52"/>
      <c r="Z227" s="37"/>
      <c r="AA227" s="18"/>
      <c r="AB227" s="18"/>
      <c r="AC227" s="18"/>
    </row>
    <row r="228" spans="23:29" customFormat="1" x14ac:dyDescent="0.25">
      <c r="W228" s="37"/>
      <c r="X228" s="52"/>
      <c r="Y228" s="52"/>
      <c r="Z228" s="37"/>
      <c r="AA228" s="18"/>
      <c r="AB228" s="18"/>
      <c r="AC228" s="18"/>
    </row>
    <row r="229" spans="23:29" customFormat="1" x14ac:dyDescent="0.25">
      <c r="W229" s="37"/>
      <c r="X229" s="52"/>
      <c r="Y229" s="52"/>
      <c r="Z229" s="37"/>
      <c r="AA229" s="18"/>
      <c r="AB229" s="18"/>
      <c r="AC229" s="18"/>
    </row>
    <row r="230" spans="23:29" customFormat="1" x14ac:dyDescent="0.25">
      <c r="W230" s="37"/>
      <c r="X230" s="52"/>
      <c r="Y230" s="52"/>
      <c r="Z230" s="37"/>
      <c r="AA230" s="18"/>
      <c r="AB230" s="18"/>
      <c r="AC230" s="18"/>
    </row>
    <row r="231" spans="23:29" customFormat="1" x14ac:dyDescent="0.25">
      <c r="W231" s="37"/>
      <c r="X231" s="52"/>
      <c r="Y231" s="52"/>
      <c r="Z231" s="37"/>
      <c r="AA231" s="18"/>
      <c r="AB231" s="18"/>
      <c r="AC231" s="18"/>
    </row>
    <row r="232" spans="23:29" customFormat="1" x14ac:dyDescent="0.25">
      <c r="W232" s="37"/>
      <c r="X232" s="52"/>
      <c r="Y232" s="52"/>
      <c r="Z232" s="37"/>
      <c r="AA232" s="18"/>
      <c r="AB232" s="18"/>
      <c r="AC232" s="18"/>
    </row>
    <row r="233" spans="23:29" customFormat="1" x14ac:dyDescent="0.25">
      <c r="W233" s="37"/>
      <c r="X233" s="52"/>
      <c r="Y233" s="52"/>
      <c r="Z233" s="37"/>
      <c r="AA233" s="18"/>
      <c r="AB233" s="18"/>
      <c r="AC233" s="18"/>
    </row>
    <row r="234" spans="23:29" customFormat="1" x14ac:dyDescent="0.25">
      <c r="W234" s="37"/>
      <c r="X234" s="52"/>
      <c r="Y234" s="52"/>
      <c r="Z234" s="37"/>
      <c r="AA234" s="18"/>
      <c r="AB234" s="18"/>
      <c r="AC234" s="18"/>
    </row>
    <row r="235" spans="23:29" customFormat="1" x14ac:dyDescent="0.25">
      <c r="W235" s="37"/>
      <c r="X235" s="52"/>
      <c r="Y235" s="52"/>
      <c r="Z235" s="37"/>
      <c r="AA235" s="18"/>
      <c r="AB235" s="18"/>
      <c r="AC235" s="18"/>
    </row>
    <row r="236" spans="23:29" customFormat="1" x14ac:dyDescent="0.25">
      <c r="W236" s="37"/>
      <c r="X236" s="52"/>
      <c r="Y236" s="52"/>
      <c r="Z236" s="37"/>
      <c r="AA236" s="18"/>
      <c r="AB236" s="18"/>
      <c r="AC236" s="18"/>
    </row>
    <row r="237" spans="23:29" customFormat="1" x14ac:dyDescent="0.25">
      <c r="W237" s="37"/>
      <c r="X237" s="52"/>
      <c r="Y237" s="52"/>
      <c r="Z237" s="37"/>
      <c r="AA237" s="18"/>
      <c r="AB237" s="18"/>
      <c r="AC237" s="18"/>
    </row>
    <row r="238" spans="23:29" customFormat="1" x14ac:dyDescent="0.25">
      <c r="W238" s="37"/>
      <c r="X238" s="52"/>
      <c r="Y238" s="52"/>
      <c r="Z238" s="37"/>
      <c r="AA238" s="18"/>
      <c r="AB238" s="18"/>
      <c r="AC238" s="18"/>
    </row>
    <row r="239" spans="23:29" customFormat="1" x14ac:dyDescent="0.25">
      <c r="W239" s="37"/>
      <c r="X239" s="52"/>
      <c r="Y239" s="52"/>
      <c r="Z239" s="37"/>
      <c r="AA239" s="18"/>
      <c r="AB239" s="18"/>
      <c r="AC239" s="18"/>
    </row>
    <row r="240" spans="23:29" customFormat="1" x14ac:dyDescent="0.25">
      <c r="W240" s="37"/>
      <c r="X240" s="52"/>
      <c r="Y240" s="52"/>
      <c r="Z240" s="37"/>
      <c r="AA240" s="18"/>
      <c r="AB240" s="18"/>
      <c r="AC240" s="18"/>
    </row>
    <row r="241" spans="23:29" customFormat="1" x14ac:dyDescent="0.25">
      <c r="W241" s="37"/>
      <c r="X241" s="52"/>
      <c r="Y241" s="52"/>
      <c r="Z241" s="37"/>
      <c r="AA241" s="18"/>
      <c r="AB241" s="18"/>
      <c r="AC241" s="18"/>
    </row>
    <row r="242" spans="23:29" customFormat="1" x14ac:dyDescent="0.25">
      <c r="W242" s="37"/>
      <c r="X242" s="52"/>
      <c r="Y242" s="52"/>
      <c r="Z242" s="37"/>
      <c r="AA242" s="18"/>
      <c r="AB242" s="18"/>
      <c r="AC242" s="18"/>
    </row>
    <row r="243" spans="23:29" customFormat="1" x14ac:dyDescent="0.25">
      <c r="W243" s="37"/>
      <c r="X243" s="52"/>
      <c r="Y243" s="52"/>
      <c r="Z243" s="37"/>
      <c r="AA243" s="18"/>
      <c r="AB243" s="18"/>
      <c r="AC243" s="18"/>
    </row>
    <row r="244" spans="23:29" customFormat="1" x14ac:dyDescent="0.25">
      <c r="W244" s="37"/>
      <c r="X244" s="52"/>
      <c r="Y244" s="52"/>
      <c r="Z244" s="37"/>
      <c r="AA244" s="18"/>
      <c r="AB244" s="18"/>
      <c r="AC244" s="18"/>
    </row>
    <row r="245" spans="23:29" customFormat="1" x14ac:dyDescent="0.25">
      <c r="W245" s="37"/>
      <c r="X245" s="52"/>
      <c r="Y245" s="52"/>
      <c r="Z245" s="37"/>
      <c r="AA245" s="18"/>
      <c r="AB245" s="18"/>
      <c r="AC245" s="18"/>
    </row>
    <row r="246" spans="23:29" customFormat="1" x14ac:dyDescent="0.25">
      <c r="W246" s="37"/>
      <c r="X246" s="52"/>
      <c r="Y246" s="52"/>
      <c r="Z246" s="37"/>
      <c r="AA246" s="18"/>
      <c r="AB246" s="18"/>
      <c r="AC246" s="18"/>
    </row>
    <row r="247" spans="23:29" customFormat="1" x14ac:dyDescent="0.25">
      <c r="W247" s="37"/>
      <c r="X247" s="52"/>
      <c r="Y247" s="52"/>
      <c r="Z247" s="37"/>
      <c r="AA247" s="18"/>
      <c r="AB247" s="18"/>
      <c r="AC247" s="18"/>
    </row>
    <row r="248" spans="23:29" customFormat="1" x14ac:dyDescent="0.25">
      <c r="W248" s="37"/>
      <c r="X248" s="52"/>
      <c r="Y248" s="52"/>
      <c r="Z248" s="37"/>
      <c r="AA248" s="18"/>
      <c r="AB248" s="18"/>
      <c r="AC248" s="18"/>
    </row>
    <row r="249" spans="23:29" customFormat="1" x14ac:dyDescent="0.25">
      <c r="W249" s="37"/>
      <c r="X249" s="52"/>
      <c r="Y249" s="52"/>
      <c r="Z249" s="37"/>
      <c r="AA249" s="18"/>
      <c r="AB249" s="18"/>
      <c r="AC249" s="18"/>
    </row>
    <row r="250" spans="23:29" customFormat="1" x14ac:dyDescent="0.25">
      <c r="W250" s="37"/>
      <c r="X250" s="52"/>
      <c r="Y250" s="52"/>
      <c r="Z250" s="37"/>
      <c r="AA250" s="18"/>
      <c r="AB250" s="18"/>
      <c r="AC250" s="18"/>
    </row>
    <row r="251" spans="23:29" customFormat="1" x14ac:dyDescent="0.25">
      <c r="W251" s="37"/>
      <c r="X251" s="52"/>
      <c r="Y251" s="52"/>
      <c r="Z251" s="37"/>
      <c r="AA251" s="18"/>
      <c r="AB251" s="18"/>
      <c r="AC251" s="18"/>
    </row>
    <row r="252" spans="23:29" customFormat="1" x14ac:dyDescent="0.25">
      <c r="W252" s="37"/>
      <c r="X252" s="52"/>
      <c r="Y252" s="52"/>
      <c r="Z252" s="37"/>
      <c r="AA252" s="18"/>
      <c r="AB252" s="18"/>
      <c r="AC252" s="18"/>
    </row>
    <row r="253" spans="23:29" customFormat="1" x14ac:dyDescent="0.25">
      <c r="W253" s="37"/>
      <c r="X253" s="52"/>
      <c r="Y253" s="52"/>
      <c r="Z253" s="37"/>
      <c r="AA253" s="18"/>
      <c r="AB253" s="18"/>
      <c r="AC253" s="18"/>
    </row>
    <row r="254" spans="23:29" customFormat="1" x14ac:dyDescent="0.25">
      <c r="W254" s="37"/>
      <c r="X254" s="52"/>
      <c r="Y254" s="52"/>
      <c r="Z254" s="37"/>
      <c r="AA254" s="18"/>
      <c r="AB254" s="18"/>
      <c r="AC254" s="18"/>
    </row>
    <row r="255" spans="23:29" customFormat="1" x14ac:dyDescent="0.25">
      <c r="W255" s="37"/>
      <c r="X255" s="52"/>
      <c r="Y255" s="52"/>
      <c r="Z255" s="37"/>
      <c r="AA255" s="18"/>
      <c r="AB255" s="18"/>
      <c r="AC255" s="18"/>
    </row>
    <row r="256" spans="23:29" customFormat="1" x14ac:dyDescent="0.25">
      <c r="W256" s="37"/>
      <c r="X256" s="52"/>
      <c r="Y256" s="52"/>
      <c r="Z256" s="37"/>
      <c r="AA256" s="18"/>
      <c r="AB256" s="18"/>
      <c r="AC256" s="18"/>
    </row>
    <row r="257" spans="23:29" customFormat="1" x14ac:dyDescent="0.25">
      <c r="W257" s="37"/>
      <c r="X257" s="52"/>
      <c r="Y257" s="52"/>
      <c r="Z257" s="37"/>
      <c r="AA257" s="18"/>
      <c r="AB257" s="18"/>
      <c r="AC257" s="18"/>
    </row>
    <row r="258" spans="23:29" customFormat="1" x14ac:dyDescent="0.25">
      <c r="W258" s="37"/>
      <c r="X258" s="52"/>
      <c r="Y258" s="52"/>
      <c r="Z258" s="37"/>
      <c r="AA258" s="18"/>
      <c r="AB258" s="18"/>
      <c r="AC258" s="18"/>
    </row>
    <row r="259" spans="23:29" customFormat="1" x14ac:dyDescent="0.25">
      <c r="W259" s="37"/>
      <c r="X259" s="52"/>
      <c r="Y259" s="52"/>
      <c r="Z259" s="37"/>
      <c r="AA259" s="18"/>
      <c r="AB259" s="18"/>
      <c r="AC259" s="18"/>
    </row>
    <row r="260" spans="23:29" customFormat="1" x14ac:dyDescent="0.25">
      <c r="W260" s="37"/>
      <c r="X260" s="52"/>
      <c r="Y260" s="52"/>
      <c r="Z260" s="37"/>
      <c r="AA260" s="18"/>
      <c r="AB260" s="18"/>
      <c r="AC260" s="18"/>
    </row>
    <row r="261" spans="23:29" customFormat="1" x14ac:dyDescent="0.25">
      <c r="W261" s="37"/>
      <c r="X261" s="52"/>
      <c r="Y261" s="52"/>
      <c r="Z261" s="37"/>
      <c r="AA261" s="18"/>
      <c r="AB261" s="18"/>
      <c r="AC261" s="18"/>
    </row>
    <row r="262" spans="23:29" customFormat="1" x14ac:dyDescent="0.25">
      <c r="W262" s="37"/>
      <c r="X262" s="52"/>
      <c r="Y262" s="52"/>
      <c r="Z262" s="37"/>
      <c r="AA262" s="18"/>
      <c r="AB262" s="18"/>
      <c r="AC262" s="18"/>
    </row>
    <row r="263" spans="23:29" customFormat="1" x14ac:dyDescent="0.25">
      <c r="W263" s="37"/>
      <c r="X263" s="52"/>
      <c r="Y263" s="52"/>
      <c r="Z263" s="37"/>
      <c r="AA263" s="18"/>
      <c r="AB263" s="18"/>
      <c r="AC263" s="18"/>
    </row>
    <row r="264" spans="23:29" customFormat="1" x14ac:dyDescent="0.25">
      <c r="W264" s="37"/>
      <c r="X264" s="52"/>
      <c r="Y264" s="52"/>
      <c r="Z264" s="37"/>
      <c r="AA264" s="18"/>
      <c r="AB264" s="18"/>
      <c r="AC264" s="18"/>
    </row>
    <row r="265" spans="23:29" customFormat="1" x14ac:dyDescent="0.25">
      <c r="W265" s="37"/>
      <c r="X265" s="52"/>
      <c r="Y265" s="52"/>
      <c r="Z265" s="37"/>
      <c r="AA265" s="18"/>
      <c r="AB265" s="18"/>
      <c r="AC265" s="18"/>
    </row>
    <row r="266" spans="23:29" customFormat="1" x14ac:dyDescent="0.25">
      <c r="W266" s="37"/>
      <c r="X266" s="52"/>
      <c r="Y266" s="52"/>
      <c r="Z266" s="37"/>
      <c r="AA266" s="18"/>
      <c r="AB266" s="18"/>
      <c r="AC266" s="18"/>
    </row>
    <row r="267" spans="23:29" customFormat="1" x14ac:dyDescent="0.25">
      <c r="W267" s="37"/>
      <c r="X267" s="52"/>
      <c r="Y267" s="52"/>
      <c r="Z267" s="37"/>
      <c r="AA267" s="18"/>
      <c r="AB267" s="18"/>
      <c r="AC267" s="18"/>
    </row>
    <row r="268" spans="23:29" customFormat="1" x14ac:dyDescent="0.25">
      <c r="W268" s="37"/>
      <c r="X268" s="52"/>
      <c r="Y268" s="52"/>
      <c r="Z268" s="37"/>
      <c r="AA268" s="18"/>
      <c r="AB268" s="18"/>
      <c r="AC268" s="18"/>
    </row>
    <row r="269" spans="23:29" customFormat="1" x14ac:dyDescent="0.25">
      <c r="W269" s="37"/>
      <c r="X269" s="52"/>
      <c r="Y269" s="52"/>
      <c r="Z269" s="37"/>
      <c r="AA269" s="18"/>
      <c r="AB269" s="18"/>
      <c r="AC269" s="18"/>
    </row>
    <row r="270" spans="23:29" customFormat="1" x14ac:dyDescent="0.25">
      <c r="W270" s="37"/>
      <c r="X270" s="52"/>
      <c r="Y270" s="52"/>
      <c r="Z270" s="37"/>
      <c r="AA270" s="18"/>
      <c r="AB270" s="18"/>
      <c r="AC270" s="18"/>
    </row>
    <row r="271" spans="23:29" customFormat="1" x14ac:dyDescent="0.25">
      <c r="W271" s="37"/>
      <c r="X271" s="52"/>
      <c r="Y271" s="52"/>
      <c r="Z271" s="37"/>
      <c r="AA271" s="18"/>
      <c r="AB271" s="18"/>
      <c r="AC271" s="18"/>
    </row>
    <row r="272" spans="23:29" customFormat="1" x14ac:dyDescent="0.25">
      <c r="W272" s="37"/>
      <c r="X272" s="52"/>
      <c r="Y272" s="52"/>
      <c r="Z272" s="37"/>
      <c r="AA272" s="18"/>
      <c r="AB272" s="18"/>
      <c r="AC272" s="18"/>
    </row>
    <row r="273" spans="23:29" customFormat="1" x14ac:dyDescent="0.25">
      <c r="W273" s="37"/>
      <c r="X273" s="52"/>
      <c r="Y273" s="52"/>
      <c r="Z273" s="37"/>
      <c r="AA273" s="18"/>
      <c r="AB273" s="18"/>
      <c r="AC273" s="18"/>
    </row>
    <row r="274" spans="23:29" customFormat="1" x14ac:dyDescent="0.25">
      <c r="W274" s="37"/>
      <c r="X274" s="52"/>
      <c r="Y274" s="52"/>
      <c r="Z274" s="37"/>
      <c r="AA274" s="18"/>
      <c r="AB274" s="18"/>
      <c r="AC274" s="18"/>
    </row>
    <row r="275" spans="23:29" customFormat="1" x14ac:dyDescent="0.25">
      <c r="W275" s="37"/>
      <c r="X275" s="52"/>
      <c r="Y275" s="52"/>
      <c r="Z275" s="37"/>
      <c r="AA275" s="18"/>
      <c r="AB275" s="18"/>
      <c r="AC275" s="18"/>
    </row>
    <row r="276" spans="23:29" customFormat="1" x14ac:dyDescent="0.25">
      <c r="W276" s="37"/>
      <c r="X276" s="52"/>
      <c r="Y276" s="52"/>
      <c r="Z276" s="37"/>
      <c r="AA276" s="18"/>
      <c r="AB276" s="18"/>
      <c r="AC276" s="18"/>
    </row>
    <row r="277" spans="23:29" customFormat="1" x14ac:dyDescent="0.25">
      <c r="W277" s="37"/>
      <c r="X277" s="52"/>
      <c r="Y277" s="52"/>
      <c r="Z277" s="37"/>
      <c r="AA277" s="18"/>
      <c r="AB277" s="18"/>
      <c r="AC277" s="18"/>
    </row>
    <row r="278" spans="23:29" customFormat="1" x14ac:dyDescent="0.25">
      <c r="W278" s="37"/>
      <c r="X278" s="52"/>
      <c r="Y278" s="52"/>
      <c r="Z278" s="37"/>
      <c r="AA278" s="18"/>
      <c r="AB278" s="18"/>
      <c r="AC278" s="18"/>
    </row>
    <row r="279" spans="23:29" customFormat="1" x14ac:dyDescent="0.25">
      <c r="W279" s="37"/>
      <c r="X279" s="52"/>
      <c r="Y279" s="52"/>
      <c r="Z279" s="37"/>
      <c r="AA279" s="18"/>
      <c r="AB279" s="18"/>
      <c r="AC279" s="18"/>
    </row>
    <row r="280" spans="23:29" customFormat="1" x14ac:dyDescent="0.25">
      <c r="W280" s="37"/>
      <c r="X280" s="52"/>
      <c r="Y280" s="52"/>
      <c r="Z280" s="37"/>
      <c r="AA280" s="18"/>
      <c r="AB280" s="18"/>
      <c r="AC280" s="18"/>
    </row>
    <row r="281" spans="23:29" customFormat="1" x14ac:dyDescent="0.25">
      <c r="W281" s="37"/>
      <c r="X281" s="52"/>
      <c r="Y281" s="52"/>
      <c r="Z281" s="37"/>
      <c r="AA281" s="18"/>
      <c r="AB281" s="18"/>
      <c r="AC281" s="18"/>
    </row>
    <row r="282" spans="23:29" customFormat="1" x14ac:dyDescent="0.25">
      <c r="W282" s="37"/>
      <c r="X282" s="52"/>
      <c r="Y282" s="52"/>
      <c r="Z282" s="37"/>
      <c r="AA282" s="18"/>
      <c r="AB282" s="18"/>
      <c r="AC282" s="18"/>
    </row>
    <row r="283" spans="23:29" customFormat="1" x14ac:dyDescent="0.25">
      <c r="W283" s="37"/>
      <c r="X283" s="52"/>
      <c r="Y283" s="52"/>
      <c r="Z283" s="37"/>
      <c r="AA283" s="18"/>
      <c r="AB283" s="18"/>
      <c r="AC283" s="18"/>
    </row>
    <row r="284" spans="23:29" customFormat="1" x14ac:dyDescent="0.25">
      <c r="W284" s="37"/>
      <c r="X284" s="52"/>
      <c r="Y284" s="52"/>
      <c r="Z284" s="37"/>
      <c r="AA284" s="18"/>
      <c r="AB284" s="18"/>
      <c r="AC284" s="18"/>
    </row>
    <row r="285" spans="23:29" customFormat="1" x14ac:dyDescent="0.25">
      <c r="W285" s="37"/>
      <c r="X285" s="52"/>
      <c r="Y285" s="52"/>
      <c r="Z285" s="37"/>
      <c r="AA285" s="18"/>
      <c r="AB285" s="18"/>
      <c r="AC285" s="18"/>
    </row>
    <row r="286" spans="23:29" customFormat="1" x14ac:dyDescent="0.25">
      <c r="W286" s="37"/>
      <c r="X286" s="52"/>
      <c r="Y286" s="52"/>
      <c r="Z286" s="37"/>
      <c r="AA286" s="18"/>
      <c r="AB286" s="18"/>
      <c r="AC286" s="18"/>
    </row>
    <row r="287" spans="23:29" customFormat="1" x14ac:dyDescent="0.25">
      <c r="W287" s="37"/>
      <c r="X287" s="52"/>
      <c r="Y287" s="52"/>
      <c r="Z287" s="37"/>
      <c r="AA287" s="18"/>
      <c r="AB287" s="18"/>
      <c r="AC287" s="18"/>
    </row>
    <row r="288" spans="23:29" customFormat="1" x14ac:dyDescent="0.25">
      <c r="W288" s="37"/>
      <c r="X288" s="52"/>
      <c r="Y288" s="52"/>
      <c r="Z288" s="37"/>
      <c r="AA288" s="18"/>
      <c r="AB288" s="18"/>
      <c r="AC288" s="18"/>
    </row>
    <row r="289" spans="23:29" customFormat="1" x14ac:dyDescent="0.25">
      <c r="W289" s="37"/>
      <c r="X289" s="52"/>
      <c r="Y289" s="52"/>
      <c r="Z289" s="37"/>
      <c r="AA289" s="18"/>
      <c r="AB289" s="18"/>
      <c r="AC289" s="18"/>
    </row>
    <row r="290" spans="23:29" customFormat="1" x14ac:dyDescent="0.25">
      <c r="W290" s="37"/>
      <c r="X290" s="52"/>
      <c r="Y290" s="52"/>
      <c r="Z290" s="37"/>
      <c r="AA290" s="18"/>
      <c r="AB290" s="18"/>
      <c r="AC290" s="18"/>
    </row>
    <row r="291" spans="23:29" customFormat="1" x14ac:dyDescent="0.25">
      <c r="W291" s="37"/>
      <c r="X291" s="52"/>
      <c r="Y291" s="52"/>
      <c r="Z291" s="37"/>
      <c r="AA291" s="18"/>
      <c r="AB291" s="18"/>
      <c r="AC291" s="18"/>
    </row>
    <row r="292" spans="23:29" customFormat="1" x14ac:dyDescent="0.25">
      <c r="W292" s="37"/>
      <c r="X292" s="52"/>
      <c r="Y292" s="52"/>
      <c r="Z292" s="37"/>
      <c r="AA292" s="18"/>
      <c r="AB292" s="18"/>
      <c r="AC292" s="18"/>
    </row>
    <row r="293" spans="23:29" customFormat="1" x14ac:dyDescent="0.25">
      <c r="W293" s="37"/>
      <c r="X293" s="52"/>
      <c r="Y293" s="52"/>
      <c r="Z293" s="37"/>
      <c r="AA293" s="18"/>
      <c r="AB293" s="18"/>
      <c r="AC293" s="18"/>
    </row>
    <row r="294" spans="23:29" customFormat="1" x14ac:dyDescent="0.25">
      <c r="W294" s="37"/>
      <c r="X294" s="52"/>
      <c r="Y294" s="52"/>
      <c r="Z294" s="37"/>
      <c r="AA294" s="18"/>
      <c r="AB294" s="18"/>
      <c r="AC294" s="18"/>
    </row>
    <row r="295" spans="23:29" customFormat="1" x14ac:dyDescent="0.25">
      <c r="W295" s="37"/>
      <c r="X295" s="52"/>
      <c r="Y295" s="52"/>
      <c r="Z295" s="37"/>
      <c r="AA295" s="18"/>
      <c r="AB295" s="18"/>
      <c r="AC295" s="18"/>
    </row>
    <row r="296" spans="23:29" customFormat="1" x14ac:dyDescent="0.25">
      <c r="W296" s="37"/>
      <c r="X296" s="52"/>
      <c r="Y296" s="52"/>
      <c r="Z296" s="37"/>
      <c r="AA296" s="18"/>
      <c r="AB296" s="18"/>
      <c r="AC296" s="18"/>
    </row>
    <row r="297" spans="23:29" customFormat="1" x14ac:dyDescent="0.25">
      <c r="W297" s="37"/>
      <c r="X297" s="52"/>
      <c r="Y297" s="52"/>
      <c r="Z297" s="37"/>
      <c r="AA297" s="18"/>
      <c r="AB297" s="18"/>
      <c r="AC297" s="18"/>
    </row>
    <row r="298" spans="23:29" customFormat="1" x14ac:dyDescent="0.25">
      <c r="W298" s="37"/>
      <c r="X298" s="52"/>
      <c r="Y298" s="52"/>
      <c r="Z298" s="37"/>
      <c r="AA298" s="18"/>
      <c r="AB298" s="18"/>
      <c r="AC298" s="18"/>
    </row>
    <row r="299" spans="23:29" customFormat="1" x14ac:dyDescent="0.25">
      <c r="W299" s="37"/>
      <c r="X299" s="52"/>
      <c r="Y299" s="52"/>
      <c r="Z299" s="37"/>
      <c r="AA299" s="18"/>
      <c r="AB299" s="18"/>
      <c r="AC299" s="18"/>
    </row>
    <row r="300" spans="23:29" customFormat="1" x14ac:dyDescent="0.25">
      <c r="W300" s="37"/>
      <c r="X300" s="52"/>
      <c r="Y300" s="52"/>
      <c r="Z300" s="37"/>
      <c r="AA300" s="18"/>
      <c r="AB300" s="18"/>
      <c r="AC300" s="18"/>
    </row>
    <row r="301" spans="23:29" customFormat="1" x14ac:dyDescent="0.25">
      <c r="W301" s="37"/>
      <c r="X301" s="52"/>
      <c r="Y301" s="52"/>
      <c r="Z301" s="37"/>
      <c r="AA301" s="18"/>
      <c r="AB301" s="18"/>
      <c r="AC301" s="18"/>
    </row>
    <row r="302" spans="23:29" customFormat="1" x14ac:dyDescent="0.25">
      <c r="W302" s="37"/>
      <c r="X302" s="52"/>
      <c r="Y302" s="52"/>
      <c r="Z302" s="37"/>
      <c r="AA302" s="18"/>
      <c r="AB302" s="18"/>
      <c r="AC302" s="18"/>
    </row>
    <row r="303" spans="23:29" customFormat="1" x14ac:dyDescent="0.25">
      <c r="W303" s="37"/>
      <c r="X303" s="52"/>
      <c r="Y303" s="52"/>
      <c r="Z303" s="37"/>
      <c r="AA303" s="18"/>
      <c r="AB303" s="18"/>
      <c r="AC303" s="18"/>
    </row>
    <row r="304" spans="23:29" customFormat="1" x14ac:dyDescent="0.25">
      <c r="W304" s="37"/>
      <c r="X304" s="52"/>
      <c r="Y304" s="52"/>
      <c r="Z304" s="37"/>
      <c r="AA304" s="18"/>
      <c r="AB304" s="18"/>
      <c r="AC304" s="18"/>
    </row>
    <row r="305" spans="23:29" customFormat="1" x14ac:dyDescent="0.25">
      <c r="W305" s="37"/>
      <c r="X305" s="52"/>
      <c r="Y305" s="52"/>
      <c r="Z305" s="37"/>
      <c r="AA305" s="18"/>
      <c r="AB305" s="18"/>
      <c r="AC305" s="18"/>
    </row>
    <row r="306" spans="23:29" customFormat="1" x14ac:dyDescent="0.25">
      <c r="W306" s="37"/>
      <c r="X306" s="52"/>
      <c r="Y306" s="52"/>
      <c r="Z306" s="37"/>
      <c r="AA306" s="18"/>
      <c r="AB306" s="18"/>
      <c r="AC306" s="18"/>
    </row>
    <row r="307" spans="23:29" customFormat="1" x14ac:dyDescent="0.25">
      <c r="W307" s="37"/>
      <c r="X307" s="52"/>
      <c r="Y307" s="52"/>
      <c r="Z307" s="37"/>
      <c r="AA307" s="18"/>
      <c r="AB307" s="18"/>
      <c r="AC307" s="18"/>
    </row>
    <row r="308" spans="23:29" customFormat="1" x14ac:dyDescent="0.25">
      <c r="W308" s="37"/>
      <c r="X308" s="52"/>
      <c r="Y308" s="52"/>
      <c r="Z308" s="37"/>
      <c r="AA308" s="18"/>
      <c r="AB308" s="18"/>
      <c r="AC308" s="18"/>
    </row>
    <row r="309" spans="23:29" customFormat="1" x14ac:dyDescent="0.25">
      <c r="W309" s="37"/>
      <c r="X309" s="52"/>
      <c r="Y309" s="52"/>
      <c r="Z309" s="37"/>
      <c r="AA309" s="18"/>
      <c r="AB309" s="18"/>
      <c r="AC309" s="18"/>
    </row>
    <row r="310" spans="23:29" customFormat="1" x14ac:dyDescent="0.25">
      <c r="W310" s="37"/>
      <c r="X310" s="52"/>
      <c r="Y310" s="52"/>
      <c r="Z310" s="37"/>
      <c r="AA310" s="18"/>
      <c r="AB310" s="18"/>
      <c r="AC310" s="18"/>
    </row>
    <row r="311" spans="23:29" customFormat="1" x14ac:dyDescent="0.25">
      <c r="W311" s="37"/>
      <c r="X311" s="52"/>
      <c r="Y311" s="52"/>
      <c r="Z311" s="37"/>
      <c r="AA311" s="18"/>
      <c r="AB311" s="18"/>
      <c r="AC311" s="18"/>
    </row>
    <row r="312" spans="23:29" customFormat="1" x14ac:dyDescent="0.25">
      <c r="W312" s="37"/>
      <c r="X312" s="52"/>
      <c r="Y312" s="52"/>
      <c r="Z312" s="37"/>
      <c r="AA312" s="18"/>
      <c r="AB312" s="18"/>
      <c r="AC312" s="18"/>
    </row>
    <row r="313" spans="23:29" customFormat="1" x14ac:dyDescent="0.25">
      <c r="W313" s="37"/>
      <c r="X313" s="52"/>
      <c r="Y313" s="52"/>
      <c r="Z313" s="37"/>
      <c r="AA313" s="18"/>
      <c r="AB313" s="18"/>
      <c r="AC313" s="18"/>
    </row>
    <row r="314" spans="23:29" customFormat="1" x14ac:dyDescent="0.25">
      <c r="W314" s="37"/>
      <c r="X314" s="52"/>
      <c r="Y314" s="52"/>
      <c r="Z314" s="37"/>
      <c r="AA314" s="18"/>
      <c r="AB314" s="18"/>
      <c r="AC314" s="18"/>
    </row>
    <row r="315" spans="23:29" customFormat="1" x14ac:dyDescent="0.25">
      <c r="W315" s="37"/>
      <c r="X315" s="52"/>
      <c r="Y315" s="52"/>
      <c r="Z315" s="37"/>
      <c r="AA315" s="18"/>
      <c r="AB315" s="18"/>
      <c r="AC315" s="18"/>
    </row>
    <row r="316" spans="23:29" customFormat="1" x14ac:dyDescent="0.25">
      <c r="W316" s="37"/>
      <c r="X316" s="52"/>
      <c r="Y316" s="52"/>
      <c r="Z316" s="37"/>
      <c r="AA316" s="18"/>
      <c r="AB316" s="18"/>
      <c r="AC316" s="18"/>
    </row>
    <row r="317" spans="23:29" customFormat="1" x14ac:dyDescent="0.25">
      <c r="W317" s="37"/>
      <c r="X317" s="52"/>
      <c r="Y317" s="52"/>
      <c r="Z317" s="37"/>
      <c r="AA317" s="18"/>
      <c r="AB317" s="18"/>
      <c r="AC317" s="18"/>
    </row>
    <row r="318" spans="23:29" customFormat="1" x14ac:dyDescent="0.25">
      <c r="W318" s="37"/>
      <c r="X318" s="52"/>
      <c r="Y318" s="52"/>
      <c r="Z318" s="37"/>
      <c r="AA318" s="18"/>
      <c r="AB318" s="18"/>
      <c r="AC318" s="18"/>
    </row>
    <row r="319" spans="23:29" customFormat="1" x14ac:dyDescent="0.25">
      <c r="W319" s="37"/>
      <c r="X319" s="52"/>
      <c r="Y319" s="52"/>
      <c r="Z319" s="37"/>
      <c r="AA319" s="18"/>
      <c r="AB319" s="18"/>
      <c r="AC319" s="18"/>
    </row>
    <row r="320" spans="23:29" customFormat="1" x14ac:dyDescent="0.25">
      <c r="W320" s="37"/>
      <c r="X320" s="52"/>
      <c r="Y320" s="52"/>
      <c r="Z320" s="37"/>
      <c r="AA320" s="18"/>
      <c r="AB320" s="18"/>
      <c r="AC320" s="18"/>
    </row>
    <row r="321" spans="23:29" customFormat="1" x14ac:dyDescent="0.25">
      <c r="W321" s="37"/>
      <c r="X321" s="52"/>
      <c r="Y321" s="52"/>
      <c r="Z321" s="37"/>
      <c r="AA321" s="18"/>
      <c r="AB321" s="18"/>
      <c r="AC321" s="18"/>
    </row>
    <row r="322" spans="23:29" customFormat="1" x14ac:dyDescent="0.25">
      <c r="W322" s="37"/>
      <c r="X322" s="52"/>
      <c r="Y322" s="52"/>
      <c r="Z322" s="37"/>
      <c r="AA322" s="18"/>
      <c r="AB322" s="18"/>
      <c r="AC322" s="18"/>
    </row>
    <row r="323" spans="23:29" customFormat="1" x14ac:dyDescent="0.25">
      <c r="W323" s="37"/>
      <c r="X323" s="52"/>
      <c r="Y323" s="52"/>
      <c r="Z323" s="37"/>
      <c r="AA323" s="18"/>
      <c r="AB323" s="18"/>
      <c r="AC323" s="18"/>
    </row>
    <row r="324" spans="23:29" customFormat="1" x14ac:dyDescent="0.25">
      <c r="W324" s="37"/>
      <c r="X324" s="52"/>
      <c r="Y324" s="52"/>
      <c r="Z324" s="37"/>
      <c r="AA324" s="18"/>
      <c r="AB324" s="18"/>
      <c r="AC324" s="18"/>
    </row>
    <row r="325" spans="23:29" customFormat="1" x14ac:dyDescent="0.25">
      <c r="W325" s="37"/>
      <c r="X325" s="52"/>
      <c r="Y325" s="52"/>
      <c r="Z325" s="37"/>
      <c r="AA325" s="18"/>
      <c r="AB325" s="18"/>
      <c r="AC325" s="18"/>
    </row>
    <row r="326" spans="23:29" customFormat="1" x14ac:dyDescent="0.25">
      <c r="W326" s="37"/>
      <c r="X326" s="52"/>
      <c r="Y326" s="52"/>
      <c r="Z326" s="37"/>
      <c r="AA326" s="18"/>
      <c r="AB326" s="18"/>
      <c r="AC326" s="18"/>
    </row>
    <row r="327" spans="23:29" customFormat="1" x14ac:dyDescent="0.25">
      <c r="W327" s="37"/>
      <c r="X327" s="52"/>
      <c r="Y327" s="52"/>
      <c r="Z327" s="37"/>
      <c r="AA327" s="18"/>
      <c r="AB327" s="18"/>
      <c r="AC327" s="18"/>
    </row>
    <row r="328" spans="23:29" customFormat="1" x14ac:dyDescent="0.25">
      <c r="W328" s="37"/>
      <c r="X328" s="52"/>
      <c r="Y328" s="52"/>
      <c r="Z328" s="37"/>
      <c r="AA328" s="18"/>
      <c r="AB328" s="18"/>
      <c r="AC328" s="18"/>
    </row>
    <row r="329" spans="23:29" customFormat="1" x14ac:dyDescent="0.25">
      <c r="W329" s="37"/>
      <c r="X329" s="52"/>
      <c r="Y329" s="52"/>
      <c r="Z329" s="37"/>
      <c r="AA329" s="18"/>
      <c r="AB329" s="18"/>
      <c r="AC329" s="18"/>
    </row>
    <row r="330" spans="23:29" customFormat="1" x14ac:dyDescent="0.25">
      <c r="W330" s="37"/>
      <c r="X330" s="52"/>
      <c r="Y330" s="52"/>
      <c r="Z330" s="37"/>
      <c r="AA330" s="18"/>
      <c r="AB330" s="18"/>
      <c r="AC330" s="18"/>
    </row>
    <row r="331" spans="23:29" customFormat="1" x14ac:dyDescent="0.25">
      <c r="W331" s="37"/>
      <c r="X331" s="52"/>
      <c r="Y331" s="52"/>
      <c r="Z331" s="37"/>
      <c r="AA331" s="18"/>
      <c r="AB331" s="18"/>
      <c r="AC331" s="18"/>
    </row>
    <row r="332" spans="23:29" customFormat="1" x14ac:dyDescent="0.25">
      <c r="W332" s="37"/>
      <c r="X332" s="52"/>
      <c r="Y332" s="52"/>
      <c r="Z332" s="37"/>
      <c r="AA332" s="18"/>
      <c r="AB332" s="18"/>
      <c r="AC332" s="18"/>
    </row>
    <row r="333" spans="23:29" customFormat="1" x14ac:dyDescent="0.25">
      <c r="W333" s="37"/>
      <c r="X333" s="52"/>
      <c r="Y333" s="52"/>
      <c r="Z333" s="37"/>
      <c r="AA333" s="18"/>
      <c r="AB333" s="18"/>
      <c r="AC333" s="18"/>
    </row>
    <row r="334" spans="23:29" customFormat="1" x14ac:dyDescent="0.25">
      <c r="W334" s="37"/>
      <c r="X334" s="52"/>
      <c r="Y334" s="52"/>
      <c r="Z334" s="37"/>
      <c r="AA334" s="18"/>
      <c r="AB334" s="18"/>
      <c r="AC334" s="18"/>
    </row>
    <row r="335" spans="23:29" customFormat="1" x14ac:dyDescent="0.25">
      <c r="W335" s="37"/>
      <c r="X335" s="52"/>
      <c r="Y335" s="52"/>
      <c r="Z335" s="37"/>
      <c r="AA335" s="18"/>
      <c r="AB335" s="18"/>
      <c r="AC335" s="18"/>
    </row>
    <row r="336" spans="23:29" customFormat="1" x14ac:dyDescent="0.25">
      <c r="W336" s="37"/>
      <c r="X336" s="52"/>
      <c r="Y336" s="52"/>
      <c r="Z336" s="37"/>
      <c r="AA336" s="18"/>
      <c r="AB336" s="18"/>
      <c r="AC336" s="18"/>
    </row>
    <row r="337" spans="23:29" customFormat="1" x14ac:dyDescent="0.25">
      <c r="W337" s="37"/>
      <c r="X337" s="52"/>
      <c r="Y337" s="52"/>
      <c r="Z337" s="37"/>
      <c r="AA337" s="18"/>
      <c r="AB337" s="18"/>
      <c r="AC337" s="18"/>
    </row>
    <row r="338" spans="23:29" customFormat="1" x14ac:dyDescent="0.25">
      <c r="W338" s="37"/>
      <c r="X338" s="52"/>
      <c r="Y338" s="52"/>
      <c r="Z338" s="37"/>
      <c r="AA338" s="18"/>
      <c r="AB338" s="18"/>
      <c r="AC338" s="18"/>
    </row>
    <row r="339" spans="23:29" customFormat="1" x14ac:dyDescent="0.25">
      <c r="W339" s="37"/>
      <c r="X339" s="52"/>
      <c r="Y339" s="52"/>
      <c r="Z339" s="37"/>
      <c r="AA339" s="18"/>
      <c r="AB339" s="18"/>
      <c r="AC339" s="18"/>
    </row>
    <row r="340" spans="23:29" customFormat="1" x14ac:dyDescent="0.25">
      <c r="W340" s="37"/>
      <c r="X340" s="52"/>
      <c r="Y340" s="52"/>
      <c r="Z340" s="37"/>
      <c r="AA340" s="18"/>
      <c r="AB340" s="18"/>
      <c r="AC340" s="18"/>
    </row>
    <row r="341" spans="23:29" customFormat="1" x14ac:dyDescent="0.25">
      <c r="W341" s="37"/>
      <c r="X341" s="52"/>
      <c r="Y341" s="52"/>
      <c r="Z341" s="37"/>
      <c r="AA341" s="18"/>
      <c r="AB341" s="18"/>
      <c r="AC341" s="18"/>
    </row>
    <row r="342" spans="23:29" customFormat="1" x14ac:dyDescent="0.25">
      <c r="W342" s="37"/>
      <c r="X342" s="52"/>
      <c r="Y342" s="52"/>
      <c r="Z342" s="37"/>
      <c r="AA342" s="18"/>
      <c r="AB342" s="18"/>
      <c r="AC342" s="18"/>
    </row>
    <row r="343" spans="23:29" customFormat="1" x14ac:dyDescent="0.25">
      <c r="W343" s="37"/>
      <c r="X343" s="52"/>
      <c r="Y343" s="52"/>
      <c r="Z343" s="37"/>
      <c r="AA343" s="18"/>
      <c r="AB343" s="18"/>
      <c r="AC343" s="18"/>
    </row>
    <row r="344" spans="23:29" customFormat="1" x14ac:dyDescent="0.25">
      <c r="W344" s="37"/>
      <c r="X344" s="52"/>
      <c r="Y344" s="52"/>
      <c r="Z344" s="37"/>
      <c r="AA344" s="18"/>
      <c r="AB344" s="18"/>
      <c r="AC344" s="18"/>
    </row>
    <row r="345" spans="23:29" customFormat="1" x14ac:dyDescent="0.25">
      <c r="W345" s="37"/>
      <c r="X345" s="52"/>
      <c r="Y345" s="52"/>
      <c r="Z345" s="37"/>
      <c r="AA345" s="18"/>
      <c r="AB345" s="18"/>
      <c r="AC345" s="18"/>
    </row>
    <row r="346" spans="23:29" customFormat="1" x14ac:dyDescent="0.25">
      <c r="W346" s="37"/>
      <c r="X346" s="52"/>
      <c r="Y346" s="52"/>
      <c r="Z346" s="37"/>
      <c r="AA346" s="18"/>
      <c r="AB346" s="18"/>
      <c r="AC346" s="18"/>
    </row>
    <row r="347" spans="23:29" customFormat="1" x14ac:dyDescent="0.25">
      <c r="W347" s="37"/>
      <c r="X347" s="52"/>
      <c r="Y347" s="52"/>
      <c r="Z347" s="37"/>
      <c r="AA347" s="18"/>
      <c r="AB347" s="18"/>
      <c r="AC347" s="18"/>
    </row>
    <row r="348" spans="23:29" customFormat="1" x14ac:dyDescent="0.25">
      <c r="W348" s="37"/>
      <c r="X348" s="52"/>
      <c r="Y348" s="52"/>
      <c r="Z348" s="37"/>
      <c r="AA348" s="18"/>
      <c r="AB348" s="18"/>
      <c r="AC348" s="18"/>
    </row>
    <row r="349" spans="23:29" customFormat="1" x14ac:dyDescent="0.25">
      <c r="W349" s="37"/>
      <c r="X349" s="52"/>
      <c r="Y349" s="52"/>
      <c r="Z349" s="37"/>
      <c r="AA349" s="18"/>
      <c r="AB349" s="18"/>
      <c r="AC349" s="18"/>
    </row>
    <row r="350" spans="23:29" customFormat="1" x14ac:dyDescent="0.25">
      <c r="W350" s="37"/>
      <c r="X350" s="52"/>
      <c r="Y350" s="52"/>
      <c r="Z350" s="37"/>
      <c r="AA350" s="18"/>
      <c r="AB350" s="18"/>
      <c r="AC350" s="18"/>
    </row>
    <row r="351" spans="23:29" customFormat="1" x14ac:dyDescent="0.25">
      <c r="W351" s="37"/>
      <c r="X351" s="52"/>
      <c r="Y351" s="52"/>
      <c r="Z351" s="37"/>
      <c r="AA351" s="18"/>
      <c r="AB351" s="18"/>
      <c r="AC351" s="18"/>
    </row>
    <row r="352" spans="23:29" customFormat="1" x14ac:dyDescent="0.25">
      <c r="W352" s="37"/>
      <c r="X352" s="52"/>
      <c r="Y352" s="52"/>
      <c r="Z352" s="37"/>
      <c r="AA352" s="18"/>
      <c r="AB352" s="18"/>
      <c r="AC352" s="18"/>
    </row>
    <row r="353" spans="23:29" customFormat="1" x14ac:dyDescent="0.25">
      <c r="W353" s="37"/>
      <c r="X353" s="52"/>
      <c r="Y353" s="52"/>
      <c r="Z353" s="37"/>
      <c r="AA353" s="18"/>
      <c r="AB353" s="18"/>
      <c r="AC353" s="18"/>
    </row>
    <row r="354" spans="23:29" customFormat="1" x14ac:dyDescent="0.25">
      <c r="W354" s="37"/>
      <c r="X354" s="52"/>
      <c r="Y354" s="52"/>
      <c r="Z354" s="37"/>
      <c r="AA354" s="18"/>
      <c r="AB354" s="18"/>
      <c r="AC354" s="18"/>
    </row>
    <row r="355" spans="23:29" customFormat="1" x14ac:dyDescent="0.25">
      <c r="W355" s="37"/>
      <c r="X355" s="52"/>
      <c r="Y355" s="52"/>
      <c r="Z355" s="37"/>
      <c r="AA355" s="18"/>
      <c r="AB355" s="18"/>
      <c r="AC355" s="18"/>
    </row>
    <row r="356" spans="23:29" customFormat="1" x14ac:dyDescent="0.25">
      <c r="W356" s="37"/>
      <c r="X356" s="52"/>
      <c r="Y356" s="52"/>
      <c r="Z356" s="37"/>
      <c r="AA356" s="18"/>
      <c r="AB356" s="18"/>
      <c r="AC356" s="18"/>
    </row>
    <row r="357" spans="23:29" customFormat="1" x14ac:dyDescent="0.25">
      <c r="W357" s="37"/>
      <c r="X357" s="52"/>
      <c r="Y357" s="52"/>
      <c r="Z357" s="37"/>
      <c r="AA357" s="18"/>
      <c r="AB357" s="18"/>
      <c r="AC357" s="18"/>
    </row>
    <row r="358" spans="23:29" customFormat="1" x14ac:dyDescent="0.25">
      <c r="W358" s="37"/>
      <c r="X358" s="52"/>
      <c r="Y358" s="52"/>
      <c r="Z358" s="37"/>
      <c r="AA358" s="18"/>
      <c r="AB358" s="18"/>
      <c r="AC358" s="18"/>
    </row>
    <row r="359" spans="23:29" customFormat="1" x14ac:dyDescent="0.25">
      <c r="W359" s="37"/>
      <c r="X359" s="52"/>
      <c r="Y359" s="52"/>
      <c r="Z359" s="37"/>
      <c r="AA359" s="18"/>
      <c r="AB359" s="18"/>
      <c r="AC359" s="18"/>
    </row>
    <row r="360" spans="23:29" customFormat="1" x14ac:dyDescent="0.25">
      <c r="W360" s="37"/>
      <c r="X360" s="52"/>
      <c r="Y360" s="52"/>
      <c r="Z360" s="37"/>
      <c r="AA360" s="18"/>
      <c r="AB360" s="18"/>
      <c r="AC360" s="18"/>
    </row>
    <row r="361" spans="23:29" customFormat="1" x14ac:dyDescent="0.25">
      <c r="W361" s="37"/>
      <c r="X361" s="52"/>
      <c r="Y361" s="52"/>
      <c r="Z361" s="37"/>
      <c r="AA361" s="18"/>
      <c r="AB361" s="18"/>
      <c r="AC361" s="18"/>
    </row>
    <row r="362" spans="23:29" customFormat="1" x14ac:dyDescent="0.25">
      <c r="W362" s="37"/>
      <c r="X362" s="52"/>
      <c r="Y362" s="52"/>
      <c r="Z362" s="37"/>
      <c r="AA362" s="18"/>
      <c r="AB362" s="18"/>
      <c r="AC362" s="18"/>
    </row>
    <row r="363" spans="23:29" customFormat="1" x14ac:dyDescent="0.25">
      <c r="W363" s="37"/>
      <c r="X363" s="52"/>
      <c r="Y363" s="52"/>
      <c r="Z363" s="37"/>
      <c r="AA363" s="18"/>
      <c r="AB363" s="18"/>
      <c r="AC363" s="18"/>
    </row>
    <row r="364" spans="23:29" customFormat="1" x14ac:dyDescent="0.25">
      <c r="W364" s="37"/>
      <c r="X364" s="52"/>
      <c r="Y364" s="52"/>
      <c r="Z364" s="37"/>
      <c r="AA364" s="18"/>
      <c r="AB364" s="18"/>
      <c r="AC364" s="18"/>
    </row>
    <row r="365" spans="23:29" customFormat="1" x14ac:dyDescent="0.25">
      <c r="W365" s="37"/>
      <c r="X365" s="52"/>
      <c r="Y365" s="52"/>
      <c r="Z365" s="37"/>
      <c r="AA365" s="18"/>
      <c r="AB365" s="18"/>
      <c r="AC365" s="18"/>
    </row>
    <row r="366" spans="23:29" customFormat="1" x14ac:dyDescent="0.25">
      <c r="W366" s="37"/>
      <c r="X366" s="52"/>
      <c r="Y366" s="52"/>
      <c r="Z366" s="37"/>
      <c r="AA366" s="18"/>
      <c r="AB366" s="18"/>
      <c r="AC366" s="18"/>
    </row>
    <row r="367" spans="23:29" customFormat="1" x14ac:dyDescent="0.25">
      <c r="W367" s="37"/>
      <c r="X367" s="52"/>
      <c r="Y367" s="52"/>
      <c r="Z367" s="37"/>
      <c r="AA367" s="18"/>
      <c r="AB367" s="18"/>
      <c r="AC367" s="18"/>
    </row>
    <row r="368" spans="23:29" customFormat="1" x14ac:dyDescent="0.25">
      <c r="W368" s="37"/>
      <c r="X368" s="52"/>
      <c r="Y368" s="52"/>
      <c r="Z368" s="37"/>
      <c r="AA368" s="18"/>
      <c r="AB368" s="18"/>
      <c r="AC368" s="18"/>
    </row>
    <row r="369" spans="23:29" customFormat="1" x14ac:dyDescent="0.25">
      <c r="W369" s="37"/>
      <c r="X369" s="52"/>
      <c r="Y369" s="52"/>
      <c r="Z369" s="37"/>
      <c r="AA369" s="18"/>
      <c r="AB369" s="18"/>
      <c r="AC369" s="18"/>
    </row>
    <row r="370" spans="23:29" customFormat="1" x14ac:dyDescent="0.25">
      <c r="W370" s="37"/>
      <c r="X370" s="52"/>
      <c r="Y370" s="52"/>
      <c r="Z370" s="37"/>
      <c r="AA370" s="18"/>
      <c r="AB370" s="18"/>
      <c r="AC370" s="18"/>
    </row>
    <row r="371" spans="23:29" customFormat="1" x14ac:dyDescent="0.25">
      <c r="W371" s="37"/>
      <c r="X371" s="52"/>
      <c r="Y371" s="52"/>
      <c r="Z371" s="37"/>
      <c r="AA371" s="18"/>
      <c r="AB371" s="18"/>
      <c r="AC371" s="18"/>
    </row>
    <row r="372" spans="23:29" customFormat="1" x14ac:dyDescent="0.25">
      <c r="W372" s="37"/>
      <c r="X372" s="52"/>
      <c r="Y372" s="52"/>
      <c r="Z372" s="37"/>
      <c r="AA372" s="18"/>
      <c r="AB372" s="18"/>
      <c r="AC372" s="18"/>
    </row>
    <row r="373" spans="23:29" customFormat="1" x14ac:dyDescent="0.25">
      <c r="W373" s="37"/>
      <c r="X373" s="52"/>
      <c r="Y373" s="52"/>
      <c r="Z373" s="37"/>
      <c r="AA373" s="18"/>
      <c r="AB373" s="18"/>
      <c r="AC373" s="18"/>
    </row>
    <row r="374" spans="23:29" customFormat="1" x14ac:dyDescent="0.25">
      <c r="W374" s="37"/>
      <c r="X374" s="52"/>
      <c r="Y374" s="52"/>
      <c r="Z374" s="37"/>
      <c r="AA374" s="18"/>
      <c r="AB374" s="18"/>
      <c r="AC374" s="18"/>
    </row>
    <row r="375" spans="23:29" customFormat="1" x14ac:dyDescent="0.25">
      <c r="W375" s="37"/>
      <c r="X375" s="52"/>
      <c r="Y375" s="52"/>
      <c r="Z375" s="37"/>
      <c r="AA375" s="18"/>
      <c r="AB375" s="18"/>
      <c r="AC375" s="18"/>
    </row>
    <row r="376" spans="23:29" customFormat="1" x14ac:dyDescent="0.25">
      <c r="W376" s="37"/>
      <c r="X376" s="52"/>
      <c r="Y376" s="52"/>
      <c r="Z376" s="37"/>
      <c r="AA376" s="18"/>
      <c r="AB376" s="18"/>
      <c r="AC376" s="18"/>
    </row>
    <row r="377" spans="23:29" customFormat="1" x14ac:dyDescent="0.25">
      <c r="W377" s="37"/>
      <c r="X377" s="52"/>
      <c r="Y377" s="52"/>
      <c r="Z377" s="37"/>
      <c r="AA377" s="18"/>
      <c r="AB377" s="18"/>
      <c r="AC377" s="18"/>
    </row>
    <row r="378" spans="23:29" customFormat="1" x14ac:dyDescent="0.25">
      <c r="W378" s="37"/>
      <c r="X378" s="52"/>
      <c r="Y378" s="52"/>
      <c r="Z378" s="37"/>
      <c r="AA378" s="18"/>
      <c r="AB378" s="18"/>
      <c r="AC378" s="18"/>
    </row>
    <row r="379" spans="23:29" customFormat="1" x14ac:dyDescent="0.25">
      <c r="W379" s="37"/>
      <c r="X379" s="52"/>
      <c r="Y379" s="52"/>
      <c r="Z379" s="37"/>
      <c r="AA379" s="18"/>
      <c r="AB379" s="18"/>
      <c r="AC379" s="18"/>
    </row>
    <row r="380" spans="23:29" customFormat="1" x14ac:dyDescent="0.25">
      <c r="W380" s="37"/>
      <c r="X380" s="52"/>
      <c r="Y380" s="52"/>
      <c r="Z380" s="37"/>
      <c r="AA380" s="18"/>
      <c r="AB380" s="18"/>
      <c r="AC380" s="18"/>
    </row>
    <row r="381" spans="23:29" customFormat="1" x14ac:dyDescent="0.25">
      <c r="W381" s="37"/>
      <c r="X381" s="52"/>
      <c r="Y381" s="52"/>
      <c r="Z381" s="37"/>
      <c r="AA381" s="18"/>
      <c r="AB381" s="18"/>
      <c r="AC381" s="18"/>
    </row>
    <row r="382" spans="23:29" customFormat="1" x14ac:dyDescent="0.25">
      <c r="W382" s="37"/>
      <c r="X382" s="52"/>
      <c r="Y382" s="52"/>
      <c r="Z382" s="37"/>
      <c r="AA382" s="18"/>
      <c r="AB382" s="18"/>
      <c r="AC382" s="18"/>
    </row>
    <row r="383" spans="23:29" customFormat="1" x14ac:dyDescent="0.25">
      <c r="W383" s="37"/>
      <c r="X383" s="52"/>
      <c r="Y383" s="52"/>
      <c r="Z383" s="37"/>
      <c r="AA383" s="18"/>
      <c r="AB383" s="18"/>
      <c r="AC383" s="18"/>
    </row>
    <row r="384" spans="23:29" customFormat="1" x14ac:dyDescent="0.25">
      <c r="W384" s="37"/>
      <c r="X384" s="52"/>
      <c r="Y384" s="52"/>
      <c r="Z384" s="37"/>
      <c r="AA384" s="18"/>
      <c r="AB384" s="18"/>
      <c r="AC384" s="18"/>
    </row>
    <row r="385" spans="23:29" customFormat="1" x14ac:dyDescent="0.25">
      <c r="W385" s="37"/>
      <c r="X385" s="52"/>
      <c r="Y385" s="52"/>
      <c r="Z385" s="37"/>
      <c r="AA385" s="18"/>
      <c r="AB385" s="18"/>
      <c r="AC385" s="18"/>
    </row>
    <row r="386" spans="23:29" customFormat="1" x14ac:dyDescent="0.25">
      <c r="W386" s="37"/>
      <c r="X386" s="52"/>
      <c r="Y386" s="52"/>
      <c r="Z386" s="37"/>
      <c r="AA386" s="18"/>
      <c r="AB386" s="18"/>
      <c r="AC386" s="18"/>
    </row>
    <row r="387" spans="23:29" customFormat="1" x14ac:dyDescent="0.25">
      <c r="W387" s="37"/>
      <c r="X387" s="52"/>
      <c r="Y387" s="52"/>
      <c r="Z387" s="37"/>
      <c r="AA387" s="18"/>
      <c r="AB387" s="18"/>
      <c r="AC387" s="18"/>
    </row>
    <row r="388" spans="23:29" customFormat="1" x14ac:dyDescent="0.25">
      <c r="W388" s="37"/>
      <c r="X388" s="52"/>
      <c r="Y388" s="52"/>
      <c r="Z388" s="37"/>
      <c r="AA388" s="18"/>
      <c r="AB388" s="18"/>
      <c r="AC388" s="18"/>
    </row>
    <row r="389" spans="23:29" customFormat="1" x14ac:dyDescent="0.25">
      <c r="W389" s="37"/>
      <c r="X389" s="52"/>
      <c r="Y389" s="52"/>
      <c r="Z389" s="37"/>
      <c r="AA389" s="18"/>
      <c r="AB389" s="18"/>
      <c r="AC389" s="18"/>
    </row>
    <row r="390" spans="23:29" customFormat="1" x14ac:dyDescent="0.25">
      <c r="W390" s="37"/>
      <c r="X390" s="52"/>
      <c r="Y390" s="52"/>
      <c r="Z390" s="37"/>
      <c r="AA390" s="18"/>
      <c r="AB390" s="18"/>
      <c r="AC390" s="18"/>
    </row>
    <row r="391" spans="23:29" customFormat="1" x14ac:dyDescent="0.25">
      <c r="W391" s="37"/>
      <c r="X391" s="52"/>
      <c r="Y391" s="52"/>
      <c r="Z391" s="37"/>
      <c r="AA391" s="18"/>
      <c r="AB391" s="18"/>
      <c r="AC391" s="18"/>
    </row>
    <row r="392" spans="23:29" customFormat="1" x14ac:dyDescent="0.25">
      <c r="W392" s="37"/>
      <c r="X392" s="52"/>
      <c r="Y392" s="52"/>
      <c r="Z392" s="37"/>
      <c r="AA392" s="18"/>
      <c r="AB392" s="18"/>
      <c r="AC392" s="18"/>
    </row>
    <row r="393" spans="23:29" customFormat="1" x14ac:dyDescent="0.25">
      <c r="W393" s="37"/>
      <c r="X393" s="52"/>
      <c r="Y393" s="52"/>
      <c r="Z393" s="37"/>
      <c r="AA393" s="18"/>
      <c r="AB393" s="18"/>
      <c r="AC393" s="18"/>
    </row>
    <row r="394" spans="23:29" customFormat="1" x14ac:dyDescent="0.25">
      <c r="W394" s="37"/>
      <c r="X394" s="52"/>
      <c r="Y394" s="52"/>
      <c r="Z394" s="37"/>
      <c r="AA394" s="18"/>
      <c r="AB394" s="18"/>
      <c r="AC394" s="18"/>
    </row>
    <row r="395" spans="23:29" customFormat="1" x14ac:dyDescent="0.25">
      <c r="W395" s="37"/>
      <c r="X395" s="52"/>
      <c r="Y395" s="52"/>
      <c r="Z395" s="37"/>
      <c r="AA395" s="18"/>
      <c r="AB395" s="18"/>
      <c r="AC395" s="18"/>
    </row>
    <row r="396" spans="23:29" customFormat="1" x14ac:dyDescent="0.25">
      <c r="W396" s="37"/>
      <c r="X396" s="52"/>
      <c r="Y396" s="52"/>
      <c r="Z396" s="37"/>
      <c r="AA396" s="18"/>
      <c r="AB396" s="18"/>
      <c r="AC396" s="18"/>
    </row>
    <row r="397" spans="23:29" customFormat="1" x14ac:dyDescent="0.25">
      <c r="W397" s="37"/>
      <c r="X397" s="52"/>
      <c r="Y397" s="52"/>
      <c r="Z397" s="37"/>
      <c r="AA397" s="18"/>
      <c r="AB397" s="18"/>
      <c r="AC397" s="18"/>
    </row>
    <row r="398" spans="23:29" customFormat="1" x14ac:dyDescent="0.25">
      <c r="W398" s="37"/>
      <c r="X398" s="52"/>
      <c r="Y398" s="52"/>
      <c r="Z398" s="37"/>
      <c r="AA398" s="18"/>
      <c r="AB398" s="18"/>
      <c r="AC398" s="18"/>
    </row>
    <row r="399" spans="23:29" customFormat="1" x14ac:dyDescent="0.25">
      <c r="W399" s="37"/>
      <c r="X399" s="52"/>
      <c r="Y399" s="52"/>
      <c r="Z399" s="37"/>
      <c r="AA399" s="18"/>
      <c r="AB399" s="18"/>
      <c r="AC399" s="18"/>
    </row>
    <row r="400" spans="23:29" customFormat="1" x14ac:dyDescent="0.25">
      <c r="W400" s="37"/>
      <c r="X400" s="52"/>
      <c r="Y400" s="52"/>
      <c r="Z400" s="37"/>
      <c r="AA400" s="18"/>
      <c r="AB400" s="18"/>
      <c r="AC400" s="18"/>
    </row>
    <row r="401" spans="23:29" customFormat="1" x14ac:dyDescent="0.25">
      <c r="W401" s="37"/>
      <c r="X401" s="52"/>
      <c r="Y401" s="52"/>
      <c r="Z401" s="37"/>
      <c r="AA401" s="18"/>
      <c r="AB401" s="18"/>
      <c r="AC401" s="18"/>
    </row>
    <row r="402" spans="23:29" customFormat="1" x14ac:dyDescent="0.25">
      <c r="W402" s="37"/>
      <c r="X402" s="52"/>
      <c r="Y402" s="52"/>
      <c r="Z402" s="37"/>
      <c r="AA402" s="18"/>
      <c r="AB402" s="18"/>
      <c r="AC402" s="18"/>
    </row>
    <row r="403" spans="23:29" customFormat="1" x14ac:dyDescent="0.25">
      <c r="W403" s="37"/>
      <c r="X403" s="52"/>
      <c r="Y403" s="52"/>
      <c r="Z403" s="37"/>
      <c r="AA403" s="18"/>
      <c r="AB403" s="18"/>
      <c r="AC403" s="18"/>
    </row>
    <row r="404" spans="23:29" customFormat="1" x14ac:dyDescent="0.25">
      <c r="W404" s="37"/>
      <c r="X404" s="52"/>
      <c r="Y404" s="52"/>
      <c r="Z404" s="37"/>
      <c r="AA404" s="18"/>
      <c r="AB404" s="18"/>
      <c r="AC404" s="18"/>
    </row>
    <row r="405" spans="23:29" customFormat="1" x14ac:dyDescent="0.25">
      <c r="W405" s="37"/>
      <c r="X405" s="52"/>
      <c r="Y405" s="52"/>
      <c r="Z405" s="37"/>
      <c r="AA405" s="18"/>
      <c r="AB405" s="18"/>
      <c r="AC405" s="18"/>
    </row>
    <row r="406" spans="23:29" customFormat="1" x14ac:dyDescent="0.25">
      <c r="W406" s="37"/>
      <c r="X406" s="52"/>
      <c r="Y406" s="52"/>
      <c r="Z406" s="37"/>
      <c r="AA406" s="18"/>
      <c r="AB406" s="18"/>
      <c r="AC406" s="18"/>
    </row>
    <row r="407" spans="23:29" customFormat="1" x14ac:dyDescent="0.25">
      <c r="W407" s="37"/>
      <c r="X407" s="52"/>
      <c r="Y407" s="52"/>
      <c r="Z407" s="37"/>
      <c r="AA407" s="18"/>
      <c r="AB407" s="18"/>
      <c r="AC407" s="18"/>
    </row>
    <row r="408" spans="23:29" customFormat="1" x14ac:dyDescent="0.25">
      <c r="W408" s="37"/>
      <c r="X408" s="52"/>
      <c r="Y408" s="52"/>
      <c r="Z408" s="37"/>
      <c r="AA408" s="18"/>
      <c r="AB408" s="18"/>
      <c r="AC408" s="18"/>
    </row>
    <row r="409" spans="23:29" customFormat="1" x14ac:dyDescent="0.25">
      <c r="W409" s="37"/>
      <c r="X409" s="52"/>
      <c r="Y409" s="52"/>
      <c r="Z409" s="37"/>
      <c r="AA409" s="18"/>
      <c r="AB409" s="18"/>
      <c r="AC409" s="18"/>
    </row>
    <row r="410" spans="23:29" customFormat="1" x14ac:dyDescent="0.25">
      <c r="W410" s="37"/>
      <c r="X410" s="52"/>
      <c r="Y410" s="52"/>
      <c r="Z410" s="37"/>
      <c r="AA410" s="18"/>
      <c r="AB410" s="18"/>
      <c r="AC410" s="18"/>
    </row>
    <row r="411" spans="23:29" customFormat="1" x14ac:dyDescent="0.25">
      <c r="W411" s="37"/>
      <c r="X411" s="52"/>
      <c r="Y411" s="52"/>
      <c r="Z411" s="37"/>
      <c r="AA411" s="18"/>
      <c r="AB411" s="18"/>
      <c r="AC411" s="18"/>
    </row>
    <row r="412" spans="23:29" customFormat="1" x14ac:dyDescent="0.25">
      <c r="W412" s="37"/>
      <c r="X412" s="52"/>
      <c r="Y412" s="52"/>
      <c r="Z412" s="37"/>
      <c r="AA412" s="18"/>
      <c r="AB412" s="18"/>
      <c r="AC412" s="18"/>
    </row>
    <row r="413" spans="23:29" customFormat="1" x14ac:dyDescent="0.25">
      <c r="W413" s="37"/>
      <c r="X413" s="52"/>
      <c r="Y413" s="52"/>
      <c r="Z413" s="37"/>
      <c r="AA413" s="18"/>
      <c r="AB413" s="18"/>
      <c r="AC413" s="18"/>
    </row>
    <row r="414" spans="23:29" customFormat="1" x14ac:dyDescent="0.25">
      <c r="W414" s="37"/>
      <c r="X414" s="52"/>
      <c r="Y414" s="52"/>
      <c r="Z414" s="37"/>
      <c r="AA414" s="18"/>
      <c r="AB414" s="18"/>
      <c r="AC414" s="18"/>
    </row>
    <row r="415" spans="23:29" customFormat="1" x14ac:dyDescent="0.25">
      <c r="W415" s="37"/>
      <c r="X415" s="52"/>
      <c r="Y415" s="52"/>
      <c r="Z415" s="37"/>
      <c r="AA415" s="18"/>
      <c r="AB415" s="18"/>
      <c r="AC415" s="18"/>
    </row>
    <row r="416" spans="23:29" customFormat="1" x14ac:dyDescent="0.25">
      <c r="W416" s="37"/>
      <c r="X416" s="52"/>
      <c r="Y416" s="52"/>
      <c r="Z416" s="37"/>
      <c r="AA416" s="18"/>
      <c r="AB416" s="18"/>
      <c r="AC416" s="18"/>
    </row>
    <row r="417" spans="23:29" customFormat="1" x14ac:dyDescent="0.25">
      <c r="W417" s="37"/>
      <c r="X417" s="52"/>
      <c r="Y417" s="52"/>
      <c r="Z417" s="37"/>
      <c r="AA417" s="18"/>
      <c r="AB417" s="18"/>
      <c r="AC417" s="18"/>
    </row>
    <row r="418" spans="23:29" customFormat="1" x14ac:dyDescent="0.25">
      <c r="W418" s="37"/>
      <c r="X418" s="52"/>
      <c r="Y418" s="52"/>
      <c r="Z418" s="37"/>
      <c r="AA418" s="18"/>
      <c r="AB418" s="18"/>
      <c r="AC418" s="18"/>
    </row>
    <row r="419" spans="23:29" customFormat="1" x14ac:dyDescent="0.25">
      <c r="W419" s="37"/>
      <c r="X419" s="52"/>
      <c r="Y419" s="52"/>
      <c r="Z419" s="37"/>
      <c r="AA419" s="18"/>
      <c r="AB419" s="18"/>
      <c r="AC419" s="18"/>
    </row>
    <row r="420" spans="23:29" customFormat="1" x14ac:dyDescent="0.25">
      <c r="W420" s="37"/>
      <c r="X420" s="52"/>
      <c r="Y420" s="52"/>
      <c r="Z420" s="37"/>
      <c r="AA420" s="18"/>
      <c r="AB420" s="18"/>
      <c r="AC420" s="18"/>
    </row>
    <row r="421" spans="23:29" customFormat="1" x14ac:dyDescent="0.25">
      <c r="W421" s="37"/>
      <c r="X421" s="52"/>
      <c r="Y421" s="52"/>
      <c r="Z421" s="37"/>
      <c r="AA421" s="18"/>
      <c r="AB421" s="18"/>
      <c r="AC421" s="18"/>
    </row>
    <row r="422" spans="23:29" customFormat="1" x14ac:dyDescent="0.25">
      <c r="W422" s="37"/>
      <c r="X422" s="52"/>
      <c r="Y422" s="52"/>
      <c r="Z422" s="37"/>
      <c r="AA422" s="18"/>
      <c r="AB422" s="18"/>
      <c r="AC422" s="18"/>
    </row>
    <row r="423" spans="23:29" customFormat="1" x14ac:dyDescent="0.25">
      <c r="W423" s="37"/>
      <c r="X423" s="52"/>
      <c r="Y423" s="52"/>
      <c r="Z423" s="37"/>
      <c r="AA423" s="18"/>
      <c r="AB423" s="18"/>
      <c r="AC423" s="18"/>
    </row>
    <row r="424" spans="23:29" customFormat="1" x14ac:dyDescent="0.25">
      <c r="W424" s="37"/>
      <c r="X424" s="52"/>
      <c r="Y424" s="52"/>
      <c r="Z424" s="37"/>
      <c r="AA424" s="18"/>
      <c r="AB424" s="18"/>
      <c r="AC424" s="18"/>
    </row>
    <row r="425" spans="23:29" customFormat="1" x14ac:dyDescent="0.25">
      <c r="W425" s="37"/>
      <c r="X425" s="52"/>
      <c r="Y425" s="52"/>
      <c r="Z425" s="37"/>
      <c r="AA425" s="18"/>
      <c r="AB425" s="18"/>
      <c r="AC425" s="18"/>
    </row>
    <row r="426" spans="23:29" customFormat="1" x14ac:dyDescent="0.25">
      <c r="W426" s="37"/>
      <c r="X426" s="52"/>
      <c r="Y426" s="52"/>
      <c r="Z426" s="37"/>
      <c r="AA426" s="18"/>
      <c r="AB426" s="18"/>
      <c r="AC426" s="18"/>
    </row>
    <row r="427" spans="23:29" customFormat="1" x14ac:dyDescent="0.25">
      <c r="W427" s="37"/>
      <c r="X427" s="52"/>
      <c r="Y427" s="52"/>
      <c r="Z427" s="37"/>
      <c r="AA427" s="18"/>
      <c r="AB427" s="18"/>
      <c r="AC427" s="18"/>
    </row>
    <row r="428" spans="23:29" customFormat="1" x14ac:dyDescent="0.25">
      <c r="W428" s="37"/>
      <c r="X428" s="52"/>
      <c r="Y428" s="52"/>
      <c r="Z428" s="37"/>
      <c r="AA428" s="18"/>
      <c r="AB428" s="18"/>
      <c r="AC428" s="18"/>
    </row>
    <row r="429" spans="23:29" customFormat="1" x14ac:dyDescent="0.25">
      <c r="W429" s="37"/>
      <c r="X429" s="52"/>
      <c r="Y429" s="52"/>
      <c r="Z429" s="37"/>
      <c r="AA429" s="18"/>
      <c r="AB429" s="18"/>
      <c r="AC429" s="18"/>
    </row>
    <row r="430" spans="23:29" customFormat="1" x14ac:dyDescent="0.25">
      <c r="W430" s="37"/>
      <c r="X430" s="52"/>
      <c r="Y430" s="52"/>
      <c r="Z430" s="37"/>
      <c r="AA430" s="18"/>
      <c r="AB430" s="18"/>
      <c r="AC430" s="18"/>
    </row>
    <row r="431" spans="23:29" customFormat="1" x14ac:dyDescent="0.25">
      <c r="W431" s="37"/>
      <c r="X431" s="52"/>
      <c r="Y431" s="52"/>
      <c r="Z431" s="37"/>
      <c r="AA431" s="18"/>
      <c r="AB431" s="18"/>
      <c r="AC431" s="18"/>
    </row>
    <row r="432" spans="23:29" customFormat="1" x14ac:dyDescent="0.25">
      <c r="W432" s="37"/>
      <c r="X432" s="52"/>
      <c r="Y432" s="52"/>
      <c r="Z432" s="37"/>
      <c r="AA432" s="18"/>
      <c r="AB432" s="18"/>
      <c r="AC432" s="18"/>
    </row>
    <row r="433" spans="23:29" customFormat="1" x14ac:dyDescent="0.25">
      <c r="W433" s="37"/>
      <c r="X433" s="52"/>
      <c r="Y433" s="52"/>
      <c r="Z433" s="37"/>
      <c r="AA433" s="18"/>
      <c r="AB433" s="18"/>
      <c r="AC433" s="18"/>
    </row>
    <row r="434" spans="23:29" customFormat="1" x14ac:dyDescent="0.25">
      <c r="W434" s="37"/>
      <c r="X434" s="52"/>
      <c r="Y434" s="52"/>
      <c r="Z434" s="37"/>
      <c r="AA434" s="18"/>
      <c r="AB434" s="18"/>
      <c r="AC434" s="18"/>
    </row>
    <row r="435" spans="23:29" customFormat="1" x14ac:dyDescent="0.25">
      <c r="W435" s="37"/>
      <c r="X435" s="52"/>
      <c r="Y435" s="52"/>
      <c r="Z435" s="37"/>
      <c r="AA435" s="18"/>
      <c r="AB435" s="18"/>
      <c r="AC435" s="18"/>
    </row>
    <row r="436" spans="23:29" customFormat="1" x14ac:dyDescent="0.25">
      <c r="W436" s="37"/>
      <c r="X436" s="52"/>
      <c r="Y436" s="52"/>
      <c r="Z436" s="37"/>
      <c r="AA436" s="18"/>
      <c r="AB436" s="18"/>
      <c r="AC436" s="18"/>
    </row>
    <row r="437" spans="23:29" customFormat="1" x14ac:dyDescent="0.25">
      <c r="W437" s="37"/>
      <c r="X437" s="52"/>
      <c r="Y437" s="52"/>
      <c r="Z437" s="37"/>
      <c r="AA437" s="18"/>
      <c r="AB437" s="18"/>
      <c r="AC437" s="18"/>
    </row>
    <row r="438" spans="23:29" customFormat="1" x14ac:dyDescent="0.25">
      <c r="W438" s="37"/>
      <c r="X438" s="52"/>
      <c r="Y438" s="52"/>
      <c r="Z438" s="37"/>
      <c r="AA438" s="18"/>
      <c r="AB438" s="18"/>
      <c r="AC438" s="18"/>
    </row>
    <row r="439" spans="23:29" customFormat="1" x14ac:dyDescent="0.25">
      <c r="W439" s="37"/>
      <c r="X439" s="52"/>
      <c r="Y439" s="52"/>
      <c r="Z439" s="37"/>
      <c r="AA439" s="18"/>
      <c r="AB439" s="18"/>
      <c r="AC439" s="18"/>
    </row>
    <row r="440" spans="23:29" customFormat="1" x14ac:dyDescent="0.25">
      <c r="W440" s="37"/>
      <c r="X440" s="52"/>
      <c r="Y440" s="52"/>
      <c r="Z440" s="37"/>
      <c r="AA440" s="18"/>
      <c r="AB440" s="18"/>
      <c r="AC440" s="18"/>
    </row>
    <row r="441" spans="23:29" customFormat="1" x14ac:dyDescent="0.25">
      <c r="W441" s="37"/>
      <c r="X441" s="52"/>
      <c r="Y441" s="52"/>
      <c r="Z441" s="37"/>
      <c r="AA441" s="18"/>
      <c r="AB441" s="18"/>
      <c r="AC441" s="18"/>
    </row>
    <row r="442" spans="23:29" customFormat="1" x14ac:dyDescent="0.25">
      <c r="W442" s="37"/>
      <c r="X442" s="52"/>
      <c r="Y442" s="52"/>
      <c r="Z442" s="37"/>
      <c r="AA442" s="18"/>
      <c r="AB442" s="18"/>
      <c r="AC442" s="18"/>
    </row>
    <row r="443" spans="23:29" customFormat="1" x14ac:dyDescent="0.25">
      <c r="W443" s="37"/>
      <c r="X443" s="52"/>
      <c r="Y443" s="52"/>
      <c r="Z443" s="37"/>
      <c r="AA443" s="18"/>
      <c r="AB443" s="18"/>
      <c r="AC443" s="18"/>
    </row>
    <row r="444" spans="23:29" customFormat="1" x14ac:dyDescent="0.25">
      <c r="W444" s="37"/>
      <c r="X444" s="52"/>
      <c r="Y444" s="52"/>
      <c r="Z444" s="37"/>
      <c r="AA444" s="18"/>
      <c r="AB444" s="18"/>
      <c r="AC444" s="18"/>
    </row>
    <row r="445" spans="23:29" customFormat="1" x14ac:dyDescent="0.25">
      <c r="W445" s="37"/>
      <c r="X445" s="52"/>
      <c r="Y445" s="52"/>
      <c r="Z445" s="37"/>
      <c r="AA445" s="18"/>
      <c r="AB445" s="18"/>
      <c r="AC445" s="18"/>
    </row>
    <row r="446" spans="23:29" customFormat="1" x14ac:dyDescent="0.25">
      <c r="W446" s="37"/>
      <c r="X446" s="52"/>
      <c r="Y446" s="52"/>
      <c r="Z446" s="37"/>
      <c r="AA446" s="18"/>
      <c r="AB446" s="18"/>
      <c r="AC446" s="18"/>
    </row>
    <row r="447" spans="23:29" customFormat="1" x14ac:dyDescent="0.25">
      <c r="W447" s="37"/>
      <c r="X447" s="52"/>
      <c r="Y447" s="52"/>
      <c r="Z447" s="37"/>
      <c r="AA447" s="18"/>
      <c r="AB447" s="18"/>
      <c r="AC447" s="18"/>
    </row>
    <row r="448" spans="23:29" customFormat="1" x14ac:dyDescent="0.25">
      <c r="W448" s="37"/>
      <c r="X448" s="52"/>
      <c r="Y448" s="52"/>
      <c r="Z448" s="37"/>
      <c r="AA448" s="18"/>
      <c r="AB448" s="18"/>
      <c r="AC448" s="18"/>
    </row>
    <row r="449" spans="23:29" customFormat="1" x14ac:dyDescent="0.25">
      <c r="W449" s="37"/>
      <c r="X449" s="52"/>
      <c r="Y449" s="52"/>
      <c r="Z449" s="37"/>
      <c r="AA449" s="18"/>
      <c r="AB449" s="18"/>
      <c r="AC449" s="18"/>
    </row>
    <row r="450" spans="23:29" customFormat="1" x14ac:dyDescent="0.25">
      <c r="W450" s="37"/>
      <c r="X450" s="52"/>
      <c r="Y450" s="52"/>
      <c r="Z450" s="37"/>
      <c r="AA450" s="18"/>
      <c r="AB450" s="18"/>
      <c r="AC450" s="18"/>
    </row>
    <row r="451" spans="23:29" customFormat="1" x14ac:dyDescent="0.25">
      <c r="W451" s="37"/>
      <c r="X451" s="52"/>
      <c r="Y451" s="52"/>
      <c r="Z451" s="37"/>
      <c r="AA451" s="18"/>
      <c r="AB451" s="18"/>
      <c r="AC451" s="18"/>
    </row>
    <row r="452" spans="23:29" customFormat="1" x14ac:dyDescent="0.25">
      <c r="W452" s="37"/>
      <c r="X452" s="52"/>
      <c r="Y452" s="52"/>
      <c r="Z452" s="37"/>
      <c r="AA452" s="18"/>
      <c r="AB452" s="18"/>
      <c r="AC452" s="18"/>
    </row>
    <row r="453" spans="23:29" customFormat="1" x14ac:dyDescent="0.25">
      <c r="W453" s="37"/>
      <c r="X453" s="52"/>
      <c r="Y453" s="52"/>
      <c r="Z453" s="37"/>
      <c r="AA453" s="18"/>
      <c r="AB453" s="18"/>
      <c r="AC453" s="18"/>
    </row>
    <row r="454" spans="23:29" customFormat="1" x14ac:dyDescent="0.25">
      <c r="W454" s="37"/>
      <c r="X454" s="52"/>
      <c r="Y454" s="52"/>
      <c r="Z454" s="37"/>
      <c r="AA454" s="18"/>
      <c r="AB454" s="18"/>
      <c r="AC454" s="18"/>
    </row>
    <row r="455" spans="23:29" customFormat="1" x14ac:dyDescent="0.25">
      <c r="W455" s="37"/>
      <c r="X455" s="52"/>
      <c r="Y455" s="52"/>
      <c r="Z455" s="37"/>
      <c r="AA455" s="18"/>
      <c r="AB455" s="18"/>
      <c r="AC455" s="18"/>
    </row>
    <row r="456" spans="23:29" customFormat="1" x14ac:dyDescent="0.25">
      <c r="W456" s="37"/>
      <c r="X456" s="52"/>
      <c r="Y456" s="52"/>
      <c r="Z456" s="37"/>
      <c r="AA456" s="18"/>
      <c r="AB456" s="18"/>
      <c r="AC456" s="18"/>
    </row>
    <row r="457" spans="23:29" customFormat="1" x14ac:dyDescent="0.25">
      <c r="W457" s="37"/>
      <c r="X457" s="52"/>
      <c r="Y457" s="52"/>
      <c r="Z457" s="37"/>
      <c r="AA457" s="18"/>
      <c r="AB457" s="18"/>
      <c r="AC457" s="18"/>
    </row>
    <row r="458" spans="23:29" customFormat="1" x14ac:dyDescent="0.25">
      <c r="W458" s="37"/>
      <c r="X458" s="52"/>
      <c r="Y458" s="52"/>
      <c r="Z458" s="37"/>
      <c r="AA458" s="18"/>
      <c r="AB458" s="18"/>
      <c r="AC458" s="18"/>
    </row>
    <row r="459" spans="23:29" customFormat="1" x14ac:dyDescent="0.25">
      <c r="W459" s="37"/>
      <c r="X459" s="52"/>
      <c r="Y459" s="52"/>
      <c r="Z459" s="37"/>
      <c r="AA459" s="18"/>
      <c r="AB459" s="18"/>
      <c r="AC459" s="18"/>
    </row>
    <row r="460" spans="23:29" customFormat="1" x14ac:dyDescent="0.25">
      <c r="W460" s="37"/>
      <c r="X460" s="52"/>
      <c r="Y460" s="52"/>
      <c r="Z460" s="37"/>
      <c r="AA460" s="18"/>
      <c r="AB460" s="18"/>
      <c r="AC460" s="18"/>
    </row>
    <row r="461" spans="23:29" customFormat="1" x14ac:dyDescent="0.25">
      <c r="W461" s="37"/>
      <c r="X461" s="52"/>
      <c r="Y461" s="52"/>
      <c r="Z461" s="37"/>
      <c r="AA461" s="18"/>
      <c r="AB461" s="18"/>
      <c r="AC461" s="18"/>
    </row>
    <row r="462" spans="23:29" customFormat="1" x14ac:dyDescent="0.25">
      <c r="W462" s="37"/>
      <c r="X462" s="52"/>
      <c r="Y462" s="52"/>
      <c r="Z462" s="37"/>
      <c r="AA462" s="18"/>
      <c r="AB462" s="18"/>
      <c r="AC462" s="18"/>
    </row>
    <row r="463" spans="23:29" customFormat="1" x14ac:dyDescent="0.25">
      <c r="W463" s="37"/>
      <c r="X463" s="52"/>
      <c r="Y463" s="52"/>
      <c r="Z463" s="37"/>
      <c r="AA463" s="18"/>
      <c r="AB463" s="18"/>
      <c r="AC463" s="18"/>
    </row>
    <row r="464" spans="23:29" customFormat="1" x14ac:dyDescent="0.25">
      <c r="W464" s="37"/>
      <c r="X464" s="52"/>
      <c r="Y464" s="52"/>
      <c r="Z464" s="37"/>
      <c r="AA464" s="18"/>
      <c r="AB464" s="18"/>
      <c r="AC464" s="18"/>
    </row>
    <row r="465" spans="23:29" customFormat="1" x14ac:dyDescent="0.25">
      <c r="W465" s="37"/>
      <c r="X465" s="52"/>
      <c r="Y465" s="52"/>
      <c r="Z465" s="37"/>
      <c r="AA465" s="18"/>
      <c r="AB465" s="18"/>
      <c r="AC465" s="18"/>
    </row>
    <row r="466" spans="23:29" customFormat="1" x14ac:dyDescent="0.25">
      <c r="W466" s="37"/>
      <c r="X466" s="52"/>
      <c r="Y466" s="52"/>
      <c r="Z466" s="37"/>
      <c r="AA466" s="18"/>
      <c r="AB466" s="18"/>
      <c r="AC466" s="18"/>
    </row>
    <row r="467" spans="23:29" customFormat="1" x14ac:dyDescent="0.25">
      <c r="W467" s="37"/>
      <c r="X467" s="52"/>
      <c r="Y467" s="52"/>
      <c r="Z467" s="37"/>
      <c r="AA467" s="18"/>
      <c r="AB467" s="18"/>
      <c r="AC467" s="18"/>
    </row>
    <row r="468" spans="23:29" customFormat="1" x14ac:dyDescent="0.25">
      <c r="W468" s="37"/>
      <c r="X468" s="52"/>
      <c r="Y468" s="52"/>
      <c r="Z468" s="37"/>
      <c r="AA468" s="18"/>
      <c r="AB468" s="18"/>
      <c r="AC468" s="18"/>
    </row>
    <row r="469" spans="23:29" customFormat="1" x14ac:dyDescent="0.25">
      <c r="W469" s="37"/>
      <c r="X469" s="52"/>
      <c r="Y469" s="52"/>
      <c r="Z469" s="37"/>
      <c r="AA469" s="18"/>
      <c r="AB469" s="18"/>
      <c r="AC469" s="18"/>
    </row>
    <row r="470" spans="23:29" customFormat="1" x14ac:dyDescent="0.25">
      <c r="W470" s="37"/>
      <c r="X470" s="52"/>
      <c r="Y470" s="52"/>
      <c r="Z470" s="37"/>
      <c r="AA470" s="18"/>
      <c r="AB470" s="18"/>
      <c r="AC470" s="18"/>
    </row>
    <row r="471" spans="23:29" customFormat="1" x14ac:dyDescent="0.25">
      <c r="W471" s="37"/>
      <c r="X471" s="52"/>
      <c r="Y471" s="52"/>
      <c r="Z471" s="37"/>
      <c r="AA471" s="18"/>
      <c r="AB471" s="18"/>
      <c r="AC471" s="18"/>
    </row>
    <row r="472" spans="23:29" customFormat="1" x14ac:dyDescent="0.25">
      <c r="W472" s="37"/>
      <c r="X472" s="52"/>
      <c r="Y472" s="52"/>
      <c r="Z472" s="37"/>
      <c r="AA472" s="18"/>
      <c r="AB472" s="18"/>
      <c r="AC472" s="18"/>
    </row>
    <row r="473" spans="23:29" customFormat="1" x14ac:dyDescent="0.25">
      <c r="W473" s="37"/>
      <c r="X473" s="52"/>
      <c r="Y473" s="52"/>
      <c r="Z473" s="37"/>
      <c r="AA473" s="18"/>
      <c r="AB473" s="18"/>
      <c r="AC473" s="18"/>
    </row>
    <row r="474" spans="23:29" customFormat="1" x14ac:dyDescent="0.25">
      <c r="W474" s="37"/>
      <c r="X474" s="52"/>
      <c r="Y474" s="52"/>
      <c r="Z474" s="37"/>
      <c r="AA474" s="18"/>
      <c r="AB474" s="18"/>
      <c r="AC474" s="18"/>
    </row>
    <row r="475" spans="23:29" customFormat="1" x14ac:dyDescent="0.25">
      <c r="W475" s="37"/>
      <c r="X475" s="52"/>
      <c r="Y475" s="52"/>
      <c r="Z475" s="37"/>
      <c r="AA475" s="18"/>
      <c r="AB475" s="18"/>
      <c r="AC475" s="18"/>
    </row>
    <row r="476" spans="23:29" customFormat="1" x14ac:dyDescent="0.25">
      <c r="W476" s="37"/>
      <c r="X476" s="52"/>
      <c r="Y476" s="52"/>
      <c r="Z476" s="37"/>
      <c r="AA476" s="18"/>
      <c r="AB476" s="18"/>
      <c r="AC476" s="18"/>
    </row>
    <row r="477" spans="23:29" customFormat="1" x14ac:dyDescent="0.25">
      <c r="W477" s="37"/>
      <c r="X477" s="52"/>
      <c r="Y477" s="52"/>
      <c r="Z477" s="37"/>
      <c r="AA477" s="18"/>
      <c r="AB477" s="18"/>
      <c r="AC477" s="18"/>
    </row>
    <row r="478" spans="23:29" customFormat="1" x14ac:dyDescent="0.25">
      <c r="W478" s="37"/>
      <c r="X478" s="52"/>
      <c r="Y478" s="52"/>
      <c r="Z478" s="37"/>
      <c r="AA478" s="18"/>
      <c r="AB478" s="18"/>
      <c r="AC478" s="18"/>
    </row>
    <row r="479" spans="23:29" customFormat="1" x14ac:dyDescent="0.25">
      <c r="W479" s="37"/>
      <c r="X479" s="52"/>
      <c r="Y479" s="52"/>
      <c r="Z479" s="37"/>
      <c r="AA479" s="18"/>
      <c r="AB479" s="18"/>
      <c r="AC479" s="18"/>
    </row>
    <row r="480" spans="23:29" customFormat="1" x14ac:dyDescent="0.25">
      <c r="W480" s="37"/>
      <c r="X480" s="52"/>
      <c r="Y480" s="52"/>
      <c r="Z480" s="37"/>
      <c r="AA480" s="18"/>
      <c r="AB480" s="18"/>
      <c r="AC480" s="18"/>
    </row>
    <row r="481" spans="23:29" customFormat="1" x14ac:dyDescent="0.25">
      <c r="W481" s="37"/>
      <c r="X481" s="52"/>
      <c r="Y481" s="52"/>
      <c r="Z481" s="37"/>
      <c r="AA481" s="18"/>
      <c r="AB481" s="18"/>
      <c r="AC481" s="18"/>
    </row>
    <row r="482" spans="23:29" customFormat="1" x14ac:dyDescent="0.25">
      <c r="W482" s="37"/>
      <c r="X482" s="52"/>
      <c r="Y482" s="52"/>
      <c r="Z482" s="37"/>
      <c r="AA482" s="18"/>
      <c r="AB482" s="18"/>
      <c r="AC482" s="18"/>
    </row>
    <row r="483" spans="23:29" customFormat="1" x14ac:dyDescent="0.25">
      <c r="W483" s="37"/>
      <c r="X483" s="52"/>
      <c r="Y483" s="52"/>
      <c r="Z483" s="37"/>
      <c r="AA483" s="18"/>
      <c r="AB483" s="18"/>
      <c r="AC483" s="18"/>
    </row>
    <row r="484" spans="23:29" customFormat="1" x14ac:dyDescent="0.25">
      <c r="W484" s="37"/>
      <c r="X484" s="52"/>
      <c r="Y484" s="52"/>
      <c r="Z484" s="37"/>
      <c r="AA484" s="18"/>
      <c r="AB484" s="18"/>
      <c r="AC484" s="18"/>
    </row>
    <row r="485" spans="23:29" customFormat="1" x14ac:dyDescent="0.25">
      <c r="W485" s="37"/>
      <c r="X485" s="52"/>
      <c r="Y485" s="52"/>
      <c r="Z485" s="37"/>
      <c r="AA485" s="18"/>
      <c r="AB485" s="18"/>
      <c r="AC485" s="18"/>
    </row>
    <row r="486" spans="23:29" customFormat="1" x14ac:dyDescent="0.25">
      <c r="W486" s="37"/>
      <c r="X486" s="52"/>
      <c r="Y486" s="52"/>
      <c r="Z486" s="37"/>
      <c r="AA486" s="18"/>
      <c r="AB486" s="18"/>
      <c r="AC486" s="18"/>
    </row>
    <row r="487" spans="23:29" customFormat="1" x14ac:dyDescent="0.25">
      <c r="W487" s="37"/>
      <c r="X487" s="52"/>
      <c r="Y487" s="52"/>
      <c r="Z487" s="37"/>
      <c r="AA487" s="18"/>
      <c r="AB487" s="18"/>
      <c r="AC487" s="18"/>
    </row>
    <row r="488" spans="23:29" customFormat="1" x14ac:dyDescent="0.25">
      <c r="W488" s="37"/>
      <c r="X488" s="52"/>
      <c r="Y488" s="52"/>
      <c r="Z488" s="37"/>
      <c r="AA488" s="18"/>
      <c r="AB488" s="18"/>
      <c r="AC488" s="18"/>
    </row>
    <row r="489" spans="23:29" customFormat="1" x14ac:dyDescent="0.25">
      <c r="W489" s="37"/>
      <c r="X489" s="52"/>
      <c r="Y489" s="52"/>
      <c r="Z489" s="37"/>
      <c r="AA489" s="18"/>
      <c r="AB489" s="18"/>
      <c r="AC489" s="18"/>
    </row>
    <row r="490" spans="23:29" customFormat="1" x14ac:dyDescent="0.25">
      <c r="W490" s="37"/>
      <c r="X490" s="52"/>
      <c r="Y490" s="52"/>
      <c r="Z490" s="37"/>
      <c r="AA490" s="18"/>
      <c r="AB490" s="18"/>
      <c r="AC490" s="18"/>
    </row>
    <row r="491" spans="23:29" customFormat="1" x14ac:dyDescent="0.25">
      <c r="W491" s="37"/>
      <c r="X491" s="52"/>
      <c r="Y491" s="52"/>
      <c r="Z491" s="37"/>
      <c r="AA491" s="18"/>
      <c r="AB491" s="18"/>
      <c r="AC491" s="18"/>
    </row>
    <row r="492" spans="23:29" customFormat="1" x14ac:dyDescent="0.25">
      <c r="W492" s="37"/>
      <c r="X492" s="52"/>
      <c r="Y492" s="52"/>
      <c r="Z492" s="37"/>
      <c r="AA492" s="18"/>
      <c r="AB492" s="18"/>
      <c r="AC492" s="18"/>
    </row>
    <row r="493" spans="23:29" customFormat="1" x14ac:dyDescent="0.25">
      <c r="W493" s="37"/>
      <c r="X493" s="52"/>
      <c r="Y493" s="52"/>
      <c r="Z493" s="37"/>
      <c r="AA493" s="18"/>
      <c r="AB493" s="18"/>
      <c r="AC493" s="18"/>
    </row>
    <row r="494" spans="23:29" customFormat="1" x14ac:dyDescent="0.25">
      <c r="W494" s="37"/>
      <c r="X494" s="52"/>
      <c r="Y494" s="52"/>
      <c r="Z494" s="37"/>
      <c r="AA494" s="18"/>
      <c r="AB494" s="18"/>
      <c r="AC494" s="18"/>
    </row>
    <row r="495" spans="23:29" customFormat="1" x14ac:dyDescent="0.25">
      <c r="W495" s="37"/>
      <c r="X495" s="52"/>
      <c r="Y495" s="52"/>
      <c r="Z495" s="37"/>
      <c r="AA495" s="18"/>
      <c r="AB495" s="18"/>
      <c r="AC495" s="18"/>
    </row>
    <row r="496" spans="23:29" customFormat="1" x14ac:dyDescent="0.25">
      <c r="W496" s="37"/>
      <c r="X496" s="52"/>
      <c r="Y496" s="52"/>
      <c r="Z496" s="37"/>
      <c r="AA496" s="18"/>
      <c r="AB496" s="18"/>
      <c r="AC496" s="18"/>
    </row>
    <row r="497" spans="23:29" customFormat="1" x14ac:dyDescent="0.25">
      <c r="W497" s="37"/>
      <c r="X497" s="52"/>
      <c r="Y497" s="52"/>
      <c r="Z497" s="37"/>
      <c r="AA497" s="18"/>
      <c r="AB497" s="18"/>
      <c r="AC497" s="18"/>
    </row>
    <row r="498" spans="23:29" customFormat="1" x14ac:dyDescent="0.25">
      <c r="W498" s="37"/>
      <c r="X498" s="52"/>
      <c r="Y498" s="52"/>
      <c r="Z498" s="37"/>
      <c r="AA498" s="18"/>
      <c r="AB498" s="18"/>
      <c r="AC498" s="18"/>
    </row>
    <row r="499" spans="23:29" customFormat="1" x14ac:dyDescent="0.25">
      <c r="W499" s="37"/>
      <c r="X499" s="52"/>
      <c r="Y499" s="52"/>
      <c r="Z499" s="37"/>
      <c r="AA499" s="18"/>
      <c r="AB499" s="18"/>
      <c r="AC499" s="18"/>
    </row>
    <row r="500" spans="23:29" customFormat="1" x14ac:dyDescent="0.25">
      <c r="W500" s="37"/>
      <c r="X500" s="52"/>
      <c r="Y500" s="52"/>
      <c r="Z500" s="37"/>
      <c r="AA500" s="18"/>
      <c r="AB500" s="18"/>
      <c r="AC500" s="18"/>
    </row>
    <row r="501" spans="23:29" customFormat="1" x14ac:dyDescent="0.25">
      <c r="W501" s="37"/>
      <c r="X501" s="52"/>
      <c r="Y501" s="52"/>
      <c r="Z501" s="37"/>
      <c r="AA501" s="18"/>
      <c r="AB501" s="18"/>
      <c r="AC501" s="18"/>
    </row>
    <row r="502" spans="23:29" customFormat="1" x14ac:dyDescent="0.25">
      <c r="W502" s="37"/>
      <c r="X502" s="52"/>
      <c r="Y502" s="52"/>
      <c r="Z502" s="37"/>
      <c r="AA502" s="18"/>
      <c r="AB502" s="18"/>
      <c r="AC502" s="18"/>
    </row>
    <row r="503" spans="23:29" customFormat="1" x14ac:dyDescent="0.25">
      <c r="W503" s="37"/>
      <c r="X503" s="52"/>
      <c r="Y503" s="52"/>
      <c r="Z503" s="37"/>
      <c r="AA503" s="18"/>
      <c r="AB503" s="18"/>
      <c r="AC503" s="18"/>
    </row>
    <row r="504" spans="23:29" customFormat="1" x14ac:dyDescent="0.25">
      <c r="W504" s="37"/>
      <c r="X504" s="52"/>
      <c r="Y504" s="52"/>
      <c r="Z504" s="37"/>
      <c r="AA504" s="18"/>
      <c r="AB504" s="18"/>
      <c r="AC504" s="18"/>
    </row>
    <row r="505" spans="23:29" customFormat="1" x14ac:dyDescent="0.25">
      <c r="W505" s="37"/>
      <c r="X505" s="52"/>
      <c r="Y505" s="52"/>
      <c r="Z505" s="37"/>
      <c r="AA505" s="18"/>
      <c r="AB505" s="18"/>
      <c r="AC505" s="18"/>
    </row>
    <row r="506" spans="23:29" customFormat="1" x14ac:dyDescent="0.25">
      <c r="W506" s="37"/>
      <c r="X506" s="52"/>
      <c r="Y506" s="52"/>
      <c r="Z506" s="37"/>
      <c r="AA506" s="18"/>
      <c r="AB506" s="18"/>
      <c r="AC506" s="18"/>
    </row>
    <row r="507" spans="23:29" customFormat="1" x14ac:dyDescent="0.25">
      <c r="W507" s="37"/>
      <c r="X507" s="52"/>
      <c r="Y507" s="52"/>
      <c r="Z507" s="37"/>
      <c r="AA507" s="18"/>
      <c r="AB507" s="18"/>
      <c r="AC507" s="18"/>
    </row>
    <row r="508" spans="23:29" customFormat="1" x14ac:dyDescent="0.25">
      <c r="W508" s="37"/>
      <c r="X508" s="52"/>
      <c r="Y508" s="52"/>
      <c r="Z508" s="37"/>
      <c r="AA508" s="18"/>
      <c r="AB508" s="18"/>
      <c r="AC508" s="18"/>
    </row>
    <row r="509" spans="23:29" customFormat="1" x14ac:dyDescent="0.25">
      <c r="W509" s="37"/>
      <c r="X509" s="52"/>
      <c r="Y509" s="52"/>
      <c r="Z509" s="37"/>
      <c r="AA509" s="18"/>
      <c r="AB509" s="18"/>
      <c r="AC509" s="18"/>
    </row>
    <row r="510" spans="23:29" customFormat="1" x14ac:dyDescent="0.25">
      <c r="W510" s="37"/>
      <c r="X510" s="52"/>
      <c r="Y510" s="52"/>
      <c r="Z510" s="37"/>
      <c r="AA510" s="18"/>
      <c r="AB510" s="18"/>
      <c r="AC510" s="18"/>
    </row>
    <row r="511" spans="23:29" customFormat="1" x14ac:dyDescent="0.25">
      <c r="W511" s="37"/>
      <c r="X511" s="52"/>
      <c r="Y511" s="52"/>
      <c r="Z511" s="37"/>
      <c r="AA511" s="18"/>
      <c r="AB511" s="18"/>
      <c r="AC511" s="18"/>
    </row>
    <row r="512" spans="23:29" customFormat="1" x14ac:dyDescent="0.25">
      <c r="W512" s="37"/>
      <c r="X512" s="52"/>
      <c r="Y512" s="52"/>
      <c r="Z512" s="37"/>
      <c r="AA512" s="18"/>
      <c r="AB512" s="18"/>
      <c r="AC512" s="18"/>
    </row>
    <row r="513" spans="23:29" customFormat="1" x14ac:dyDescent="0.25">
      <c r="W513" s="37"/>
      <c r="X513" s="52"/>
      <c r="Y513" s="52"/>
      <c r="Z513" s="37"/>
      <c r="AA513" s="18"/>
      <c r="AB513" s="18"/>
      <c r="AC513" s="18"/>
    </row>
    <row r="514" spans="23:29" customFormat="1" x14ac:dyDescent="0.25">
      <c r="W514" s="37"/>
      <c r="X514" s="52"/>
      <c r="Y514" s="52"/>
      <c r="Z514" s="37"/>
      <c r="AA514" s="18"/>
      <c r="AB514" s="18"/>
      <c r="AC514" s="18"/>
    </row>
    <row r="515" spans="23:29" customFormat="1" x14ac:dyDescent="0.25">
      <c r="W515" s="37"/>
      <c r="X515" s="52"/>
      <c r="Y515" s="52"/>
      <c r="Z515" s="37"/>
      <c r="AA515" s="18"/>
      <c r="AB515" s="18"/>
      <c r="AC515" s="18"/>
    </row>
    <row r="516" spans="23:29" customFormat="1" x14ac:dyDescent="0.25">
      <c r="W516" s="37"/>
      <c r="X516" s="52"/>
      <c r="Y516" s="52"/>
      <c r="Z516" s="37"/>
      <c r="AA516" s="18"/>
      <c r="AB516" s="18"/>
      <c r="AC516" s="18"/>
    </row>
    <row r="517" spans="23:29" customFormat="1" x14ac:dyDescent="0.25">
      <c r="W517" s="37"/>
      <c r="X517" s="52"/>
      <c r="Y517" s="52"/>
      <c r="Z517" s="37"/>
      <c r="AA517" s="18"/>
      <c r="AB517" s="18"/>
      <c r="AC517" s="18"/>
    </row>
    <row r="518" spans="23:29" customFormat="1" x14ac:dyDescent="0.25">
      <c r="W518" s="37"/>
      <c r="X518" s="52"/>
      <c r="Y518" s="52"/>
      <c r="Z518" s="37"/>
      <c r="AA518" s="18"/>
      <c r="AB518" s="18"/>
      <c r="AC518" s="18"/>
    </row>
    <row r="519" spans="23:29" customFormat="1" x14ac:dyDescent="0.25">
      <c r="W519" s="37"/>
      <c r="X519" s="52"/>
      <c r="Y519" s="52"/>
      <c r="Z519" s="37"/>
      <c r="AA519" s="18"/>
      <c r="AB519" s="18"/>
      <c r="AC519" s="18"/>
    </row>
    <row r="520" spans="23:29" customFormat="1" x14ac:dyDescent="0.25">
      <c r="W520" s="37"/>
      <c r="X520" s="52"/>
      <c r="Y520" s="52"/>
      <c r="Z520" s="37"/>
      <c r="AA520" s="18"/>
      <c r="AB520" s="18"/>
      <c r="AC520" s="18"/>
    </row>
    <row r="521" spans="23:29" customFormat="1" x14ac:dyDescent="0.25">
      <c r="W521" s="37"/>
      <c r="X521" s="52"/>
      <c r="Y521" s="52"/>
      <c r="Z521" s="37"/>
      <c r="AA521" s="18"/>
      <c r="AB521" s="18"/>
      <c r="AC521" s="18"/>
    </row>
    <row r="522" spans="23:29" customFormat="1" x14ac:dyDescent="0.25">
      <c r="W522" s="37"/>
      <c r="X522" s="52"/>
      <c r="Y522" s="52"/>
      <c r="Z522" s="37"/>
      <c r="AA522" s="18"/>
      <c r="AB522" s="18"/>
      <c r="AC522" s="18"/>
    </row>
    <row r="523" spans="23:29" customFormat="1" x14ac:dyDescent="0.25">
      <c r="W523" s="37"/>
      <c r="X523" s="52"/>
      <c r="Y523" s="52"/>
      <c r="Z523" s="37"/>
      <c r="AA523" s="18"/>
      <c r="AB523" s="18"/>
      <c r="AC523" s="18"/>
    </row>
    <row r="524" spans="23:29" customFormat="1" x14ac:dyDescent="0.25">
      <c r="W524" s="37"/>
      <c r="X524" s="52"/>
      <c r="Y524" s="52"/>
      <c r="Z524" s="37"/>
      <c r="AA524" s="18"/>
      <c r="AB524" s="18"/>
      <c r="AC524" s="18"/>
    </row>
    <row r="525" spans="23:29" customFormat="1" x14ac:dyDescent="0.25">
      <c r="W525" s="37"/>
      <c r="X525" s="52"/>
      <c r="Y525" s="52"/>
      <c r="Z525" s="37"/>
      <c r="AA525" s="18"/>
      <c r="AB525" s="18"/>
      <c r="AC525" s="18"/>
    </row>
    <row r="526" spans="23:29" customFormat="1" x14ac:dyDescent="0.25">
      <c r="W526" s="37"/>
      <c r="X526" s="52"/>
      <c r="Y526" s="52"/>
      <c r="Z526" s="37"/>
      <c r="AA526" s="18"/>
      <c r="AB526" s="18"/>
      <c r="AC526" s="18"/>
    </row>
    <row r="527" spans="23:29" customFormat="1" x14ac:dyDescent="0.25">
      <c r="W527" s="37"/>
      <c r="X527" s="52"/>
      <c r="Y527" s="52"/>
      <c r="Z527" s="37"/>
      <c r="AA527" s="18"/>
      <c r="AB527" s="18"/>
      <c r="AC527" s="18"/>
    </row>
    <row r="528" spans="23:29" customFormat="1" x14ac:dyDescent="0.25">
      <c r="W528" s="37"/>
      <c r="X528" s="52"/>
      <c r="Y528" s="52"/>
      <c r="Z528" s="37"/>
      <c r="AA528" s="18"/>
      <c r="AB528" s="18"/>
      <c r="AC528" s="18"/>
    </row>
    <row r="529" spans="23:29" customFormat="1" x14ac:dyDescent="0.25">
      <c r="W529" s="37"/>
      <c r="X529" s="52"/>
      <c r="Y529" s="52"/>
      <c r="Z529" s="37"/>
      <c r="AA529" s="18"/>
      <c r="AB529" s="18"/>
      <c r="AC529" s="18"/>
    </row>
    <row r="530" spans="23:29" customFormat="1" x14ac:dyDescent="0.25">
      <c r="W530" s="37"/>
      <c r="X530" s="52"/>
      <c r="Y530" s="52"/>
      <c r="Z530" s="37"/>
      <c r="AA530" s="18"/>
      <c r="AB530" s="18"/>
      <c r="AC530" s="18"/>
    </row>
    <row r="531" spans="23:29" customFormat="1" x14ac:dyDescent="0.25">
      <c r="W531" s="37"/>
      <c r="X531" s="52"/>
      <c r="Y531" s="52"/>
      <c r="Z531" s="37"/>
      <c r="AA531" s="18"/>
      <c r="AB531" s="18"/>
      <c r="AC531" s="18"/>
    </row>
    <row r="532" spans="23:29" customFormat="1" x14ac:dyDescent="0.25">
      <c r="W532" s="37"/>
      <c r="X532" s="52"/>
      <c r="Y532" s="52"/>
      <c r="Z532" s="37"/>
      <c r="AA532" s="18"/>
      <c r="AB532" s="18"/>
      <c r="AC532" s="18"/>
    </row>
    <row r="533" spans="23:29" customFormat="1" x14ac:dyDescent="0.25">
      <c r="W533" s="37"/>
      <c r="X533" s="52"/>
      <c r="Y533" s="52"/>
      <c r="Z533" s="37"/>
      <c r="AA533" s="18"/>
      <c r="AB533" s="18"/>
      <c r="AC533" s="18"/>
    </row>
    <row r="534" spans="23:29" customFormat="1" x14ac:dyDescent="0.25">
      <c r="W534" s="37"/>
      <c r="X534" s="52"/>
      <c r="Y534" s="52"/>
      <c r="Z534" s="37"/>
      <c r="AA534" s="18"/>
      <c r="AB534" s="18"/>
      <c r="AC534" s="18"/>
    </row>
    <row r="535" spans="23:29" customFormat="1" x14ac:dyDescent="0.25">
      <c r="W535" s="37"/>
      <c r="X535" s="52"/>
      <c r="Y535" s="52"/>
      <c r="Z535" s="37"/>
      <c r="AA535" s="18"/>
      <c r="AB535" s="18"/>
      <c r="AC535" s="18"/>
    </row>
    <row r="536" spans="23:29" customFormat="1" x14ac:dyDescent="0.25">
      <c r="W536" s="37"/>
      <c r="X536" s="52"/>
      <c r="Y536" s="52"/>
      <c r="Z536" s="37"/>
      <c r="AA536" s="18"/>
      <c r="AB536" s="18"/>
      <c r="AC536" s="18"/>
    </row>
    <row r="537" spans="23:29" customFormat="1" x14ac:dyDescent="0.25">
      <c r="W537" s="37"/>
      <c r="X537" s="52"/>
      <c r="Y537" s="52"/>
      <c r="Z537" s="37"/>
      <c r="AA537" s="18"/>
      <c r="AB537" s="18"/>
      <c r="AC537" s="18"/>
    </row>
    <row r="538" spans="23:29" customFormat="1" x14ac:dyDescent="0.25">
      <c r="W538" s="37"/>
      <c r="X538" s="52"/>
      <c r="Y538" s="52"/>
      <c r="Z538" s="37"/>
      <c r="AA538" s="18"/>
      <c r="AB538" s="18"/>
      <c r="AC538" s="18"/>
    </row>
    <row r="539" spans="23:29" customFormat="1" x14ac:dyDescent="0.25">
      <c r="W539" s="37"/>
      <c r="X539" s="52"/>
      <c r="Y539" s="52"/>
      <c r="Z539" s="37"/>
      <c r="AA539" s="18"/>
      <c r="AB539" s="18"/>
      <c r="AC539" s="18"/>
    </row>
    <row r="540" spans="23:29" customFormat="1" x14ac:dyDescent="0.25">
      <c r="W540" s="37"/>
      <c r="X540" s="52"/>
      <c r="Y540" s="52"/>
      <c r="Z540" s="37"/>
      <c r="AA540" s="18"/>
      <c r="AB540" s="18"/>
      <c r="AC540" s="18"/>
    </row>
    <row r="541" spans="23:29" customFormat="1" x14ac:dyDescent="0.25">
      <c r="W541" s="37"/>
      <c r="X541" s="52"/>
      <c r="Y541" s="52"/>
      <c r="Z541" s="37"/>
      <c r="AA541" s="18"/>
      <c r="AB541" s="18"/>
      <c r="AC541" s="18"/>
    </row>
    <row r="542" spans="23:29" customFormat="1" x14ac:dyDescent="0.25">
      <c r="W542" s="37"/>
      <c r="X542" s="52"/>
      <c r="Y542" s="52"/>
      <c r="Z542" s="37"/>
      <c r="AA542" s="18"/>
      <c r="AB542" s="18"/>
      <c r="AC542" s="18"/>
    </row>
    <row r="543" spans="23:29" customFormat="1" x14ac:dyDescent="0.25">
      <c r="W543" s="37"/>
      <c r="X543" s="52"/>
      <c r="Y543" s="52"/>
      <c r="Z543" s="37"/>
      <c r="AA543" s="18"/>
      <c r="AB543" s="18"/>
      <c r="AC543" s="18"/>
    </row>
    <row r="544" spans="23:29" customFormat="1" x14ac:dyDescent="0.25">
      <c r="W544" s="37"/>
      <c r="X544" s="52"/>
      <c r="Y544" s="52"/>
      <c r="Z544" s="37"/>
      <c r="AA544" s="18"/>
      <c r="AB544" s="18"/>
      <c r="AC544" s="18"/>
    </row>
    <row r="545" spans="23:29" customFormat="1" x14ac:dyDescent="0.25">
      <c r="W545" s="37"/>
      <c r="X545" s="52"/>
      <c r="Y545" s="52"/>
      <c r="Z545" s="37"/>
      <c r="AA545" s="18"/>
      <c r="AB545" s="18"/>
      <c r="AC545" s="18"/>
    </row>
    <row r="546" spans="23:29" customFormat="1" x14ac:dyDescent="0.25">
      <c r="W546" s="37"/>
      <c r="X546" s="52"/>
      <c r="Y546" s="52"/>
      <c r="Z546" s="37"/>
      <c r="AA546" s="18"/>
      <c r="AB546" s="18"/>
      <c r="AC546" s="18"/>
    </row>
    <row r="547" spans="23:29" customFormat="1" x14ac:dyDescent="0.25">
      <c r="W547" s="37"/>
      <c r="X547" s="52"/>
      <c r="Y547" s="52"/>
      <c r="Z547" s="37"/>
      <c r="AA547" s="18"/>
      <c r="AB547" s="18"/>
      <c r="AC547" s="18"/>
    </row>
    <row r="548" spans="23:29" customFormat="1" x14ac:dyDescent="0.25">
      <c r="W548" s="37"/>
      <c r="X548" s="52"/>
      <c r="Y548" s="52"/>
      <c r="Z548" s="37"/>
      <c r="AA548" s="18"/>
      <c r="AB548" s="18"/>
      <c r="AC548" s="18"/>
    </row>
    <row r="549" spans="23:29" customFormat="1" x14ac:dyDescent="0.25">
      <c r="W549" s="37"/>
      <c r="X549" s="52"/>
      <c r="Y549" s="52"/>
      <c r="Z549" s="37"/>
      <c r="AA549" s="18"/>
      <c r="AB549" s="18"/>
      <c r="AC549" s="18"/>
    </row>
    <row r="550" spans="23:29" customFormat="1" x14ac:dyDescent="0.25">
      <c r="W550" s="37"/>
      <c r="X550" s="52"/>
      <c r="Y550" s="52"/>
      <c r="Z550" s="37"/>
      <c r="AA550" s="18"/>
      <c r="AB550" s="18"/>
      <c r="AC550" s="18"/>
    </row>
    <row r="551" spans="23:29" customFormat="1" x14ac:dyDescent="0.25">
      <c r="W551" s="37"/>
      <c r="X551" s="52"/>
      <c r="Y551" s="52"/>
      <c r="Z551" s="37"/>
      <c r="AA551" s="18"/>
      <c r="AB551" s="18"/>
      <c r="AC551" s="18"/>
    </row>
    <row r="552" spans="23:29" customFormat="1" x14ac:dyDescent="0.25">
      <c r="W552" s="37"/>
      <c r="X552" s="52"/>
      <c r="Y552" s="52"/>
      <c r="Z552" s="37"/>
      <c r="AA552" s="18"/>
      <c r="AB552" s="18"/>
      <c r="AC552" s="18"/>
    </row>
    <row r="553" spans="23:29" customFormat="1" x14ac:dyDescent="0.25">
      <c r="W553" s="37"/>
      <c r="X553" s="52"/>
      <c r="Y553" s="52"/>
      <c r="Z553" s="37"/>
      <c r="AA553" s="18"/>
      <c r="AB553" s="18"/>
      <c r="AC553" s="18"/>
    </row>
    <row r="554" spans="23:29" customFormat="1" x14ac:dyDescent="0.25">
      <c r="W554" s="37"/>
      <c r="X554" s="52"/>
      <c r="Y554" s="52"/>
      <c r="Z554" s="37"/>
      <c r="AA554" s="18"/>
      <c r="AB554" s="18"/>
      <c r="AC554" s="18"/>
    </row>
    <row r="555" spans="23:29" customFormat="1" x14ac:dyDescent="0.25">
      <c r="W555" s="37"/>
      <c r="X555" s="52"/>
      <c r="Y555" s="52"/>
      <c r="Z555" s="37"/>
      <c r="AA555" s="18"/>
      <c r="AB555" s="18"/>
      <c r="AC555" s="18"/>
    </row>
    <row r="556" spans="23:29" customFormat="1" x14ac:dyDescent="0.25">
      <c r="W556" s="37"/>
      <c r="X556" s="52"/>
      <c r="Y556" s="52"/>
      <c r="Z556" s="37"/>
      <c r="AA556" s="18"/>
      <c r="AB556" s="18"/>
      <c r="AC556" s="18"/>
    </row>
    <row r="557" spans="23:29" customFormat="1" x14ac:dyDescent="0.25">
      <c r="W557" s="37"/>
      <c r="X557" s="52"/>
      <c r="Y557" s="52"/>
      <c r="Z557" s="37"/>
      <c r="AA557" s="18"/>
      <c r="AB557" s="18"/>
      <c r="AC557" s="18"/>
    </row>
    <row r="558" spans="23:29" customFormat="1" x14ac:dyDescent="0.25">
      <c r="W558" s="37"/>
      <c r="X558" s="52"/>
      <c r="Y558" s="52"/>
      <c r="Z558" s="37"/>
      <c r="AA558" s="18"/>
      <c r="AB558" s="18"/>
      <c r="AC558" s="18"/>
    </row>
    <row r="559" spans="23:29" customFormat="1" x14ac:dyDescent="0.25">
      <c r="W559" s="37"/>
      <c r="X559" s="52"/>
      <c r="Y559" s="52"/>
      <c r="Z559" s="37"/>
      <c r="AA559" s="18"/>
      <c r="AB559" s="18"/>
      <c r="AC559" s="18"/>
    </row>
    <row r="560" spans="23:29" customFormat="1" x14ac:dyDescent="0.25">
      <c r="W560" s="37"/>
      <c r="X560" s="52"/>
      <c r="Y560" s="52"/>
      <c r="Z560" s="37"/>
      <c r="AA560" s="18"/>
      <c r="AB560" s="18"/>
      <c r="AC560" s="18"/>
    </row>
    <row r="561" spans="23:29" customFormat="1" x14ac:dyDescent="0.25">
      <c r="W561" s="37"/>
      <c r="X561" s="52"/>
      <c r="Y561" s="52"/>
      <c r="Z561" s="37"/>
      <c r="AA561" s="18"/>
      <c r="AB561" s="18"/>
      <c r="AC561" s="18"/>
    </row>
    <row r="562" spans="23:29" customFormat="1" x14ac:dyDescent="0.25">
      <c r="W562" s="37"/>
      <c r="X562" s="52"/>
      <c r="Y562" s="52"/>
      <c r="Z562" s="37"/>
      <c r="AA562" s="18"/>
      <c r="AB562" s="18"/>
      <c r="AC562" s="18"/>
    </row>
    <row r="563" spans="23:29" customFormat="1" x14ac:dyDescent="0.25">
      <c r="W563" s="37"/>
      <c r="X563" s="52"/>
      <c r="Y563" s="52"/>
      <c r="Z563" s="37"/>
      <c r="AA563" s="18"/>
      <c r="AB563" s="18"/>
      <c r="AC563" s="18"/>
    </row>
    <row r="564" spans="23:29" customFormat="1" x14ac:dyDescent="0.25">
      <c r="W564" s="37"/>
      <c r="X564" s="52"/>
      <c r="Y564" s="52"/>
      <c r="Z564" s="37"/>
      <c r="AA564" s="18"/>
      <c r="AB564" s="18"/>
      <c r="AC564" s="18"/>
    </row>
    <row r="565" spans="23:29" customFormat="1" x14ac:dyDescent="0.25">
      <c r="W565" s="37"/>
      <c r="X565" s="52"/>
      <c r="Y565" s="52"/>
      <c r="Z565" s="37"/>
      <c r="AA565" s="18"/>
      <c r="AB565" s="18"/>
      <c r="AC565" s="18"/>
    </row>
    <row r="566" spans="23:29" customFormat="1" x14ac:dyDescent="0.25">
      <c r="W566" s="37"/>
      <c r="X566" s="52"/>
      <c r="Y566" s="52"/>
      <c r="Z566" s="37"/>
      <c r="AA566" s="18"/>
      <c r="AB566" s="18"/>
      <c r="AC566" s="18"/>
    </row>
    <row r="567" spans="23:29" customFormat="1" x14ac:dyDescent="0.25">
      <c r="W567" s="37"/>
      <c r="X567" s="52"/>
      <c r="Y567" s="52"/>
      <c r="Z567" s="37"/>
      <c r="AA567" s="18"/>
      <c r="AB567" s="18"/>
      <c r="AC567" s="18"/>
    </row>
    <row r="568" spans="23:29" customFormat="1" x14ac:dyDescent="0.25">
      <c r="W568" s="37"/>
      <c r="X568" s="52"/>
      <c r="Y568" s="52"/>
      <c r="Z568" s="37"/>
      <c r="AA568" s="18"/>
      <c r="AB568" s="18"/>
      <c r="AC568" s="18"/>
    </row>
    <row r="569" spans="23:29" customFormat="1" x14ac:dyDescent="0.25">
      <c r="W569" s="37"/>
      <c r="X569" s="52"/>
      <c r="Y569" s="52"/>
      <c r="Z569" s="37"/>
      <c r="AA569" s="18"/>
      <c r="AB569" s="18"/>
      <c r="AC569" s="18"/>
    </row>
    <row r="570" spans="23:29" customFormat="1" x14ac:dyDescent="0.25">
      <c r="W570" s="37"/>
      <c r="X570" s="52"/>
      <c r="Y570" s="52"/>
      <c r="Z570" s="37"/>
      <c r="AA570" s="18"/>
      <c r="AB570" s="18"/>
      <c r="AC570" s="18"/>
    </row>
    <row r="571" spans="23:29" customFormat="1" x14ac:dyDescent="0.25">
      <c r="W571" s="37"/>
      <c r="X571" s="52"/>
      <c r="Y571" s="52"/>
      <c r="Z571" s="37"/>
      <c r="AA571" s="18"/>
      <c r="AB571" s="18"/>
      <c r="AC571" s="18"/>
    </row>
    <row r="572" spans="23:29" customFormat="1" x14ac:dyDescent="0.25">
      <c r="W572" s="37"/>
      <c r="X572" s="52"/>
      <c r="Y572" s="52"/>
      <c r="Z572" s="37"/>
      <c r="AA572" s="18"/>
      <c r="AB572" s="18"/>
      <c r="AC572" s="18"/>
    </row>
    <row r="573" spans="23:29" customFormat="1" x14ac:dyDescent="0.25">
      <c r="W573" s="37"/>
      <c r="X573" s="52"/>
      <c r="Y573" s="52"/>
      <c r="Z573" s="37"/>
      <c r="AA573" s="18"/>
      <c r="AB573" s="18"/>
      <c r="AC573" s="18"/>
    </row>
    <row r="574" spans="23:29" customFormat="1" x14ac:dyDescent="0.25">
      <c r="W574" s="37"/>
      <c r="X574" s="52"/>
      <c r="Y574" s="52"/>
      <c r="Z574" s="37"/>
      <c r="AA574" s="18"/>
      <c r="AB574" s="18"/>
      <c r="AC574" s="18"/>
    </row>
    <row r="575" spans="23:29" customFormat="1" x14ac:dyDescent="0.25">
      <c r="W575" s="37"/>
      <c r="X575" s="52"/>
      <c r="Y575" s="52"/>
      <c r="Z575" s="37"/>
      <c r="AA575" s="18"/>
      <c r="AB575" s="18"/>
      <c r="AC575" s="18"/>
    </row>
    <row r="576" spans="23:29" customFormat="1" x14ac:dyDescent="0.25">
      <c r="W576" s="37"/>
      <c r="X576" s="52"/>
      <c r="Y576" s="52"/>
      <c r="Z576" s="37"/>
      <c r="AA576" s="18"/>
      <c r="AB576" s="18"/>
      <c r="AC576" s="18"/>
    </row>
    <row r="577" spans="23:29" customFormat="1" x14ac:dyDescent="0.25">
      <c r="W577" s="37"/>
      <c r="X577" s="52"/>
      <c r="Y577" s="52"/>
      <c r="Z577" s="37"/>
      <c r="AA577" s="18"/>
      <c r="AB577" s="18"/>
      <c r="AC577" s="18"/>
    </row>
    <row r="578" spans="23:29" customFormat="1" x14ac:dyDescent="0.25">
      <c r="W578" s="37"/>
      <c r="X578" s="52"/>
      <c r="Y578" s="52"/>
      <c r="Z578" s="37"/>
      <c r="AA578" s="18"/>
      <c r="AB578" s="18"/>
      <c r="AC578" s="18"/>
    </row>
    <row r="579" spans="23:29" customFormat="1" x14ac:dyDescent="0.25">
      <c r="W579" s="37"/>
      <c r="X579" s="52"/>
      <c r="Y579" s="52"/>
      <c r="Z579" s="37"/>
      <c r="AA579" s="18"/>
      <c r="AB579" s="18"/>
      <c r="AC579" s="18"/>
    </row>
    <row r="580" spans="23:29" customFormat="1" x14ac:dyDescent="0.25">
      <c r="W580" s="37"/>
      <c r="X580" s="52"/>
      <c r="Y580" s="52"/>
      <c r="Z580" s="37"/>
      <c r="AA580" s="18"/>
      <c r="AB580" s="18"/>
      <c r="AC580" s="18"/>
    </row>
    <row r="581" spans="23:29" customFormat="1" x14ac:dyDescent="0.25">
      <c r="W581" s="37"/>
      <c r="X581" s="52"/>
      <c r="Y581" s="52"/>
      <c r="Z581" s="37"/>
      <c r="AA581" s="18"/>
      <c r="AB581" s="18"/>
      <c r="AC581" s="18"/>
    </row>
    <row r="582" spans="23:29" customFormat="1" x14ac:dyDescent="0.25">
      <c r="W582" s="37"/>
      <c r="X582" s="52"/>
      <c r="Y582" s="52"/>
      <c r="Z582" s="37"/>
      <c r="AA582" s="18"/>
      <c r="AB582" s="18"/>
      <c r="AC582" s="18"/>
    </row>
    <row r="583" spans="23:29" customFormat="1" x14ac:dyDescent="0.25">
      <c r="W583" s="37"/>
      <c r="X583" s="52"/>
      <c r="Y583" s="52"/>
      <c r="Z583" s="37"/>
      <c r="AA583" s="18"/>
      <c r="AB583" s="18"/>
      <c r="AC583" s="18"/>
    </row>
    <row r="584" spans="23:29" customFormat="1" x14ac:dyDescent="0.25">
      <c r="W584" s="37"/>
      <c r="X584" s="52"/>
      <c r="Y584" s="52"/>
      <c r="Z584" s="37"/>
      <c r="AA584" s="18"/>
      <c r="AB584" s="18"/>
      <c r="AC584" s="18"/>
    </row>
    <row r="585" spans="23:29" customFormat="1" x14ac:dyDescent="0.25">
      <c r="W585" s="37"/>
      <c r="X585" s="52"/>
      <c r="Y585" s="52"/>
      <c r="Z585" s="37"/>
      <c r="AA585" s="18"/>
      <c r="AB585" s="18"/>
      <c r="AC585" s="18"/>
    </row>
    <row r="586" spans="23:29" customFormat="1" x14ac:dyDescent="0.25">
      <c r="W586" s="37"/>
      <c r="X586" s="52"/>
      <c r="Y586" s="52"/>
      <c r="Z586" s="37"/>
      <c r="AA586" s="18"/>
      <c r="AB586" s="18"/>
      <c r="AC586" s="18"/>
    </row>
    <row r="587" spans="23:29" customFormat="1" x14ac:dyDescent="0.25">
      <c r="W587" s="37"/>
      <c r="X587" s="52"/>
      <c r="Y587" s="52"/>
      <c r="Z587" s="37"/>
      <c r="AA587" s="18"/>
      <c r="AB587" s="18"/>
      <c r="AC587" s="18"/>
    </row>
    <row r="588" spans="23:29" customFormat="1" x14ac:dyDescent="0.25">
      <c r="W588" s="37"/>
      <c r="X588" s="52"/>
      <c r="Y588" s="52"/>
      <c r="Z588" s="37"/>
      <c r="AA588" s="18"/>
      <c r="AB588" s="18"/>
      <c r="AC588" s="18"/>
    </row>
    <row r="589" spans="23:29" customFormat="1" x14ac:dyDescent="0.25">
      <c r="W589" s="37"/>
      <c r="X589" s="52"/>
      <c r="Y589" s="52"/>
      <c r="Z589" s="37"/>
      <c r="AA589" s="18"/>
      <c r="AB589" s="18"/>
      <c r="AC589" s="18"/>
    </row>
    <row r="590" spans="23:29" customFormat="1" x14ac:dyDescent="0.25">
      <c r="W590" s="37"/>
      <c r="X590" s="52"/>
      <c r="Y590" s="52"/>
      <c r="Z590" s="37"/>
      <c r="AA590" s="18"/>
      <c r="AB590" s="18"/>
      <c r="AC590" s="18"/>
    </row>
    <row r="591" spans="23:29" customFormat="1" x14ac:dyDescent="0.25">
      <c r="W591" s="37"/>
      <c r="X591" s="52"/>
      <c r="Y591" s="52"/>
      <c r="Z591" s="37"/>
      <c r="AA591" s="18"/>
      <c r="AB591" s="18"/>
      <c r="AC591" s="18"/>
    </row>
    <row r="592" spans="23:29" customFormat="1" x14ac:dyDescent="0.25">
      <c r="W592" s="37"/>
      <c r="X592" s="52"/>
      <c r="Y592" s="52"/>
      <c r="Z592" s="37"/>
      <c r="AA592" s="18"/>
      <c r="AB592" s="18"/>
      <c r="AC592" s="18"/>
    </row>
    <row r="593" spans="23:29" customFormat="1" x14ac:dyDescent="0.25">
      <c r="W593" s="37"/>
      <c r="X593" s="52"/>
      <c r="Y593" s="52"/>
      <c r="Z593" s="37"/>
      <c r="AA593" s="18"/>
      <c r="AB593" s="18"/>
      <c r="AC593" s="18"/>
    </row>
    <row r="594" spans="23:29" customFormat="1" x14ac:dyDescent="0.25">
      <c r="W594" s="37"/>
      <c r="X594" s="52"/>
      <c r="Y594" s="52"/>
      <c r="Z594" s="37"/>
      <c r="AA594" s="18"/>
      <c r="AB594" s="18"/>
      <c r="AC594" s="18"/>
    </row>
    <row r="595" spans="23:29" customFormat="1" x14ac:dyDescent="0.25">
      <c r="W595" s="37"/>
      <c r="X595" s="52"/>
      <c r="Y595" s="52"/>
      <c r="Z595" s="37"/>
      <c r="AA595" s="18"/>
      <c r="AB595" s="18"/>
      <c r="AC595" s="18"/>
    </row>
    <row r="596" spans="23:29" customFormat="1" x14ac:dyDescent="0.25">
      <c r="W596" s="37"/>
      <c r="X596" s="52"/>
      <c r="Y596" s="52"/>
      <c r="Z596" s="37"/>
      <c r="AA596" s="18"/>
      <c r="AB596" s="18"/>
      <c r="AC596" s="18"/>
    </row>
    <row r="597" spans="23:29" customFormat="1" x14ac:dyDescent="0.25">
      <c r="W597" s="37"/>
      <c r="X597" s="52"/>
      <c r="Y597" s="52"/>
      <c r="Z597" s="37"/>
      <c r="AA597" s="18"/>
      <c r="AB597" s="18"/>
      <c r="AC597" s="18"/>
    </row>
    <row r="598" spans="23:29" customFormat="1" x14ac:dyDescent="0.25">
      <c r="W598" s="37"/>
      <c r="X598" s="52"/>
      <c r="Y598" s="52"/>
      <c r="Z598" s="37"/>
      <c r="AA598" s="18"/>
      <c r="AB598" s="18"/>
      <c r="AC598" s="18"/>
    </row>
    <row r="599" spans="23:29" customFormat="1" x14ac:dyDescent="0.25">
      <c r="W599" s="37"/>
      <c r="X599" s="52"/>
      <c r="Y599" s="52"/>
      <c r="Z599" s="37"/>
      <c r="AA599" s="18"/>
      <c r="AB599" s="18"/>
      <c r="AC599" s="18"/>
    </row>
    <row r="600" spans="23:29" customFormat="1" x14ac:dyDescent="0.25">
      <c r="W600" s="37"/>
      <c r="X600" s="52"/>
      <c r="Y600" s="52"/>
      <c r="Z600" s="37"/>
      <c r="AA600" s="18"/>
      <c r="AB600" s="18"/>
      <c r="AC600" s="18"/>
    </row>
    <row r="601" spans="23:29" customFormat="1" x14ac:dyDescent="0.25">
      <c r="W601" s="37"/>
      <c r="X601" s="52"/>
      <c r="Y601" s="52"/>
      <c r="Z601" s="37"/>
      <c r="AA601" s="18"/>
      <c r="AB601" s="18"/>
      <c r="AC601" s="18"/>
    </row>
    <row r="602" spans="23:29" customFormat="1" x14ac:dyDescent="0.25">
      <c r="W602" s="37"/>
      <c r="X602" s="52"/>
      <c r="Y602" s="52"/>
      <c r="Z602" s="37"/>
      <c r="AA602" s="18"/>
      <c r="AB602" s="18"/>
      <c r="AC602" s="18"/>
    </row>
    <row r="603" spans="23:29" customFormat="1" x14ac:dyDescent="0.25">
      <c r="W603" s="37"/>
      <c r="X603" s="52"/>
      <c r="Y603" s="52"/>
      <c r="Z603" s="37"/>
      <c r="AA603" s="18"/>
      <c r="AB603" s="18"/>
      <c r="AC603" s="18"/>
    </row>
    <row r="604" spans="23:29" customFormat="1" x14ac:dyDescent="0.25">
      <c r="W604" s="37"/>
      <c r="X604" s="52"/>
      <c r="Y604" s="52"/>
      <c r="Z604" s="37"/>
      <c r="AA604" s="18"/>
      <c r="AB604" s="18"/>
      <c r="AC604" s="18"/>
    </row>
    <row r="605" spans="23:29" customFormat="1" x14ac:dyDescent="0.25">
      <c r="W605" s="37"/>
      <c r="X605" s="52"/>
      <c r="Y605" s="52"/>
      <c r="Z605" s="37"/>
      <c r="AA605" s="18"/>
      <c r="AB605" s="18"/>
      <c r="AC605" s="18"/>
    </row>
    <row r="606" spans="23:29" customFormat="1" x14ac:dyDescent="0.25">
      <c r="W606" s="37"/>
      <c r="X606" s="52"/>
      <c r="Y606" s="52"/>
      <c r="Z606" s="37"/>
      <c r="AA606" s="18"/>
      <c r="AB606" s="18"/>
      <c r="AC606" s="18"/>
    </row>
    <row r="607" spans="23:29" customFormat="1" x14ac:dyDescent="0.25">
      <c r="W607" s="37"/>
      <c r="X607" s="52"/>
      <c r="Y607" s="52"/>
      <c r="Z607" s="37"/>
      <c r="AA607" s="18"/>
      <c r="AB607" s="18"/>
      <c r="AC607" s="18"/>
    </row>
    <row r="608" spans="23:29" customFormat="1" x14ac:dyDescent="0.25">
      <c r="W608" s="37"/>
      <c r="X608" s="52"/>
      <c r="Y608" s="52"/>
      <c r="Z608" s="37"/>
      <c r="AA608" s="18"/>
      <c r="AB608" s="18"/>
      <c r="AC608" s="18"/>
    </row>
    <row r="609" spans="23:29" customFormat="1" x14ac:dyDescent="0.25">
      <c r="W609" s="37"/>
      <c r="X609" s="52"/>
      <c r="Y609" s="52"/>
      <c r="Z609" s="37"/>
      <c r="AA609" s="18"/>
      <c r="AB609" s="18"/>
      <c r="AC609" s="18"/>
    </row>
    <row r="610" spans="23:29" customFormat="1" x14ac:dyDescent="0.25">
      <c r="W610" s="37"/>
      <c r="X610" s="52"/>
      <c r="Y610" s="52"/>
      <c r="Z610" s="37"/>
      <c r="AA610" s="18"/>
      <c r="AB610" s="18"/>
      <c r="AC610" s="18"/>
    </row>
    <row r="611" spans="23:29" customFormat="1" x14ac:dyDescent="0.25">
      <c r="W611" s="37"/>
      <c r="X611" s="52"/>
      <c r="Y611" s="52"/>
      <c r="Z611" s="37"/>
      <c r="AA611" s="18"/>
      <c r="AB611" s="18"/>
      <c r="AC611" s="18"/>
    </row>
    <row r="612" spans="23:29" customFormat="1" x14ac:dyDescent="0.25">
      <c r="W612" s="37"/>
      <c r="X612" s="52"/>
      <c r="Y612" s="52"/>
      <c r="Z612" s="37"/>
      <c r="AA612" s="18"/>
      <c r="AB612" s="18"/>
      <c r="AC612" s="18"/>
    </row>
    <row r="613" spans="23:29" customFormat="1" x14ac:dyDescent="0.25">
      <c r="W613" s="37"/>
      <c r="X613" s="52"/>
      <c r="Y613" s="52"/>
      <c r="Z613" s="37"/>
      <c r="AA613" s="18"/>
      <c r="AB613" s="18"/>
      <c r="AC613" s="18"/>
    </row>
    <row r="614" spans="23:29" customFormat="1" x14ac:dyDescent="0.25">
      <c r="W614" s="37"/>
      <c r="X614" s="52"/>
      <c r="Y614" s="52"/>
      <c r="Z614" s="37"/>
      <c r="AA614" s="18"/>
      <c r="AB614" s="18"/>
      <c r="AC614" s="18"/>
    </row>
    <row r="615" spans="23:29" customFormat="1" x14ac:dyDescent="0.25">
      <c r="W615" s="37"/>
      <c r="X615" s="52"/>
      <c r="Y615" s="52"/>
      <c r="Z615" s="37"/>
      <c r="AA615" s="18"/>
      <c r="AB615" s="18"/>
      <c r="AC615" s="18"/>
    </row>
    <row r="616" spans="23:29" customFormat="1" x14ac:dyDescent="0.25">
      <c r="W616" s="37"/>
      <c r="X616" s="52"/>
      <c r="Y616" s="52"/>
      <c r="Z616" s="37"/>
      <c r="AA616" s="18"/>
      <c r="AB616" s="18"/>
      <c r="AC616" s="18"/>
    </row>
    <row r="617" spans="23:29" customFormat="1" x14ac:dyDescent="0.25">
      <c r="W617" s="37"/>
      <c r="X617" s="52"/>
      <c r="Y617" s="52"/>
      <c r="Z617" s="37"/>
      <c r="AA617" s="18"/>
      <c r="AB617" s="18"/>
      <c r="AC617" s="18"/>
    </row>
    <row r="618" spans="23:29" customFormat="1" x14ac:dyDescent="0.25">
      <c r="W618" s="37"/>
      <c r="X618" s="52"/>
      <c r="Y618" s="52"/>
      <c r="Z618" s="37"/>
      <c r="AA618" s="18"/>
      <c r="AB618" s="18"/>
      <c r="AC618" s="18"/>
    </row>
    <row r="619" spans="23:29" customFormat="1" x14ac:dyDescent="0.25">
      <c r="W619" s="37"/>
      <c r="X619" s="52"/>
      <c r="Y619" s="52"/>
      <c r="Z619" s="37"/>
      <c r="AA619" s="18"/>
      <c r="AB619" s="18"/>
      <c r="AC619" s="18"/>
    </row>
    <row r="620" spans="23:29" customFormat="1" x14ac:dyDescent="0.25">
      <c r="W620" s="37"/>
      <c r="X620" s="52"/>
      <c r="Y620" s="52"/>
      <c r="Z620" s="37"/>
      <c r="AA620" s="18"/>
      <c r="AB620" s="18"/>
      <c r="AC620" s="18"/>
    </row>
    <row r="621" spans="23:29" customFormat="1" x14ac:dyDescent="0.25">
      <c r="W621" s="37"/>
      <c r="X621" s="52"/>
      <c r="Y621" s="52"/>
      <c r="Z621" s="37"/>
      <c r="AA621" s="18"/>
      <c r="AB621" s="18"/>
      <c r="AC621" s="18"/>
    </row>
    <row r="622" spans="23:29" customFormat="1" x14ac:dyDescent="0.25">
      <c r="W622" s="37"/>
      <c r="X622" s="52"/>
      <c r="Y622" s="52"/>
      <c r="Z622" s="37"/>
      <c r="AA622" s="18"/>
      <c r="AB622" s="18"/>
      <c r="AC622" s="18"/>
    </row>
    <row r="623" spans="23:29" customFormat="1" x14ac:dyDescent="0.25">
      <c r="W623" s="37"/>
      <c r="X623" s="52"/>
      <c r="Y623" s="52"/>
      <c r="Z623" s="37"/>
      <c r="AA623" s="18"/>
      <c r="AB623" s="18"/>
      <c r="AC623" s="18"/>
    </row>
    <row r="624" spans="23:29" customFormat="1" x14ac:dyDescent="0.25">
      <c r="W624" s="37"/>
      <c r="X624" s="52"/>
      <c r="Y624" s="52"/>
      <c r="Z624" s="37"/>
      <c r="AA624" s="18"/>
      <c r="AB624" s="18"/>
      <c r="AC624" s="18"/>
    </row>
    <row r="625" spans="23:29" customFormat="1" x14ac:dyDescent="0.25">
      <c r="W625" s="37"/>
      <c r="X625" s="52"/>
      <c r="Y625" s="52"/>
      <c r="Z625" s="37"/>
      <c r="AA625" s="18"/>
      <c r="AB625" s="18"/>
      <c r="AC625" s="18"/>
    </row>
    <row r="626" spans="23:29" customFormat="1" x14ac:dyDescent="0.25">
      <c r="W626" s="37"/>
      <c r="X626" s="52"/>
      <c r="Y626" s="52"/>
      <c r="Z626" s="37"/>
      <c r="AA626" s="18"/>
      <c r="AB626" s="18"/>
      <c r="AC626" s="18"/>
    </row>
    <row r="627" spans="23:29" customFormat="1" x14ac:dyDescent="0.25">
      <c r="W627" s="37"/>
      <c r="X627" s="52"/>
      <c r="Y627" s="52"/>
      <c r="Z627" s="37"/>
      <c r="AA627" s="18"/>
      <c r="AB627" s="18"/>
      <c r="AC627" s="18"/>
    </row>
    <row r="628" spans="23:29" customFormat="1" x14ac:dyDescent="0.25">
      <c r="W628" s="37"/>
      <c r="X628" s="52"/>
      <c r="Y628" s="52"/>
      <c r="Z628" s="37"/>
      <c r="AA628" s="18"/>
      <c r="AB628" s="18"/>
      <c r="AC628" s="18"/>
    </row>
    <row r="629" spans="23:29" customFormat="1" x14ac:dyDescent="0.25">
      <c r="W629" s="37"/>
      <c r="X629" s="52"/>
      <c r="Y629" s="52"/>
      <c r="Z629" s="37"/>
      <c r="AA629" s="18"/>
      <c r="AB629" s="18"/>
      <c r="AC629" s="18"/>
    </row>
    <row r="630" spans="23:29" customFormat="1" x14ac:dyDescent="0.25">
      <c r="W630" s="37"/>
      <c r="X630" s="52"/>
      <c r="Y630" s="52"/>
      <c r="Z630" s="37"/>
      <c r="AA630" s="18"/>
      <c r="AB630" s="18"/>
      <c r="AC630" s="18"/>
    </row>
    <row r="631" spans="23:29" customFormat="1" x14ac:dyDescent="0.25">
      <c r="W631" s="37"/>
      <c r="X631" s="52"/>
      <c r="Y631" s="52"/>
      <c r="Z631" s="37"/>
      <c r="AA631" s="18"/>
      <c r="AB631" s="18"/>
      <c r="AC631" s="18"/>
    </row>
    <row r="632" spans="23:29" customFormat="1" x14ac:dyDescent="0.25">
      <c r="W632" s="37"/>
      <c r="X632" s="52"/>
      <c r="Y632" s="52"/>
      <c r="Z632" s="37"/>
      <c r="AA632" s="18"/>
      <c r="AB632" s="18"/>
      <c r="AC632" s="18"/>
    </row>
    <row r="633" spans="23:29" customFormat="1" x14ac:dyDescent="0.25">
      <c r="W633" s="37"/>
      <c r="X633" s="52"/>
      <c r="Y633" s="52"/>
      <c r="Z633" s="37"/>
      <c r="AA633" s="18"/>
      <c r="AB633" s="18"/>
      <c r="AC633" s="18"/>
    </row>
    <row r="634" spans="23:29" customFormat="1" x14ac:dyDescent="0.25">
      <c r="W634" s="37"/>
      <c r="X634" s="52"/>
      <c r="Y634" s="52"/>
      <c r="Z634" s="37"/>
      <c r="AA634" s="18"/>
      <c r="AB634" s="18"/>
      <c r="AC634" s="18"/>
    </row>
    <row r="635" spans="23:29" customFormat="1" x14ac:dyDescent="0.25">
      <c r="W635" s="37"/>
      <c r="X635" s="52"/>
      <c r="Y635" s="52"/>
      <c r="Z635" s="37"/>
      <c r="AA635" s="18"/>
      <c r="AB635" s="18"/>
      <c r="AC635" s="18"/>
    </row>
    <row r="636" spans="23:29" customFormat="1" x14ac:dyDescent="0.25">
      <c r="W636" s="37"/>
      <c r="X636" s="52"/>
      <c r="Y636" s="52"/>
      <c r="Z636" s="37"/>
      <c r="AA636" s="18"/>
      <c r="AB636" s="18"/>
      <c r="AC636" s="18"/>
    </row>
    <row r="637" spans="23:29" customFormat="1" x14ac:dyDescent="0.25">
      <c r="W637" s="37"/>
      <c r="X637" s="52"/>
      <c r="Y637" s="52"/>
      <c r="Z637" s="37"/>
      <c r="AA637" s="18"/>
      <c r="AB637" s="18"/>
      <c r="AC637" s="18"/>
    </row>
    <row r="638" spans="23:29" customFormat="1" x14ac:dyDescent="0.25">
      <c r="W638" s="37"/>
      <c r="X638" s="52"/>
      <c r="Y638" s="52"/>
      <c r="Z638" s="37"/>
      <c r="AA638" s="18"/>
      <c r="AB638" s="18"/>
      <c r="AC638" s="18"/>
    </row>
    <row r="639" spans="23:29" customFormat="1" x14ac:dyDescent="0.25">
      <c r="W639" s="37"/>
      <c r="X639" s="52"/>
      <c r="Y639" s="52"/>
      <c r="Z639" s="37"/>
      <c r="AA639" s="18"/>
      <c r="AB639" s="18"/>
      <c r="AC639" s="18"/>
    </row>
    <row r="640" spans="23:29" customFormat="1" x14ac:dyDescent="0.25">
      <c r="W640" s="37"/>
      <c r="X640" s="52"/>
      <c r="Y640" s="52"/>
      <c r="Z640" s="37"/>
      <c r="AA640" s="18"/>
      <c r="AB640" s="18"/>
      <c r="AC640" s="18"/>
    </row>
    <row r="641" spans="23:29" customFormat="1" x14ac:dyDescent="0.25">
      <c r="W641" s="37"/>
      <c r="X641" s="52"/>
      <c r="Y641" s="52"/>
      <c r="Z641" s="37"/>
      <c r="AA641" s="18"/>
      <c r="AB641" s="18"/>
      <c r="AC641" s="18"/>
    </row>
    <row r="642" spans="23:29" customFormat="1" x14ac:dyDescent="0.25">
      <c r="W642" s="37"/>
      <c r="X642" s="52"/>
      <c r="Y642" s="52"/>
      <c r="Z642" s="37"/>
      <c r="AA642" s="18"/>
      <c r="AB642" s="18"/>
      <c r="AC642" s="18"/>
    </row>
    <row r="643" spans="23:29" customFormat="1" x14ac:dyDescent="0.25">
      <c r="W643" s="37"/>
      <c r="X643" s="52"/>
      <c r="Y643" s="52"/>
      <c r="Z643" s="37"/>
      <c r="AA643" s="18"/>
      <c r="AB643" s="18"/>
      <c r="AC643" s="18"/>
    </row>
    <row r="644" spans="23:29" customFormat="1" x14ac:dyDescent="0.25">
      <c r="W644" s="37"/>
      <c r="X644" s="52"/>
      <c r="Y644" s="52"/>
      <c r="Z644" s="37"/>
      <c r="AA644" s="18"/>
      <c r="AB644" s="18"/>
      <c r="AC644" s="18"/>
    </row>
    <row r="645" spans="23:29" customFormat="1" x14ac:dyDescent="0.25">
      <c r="W645" s="37"/>
      <c r="X645" s="52"/>
      <c r="Y645" s="52"/>
      <c r="Z645" s="37"/>
      <c r="AA645" s="18"/>
      <c r="AB645" s="18"/>
      <c r="AC645" s="18"/>
    </row>
    <row r="646" spans="23:29" customFormat="1" x14ac:dyDescent="0.25">
      <c r="W646" s="37"/>
      <c r="X646" s="52"/>
      <c r="Y646" s="52"/>
      <c r="Z646" s="37"/>
      <c r="AA646" s="18"/>
      <c r="AB646" s="18"/>
      <c r="AC646" s="18"/>
    </row>
    <row r="647" spans="23:29" customFormat="1" x14ac:dyDescent="0.25">
      <c r="W647" s="37"/>
      <c r="X647" s="52"/>
      <c r="Y647" s="52"/>
      <c r="Z647" s="37"/>
      <c r="AA647" s="18"/>
      <c r="AB647" s="18"/>
      <c r="AC647" s="18"/>
    </row>
    <row r="648" spans="23:29" customFormat="1" x14ac:dyDescent="0.25">
      <c r="W648" s="37"/>
      <c r="X648" s="52"/>
      <c r="Y648" s="52"/>
      <c r="Z648" s="37"/>
      <c r="AA648" s="18"/>
      <c r="AB648" s="18"/>
      <c r="AC648" s="18"/>
    </row>
    <row r="649" spans="23:29" customFormat="1" x14ac:dyDescent="0.25">
      <c r="W649" s="37"/>
      <c r="X649" s="52"/>
      <c r="Y649" s="52"/>
      <c r="Z649" s="37"/>
      <c r="AA649" s="18"/>
      <c r="AB649" s="18"/>
      <c r="AC649" s="18"/>
    </row>
    <row r="650" spans="23:29" customFormat="1" x14ac:dyDescent="0.25">
      <c r="W650" s="37"/>
      <c r="X650" s="52"/>
      <c r="Y650" s="52"/>
      <c r="Z650" s="37"/>
      <c r="AA650" s="18"/>
      <c r="AB650" s="18"/>
      <c r="AC650" s="18"/>
    </row>
    <row r="651" spans="23:29" customFormat="1" x14ac:dyDescent="0.25">
      <c r="W651" s="37"/>
      <c r="X651" s="52"/>
      <c r="Y651" s="52"/>
      <c r="Z651" s="37"/>
      <c r="AA651" s="18"/>
      <c r="AB651" s="18"/>
      <c r="AC651" s="18"/>
    </row>
    <row r="652" spans="23:29" customFormat="1" x14ac:dyDescent="0.25">
      <c r="W652" s="37"/>
      <c r="X652" s="52"/>
      <c r="Y652" s="52"/>
      <c r="Z652" s="37"/>
      <c r="AA652" s="18"/>
      <c r="AB652" s="18"/>
      <c r="AC652" s="18"/>
    </row>
    <row r="653" spans="23:29" customFormat="1" x14ac:dyDescent="0.25">
      <c r="W653" s="37"/>
      <c r="X653" s="52"/>
      <c r="Y653" s="52"/>
      <c r="Z653" s="37"/>
      <c r="AA653" s="18"/>
      <c r="AB653" s="18"/>
      <c r="AC653" s="18"/>
    </row>
    <row r="654" spans="23:29" customFormat="1" x14ac:dyDescent="0.25">
      <c r="W654" s="37"/>
      <c r="X654" s="52"/>
      <c r="Y654" s="52"/>
      <c r="Z654" s="37"/>
      <c r="AA654" s="18"/>
      <c r="AB654" s="18"/>
      <c r="AC654" s="18"/>
    </row>
    <row r="655" spans="23:29" customFormat="1" x14ac:dyDescent="0.25">
      <c r="W655" s="37"/>
      <c r="X655" s="52"/>
      <c r="Y655" s="52"/>
      <c r="Z655" s="37"/>
      <c r="AA655" s="18"/>
      <c r="AB655" s="18"/>
      <c r="AC655" s="18"/>
    </row>
    <row r="656" spans="23:29" customFormat="1" x14ac:dyDescent="0.25">
      <c r="W656" s="37"/>
      <c r="X656" s="52"/>
      <c r="Y656" s="52"/>
      <c r="Z656" s="37"/>
      <c r="AA656" s="18"/>
      <c r="AB656" s="18"/>
      <c r="AC656" s="18"/>
    </row>
    <row r="657" spans="23:29" customFormat="1" x14ac:dyDescent="0.25">
      <c r="W657" s="37"/>
      <c r="X657" s="52"/>
      <c r="Y657" s="52"/>
      <c r="Z657" s="37"/>
      <c r="AA657" s="18"/>
      <c r="AB657" s="18"/>
      <c r="AC657" s="18"/>
    </row>
    <row r="658" spans="23:29" customFormat="1" x14ac:dyDescent="0.25">
      <c r="W658" s="37"/>
      <c r="X658" s="52"/>
      <c r="Y658" s="52"/>
      <c r="Z658" s="37"/>
      <c r="AA658" s="18"/>
      <c r="AB658" s="18"/>
      <c r="AC658" s="18"/>
    </row>
    <row r="659" spans="23:29" customFormat="1" x14ac:dyDescent="0.25">
      <c r="W659" s="37"/>
      <c r="X659" s="52"/>
      <c r="Y659" s="52"/>
      <c r="Z659" s="37"/>
      <c r="AA659" s="18"/>
      <c r="AB659" s="18"/>
      <c r="AC659" s="18"/>
    </row>
    <row r="660" spans="23:29" customFormat="1" x14ac:dyDescent="0.25">
      <c r="W660" s="37"/>
      <c r="X660" s="52"/>
      <c r="Y660" s="52"/>
      <c r="Z660" s="37"/>
      <c r="AA660" s="18"/>
      <c r="AB660" s="18"/>
      <c r="AC660" s="18"/>
    </row>
    <row r="661" spans="23:29" customFormat="1" x14ac:dyDescent="0.25">
      <c r="W661" s="37"/>
      <c r="X661" s="52"/>
      <c r="Y661" s="52"/>
      <c r="Z661" s="37"/>
      <c r="AA661" s="18"/>
      <c r="AB661" s="18"/>
      <c r="AC661" s="18"/>
    </row>
    <row r="662" spans="23:29" customFormat="1" x14ac:dyDescent="0.25">
      <c r="W662" s="37"/>
      <c r="X662" s="52"/>
      <c r="Y662" s="52"/>
      <c r="Z662" s="37"/>
      <c r="AA662" s="18"/>
      <c r="AB662" s="18"/>
      <c r="AC662" s="18"/>
    </row>
    <row r="663" spans="23:29" customFormat="1" x14ac:dyDescent="0.25">
      <c r="W663" s="37"/>
      <c r="X663" s="52"/>
      <c r="Y663" s="52"/>
      <c r="Z663" s="37"/>
      <c r="AA663" s="18"/>
      <c r="AB663" s="18"/>
      <c r="AC663" s="18"/>
    </row>
    <row r="664" spans="23:29" customFormat="1" x14ac:dyDescent="0.25">
      <c r="W664" s="37"/>
      <c r="X664" s="52"/>
      <c r="Y664" s="52"/>
      <c r="Z664" s="37"/>
      <c r="AA664" s="18"/>
      <c r="AB664" s="18"/>
      <c r="AC664" s="18"/>
    </row>
    <row r="665" spans="23:29" customFormat="1" x14ac:dyDescent="0.25">
      <c r="W665" s="37"/>
      <c r="X665" s="52"/>
      <c r="Y665" s="52"/>
      <c r="Z665" s="37"/>
      <c r="AA665" s="18"/>
      <c r="AB665" s="18"/>
      <c r="AC665" s="18"/>
    </row>
    <row r="666" spans="23:29" customFormat="1" x14ac:dyDescent="0.25">
      <c r="W666" s="37"/>
      <c r="X666" s="52"/>
      <c r="Y666" s="52"/>
      <c r="Z666" s="37"/>
      <c r="AA666" s="18"/>
      <c r="AB666" s="18"/>
      <c r="AC666" s="18"/>
    </row>
    <row r="667" spans="23:29" customFormat="1" x14ac:dyDescent="0.25">
      <c r="W667" s="37"/>
      <c r="X667" s="52"/>
      <c r="Y667" s="52"/>
      <c r="Z667" s="37"/>
      <c r="AA667" s="18"/>
      <c r="AB667" s="18"/>
      <c r="AC667" s="18"/>
    </row>
    <row r="668" spans="23:29" customFormat="1" x14ac:dyDescent="0.25">
      <c r="W668" s="37"/>
      <c r="X668" s="52"/>
      <c r="Y668" s="52"/>
      <c r="Z668" s="37"/>
      <c r="AA668" s="18"/>
      <c r="AB668" s="18"/>
      <c r="AC668" s="18"/>
    </row>
    <row r="669" spans="23:29" customFormat="1" x14ac:dyDescent="0.25">
      <c r="W669" s="37"/>
      <c r="X669" s="52"/>
      <c r="Y669" s="52"/>
      <c r="Z669" s="37"/>
      <c r="AA669" s="18"/>
      <c r="AB669" s="18"/>
      <c r="AC669" s="18"/>
    </row>
    <row r="670" spans="23:29" customFormat="1" x14ac:dyDescent="0.25">
      <c r="W670" s="37"/>
      <c r="X670" s="52"/>
      <c r="Y670" s="52"/>
      <c r="Z670" s="37"/>
      <c r="AA670" s="18"/>
      <c r="AB670" s="18"/>
      <c r="AC670" s="18"/>
    </row>
    <row r="671" spans="23:29" customFormat="1" x14ac:dyDescent="0.25">
      <c r="W671" s="37"/>
      <c r="X671" s="52"/>
      <c r="Y671" s="52"/>
      <c r="Z671" s="37"/>
      <c r="AA671" s="18"/>
      <c r="AB671" s="18"/>
      <c r="AC671" s="18"/>
    </row>
    <row r="672" spans="23:29" customFormat="1" x14ac:dyDescent="0.25">
      <c r="W672" s="37"/>
      <c r="X672" s="52"/>
      <c r="Y672" s="52"/>
      <c r="Z672" s="37"/>
      <c r="AA672" s="18"/>
      <c r="AB672" s="18"/>
      <c r="AC672" s="18"/>
    </row>
    <row r="673" spans="23:29" customFormat="1" x14ac:dyDescent="0.25">
      <c r="W673" s="37"/>
      <c r="X673" s="52"/>
      <c r="Y673" s="52"/>
      <c r="Z673" s="37"/>
      <c r="AA673" s="18"/>
      <c r="AB673" s="18"/>
      <c r="AC673" s="18"/>
    </row>
    <row r="674" spans="23:29" customFormat="1" x14ac:dyDescent="0.25">
      <c r="W674" s="37"/>
      <c r="X674" s="52"/>
      <c r="Y674" s="52"/>
      <c r="Z674" s="37"/>
      <c r="AA674" s="18"/>
      <c r="AB674" s="18"/>
      <c r="AC674" s="18"/>
    </row>
    <row r="675" spans="23:29" customFormat="1" x14ac:dyDescent="0.25">
      <c r="W675" s="37"/>
      <c r="X675" s="52"/>
      <c r="Y675" s="52"/>
      <c r="Z675" s="37"/>
      <c r="AA675" s="18"/>
      <c r="AB675" s="18"/>
      <c r="AC675" s="18"/>
    </row>
    <row r="676" spans="23:29" customFormat="1" x14ac:dyDescent="0.25">
      <c r="W676" s="37"/>
      <c r="X676" s="52"/>
      <c r="Y676" s="52"/>
      <c r="Z676" s="37"/>
      <c r="AA676" s="18"/>
      <c r="AB676" s="18"/>
      <c r="AC676" s="18"/>
    </row>
    <row r="677" spans="23:29" customFormat="1" x14ac:dyDescent="0.25">
      <c r="W677" s="37"/>
      <c r="X677" s="52"/>
      <c r="Y677" s="52"/>
      <c r="Z677" s="37"/>
      <c r="AA677" s="18"/>
      <c r="AB677" s="18"/>
      <c r="AC677" s="18"/>
    </row>
    <row r="678" spans="23:29" customFormat="1" x14ac:dyDescent="0.25">
      <c r="W678" s="37"/>
      <c r="X678" s="52"/>
      <c r="Y678" s="52"/>
      <c r="Z678" s="37"/>
      <c r="AA678" s="18"/>
      <c r="AB678" s="18"/>
      <c r="AC678" s="18"/>
    </row>
    <row r="679" spans="23:29" customFormat="1" x14ac:dyDescent="0.25">
      <c r="W679" s="37"/>
      <c r="X679" s="52"/>
      <c r="Y679" s="52"/>
      <c r="Z679" s="37"/>
      <c r="AA679" s="18"/>
      <c r="AB679" s="18"/>
      <c r="AC679" s="18"/>
    </row>
    <row r="680" spans="23:29" customFormat="1" x14ac:dyDescent="0.25">
      <c r="W680" s="37"/>
      <c r="X680" s="52"/>
      <c r="Y680" s="52"/>
      <c r="Z680" s="37"/>
      <c r="AA680" s="18"/>
      <c r="AB680" s="18"/>
      <c r="AC680" s="18"/>
    </row>
    <row r="681" spans="23:29" customFormat="1" x14ac:dyDescent="0.25">
      <c r="W681" s="37"/>
      <c r="X681" s="52"/>
      <c r="Y681" s="52"/>
      <c r="Z681" s="37"/>
      <c r="AA681" s="18"/>
      <c r="AB681" s="18"/>
      <c r="AC681" s="18"/>
    </row>
    <row r="682" spans="23:29" customFormat="1" x14ac:dyDescent="0.25">
      <c r="W682" s="37"/>
      <c r="X682" s="52"/>
      <c r="Y682" s="52"/>
      <c r="Z682" s="37"/>
      <c r="AA682" s="18"/>
      <c r="AB682" s="18"/>
      <c r="AC682" s="18"/>
    </row>
    <row r="683" spans="23:29" customFormat="1" x14ac:dyDescent="0.25">
      <c r="W683" s="37"/>
      <c r="X683" s="52"/>
      <c r="Y683" s="52"/>
      <c r="Z683" s="37"/>
      <c r="AA683" s="18"/>
      <c r="AB683" s="18"/>
      <c r="AC683" s="18"/>
    </row>
    <row r="684" spans="23:29" customFormat="1" x14ac:dyDescent="0.25">
      <c r="W684" s="37"/>
      <c r="X684" s="52"/>
      <c r="Y684" s="52"/>
      <c r="Z684" s="37"/>
      <c r="AA684" s="18"/>
      <c r="AB684" s="18"/>
      <c r="AC684" s="18"/>
    </row>
    <row r="685" spans="23:29" customFormat="1" x14ac:dyDescent="0.25">
      <c r="W685" s="37"/>
      <c r="X685" s="52"/>
      <c r="Y685" s="52"/>
      <c r="Z685" s="37"/>
      <c r="AA685" s="18"/>
      <c r="AB685" s="18"/>
      <c r="AC685" s="18"/>
    </row>
    <row r="686" spans="23:29" customFormat="1" x14ac:dyDescent="0.25">
      <c r="W686" s="37"/>
      <c r="X686" s="52"/>
      <c r="Y686" s="52"/>
      <c r="Z686" s="37"/>
      <c r="AA686" s="18"/>
      <c r="AB686" s="18"/>
      <c r="AC686" s="18"/>
    </row>
    <row r="687" spans="23:29" customFormat="1" x14ac:dyDescent="0.25">
      <c r="W687" s="37"/>
      <c r="X687" s="52"/>
      <c r="Y687" s="52"/>
      <c r="Z687" s="37"/>
      <c r="AA687" s="18"/>
      <c r="AB687" s="18"/>
      <c r="AC687" s="18"/>
    </row>
    <row r="688" spans="23:29" customFormat="1" x14ac:dyDescent="0.25">
      <c r="W688" s="37"/>
      <c r="X688" s="52"/>
      <c r="Y688" s="52"/>
      <c r="Z688" s="37"/>
      <c r="AA688" s="18"/>
      <c r="AB688" s="18"/>
      <c r="AC688" s="18"/>
    </row>
    <row r="689" spans="23:29" customFormat="1" x14ac:dyDescent="0.25">
      <c r="W689" s="37"/>
      <c r="X689" s="52"/>
      <c r="Y689" s="52"/>
      <c r="Z689" s="37"/>
      <c r="AA689" s="18"/>
      <c r="AB689" s="18"/>
      <c r="AC689" s="18"/>
    </row>
    <row r="690" spans="23:29" customFormat="1" x14ac:dyDescent="0.25">
      <c r="W690" s="37"/>
      <c r="X690" s="52"/>
      <c r="Y690" s="52"/>
      <c r="Z690" s="37"/>
      <c r="AA690" s="18"/>
      <c r="AB690" s="18"/>
      <c r="AC690" s="18"/>
    </row>
    <row r="691" spans="23:29" customFormat="1" x14ac:dyDescent="0.25">
      <c r="W691" s="37"/>
      <c r="X691" s="52"/>
      <c r="Y691" s="52"/>
      <c r="Z691" s="37"/>
      <c r="AA691" s="18"/>
      <c r="AB691" s="18"/>
      <c r="AC691" s="18"/>
    </row>
    <row r="692" spans="23:29" customFormat="1" x14ac:dyDescent="0.25">
      <c r="W692" s="37"/>
      <c r="X692" s="52"/>
      <c r="Y692" s="52"/>
      <c r="Z692" s="37"/>
      <c r="AA692" s="18"/>
      <c r="AB692" s="18"/>
      <c r="AC692" s="18"/>
    </row>
    <row r="693" spans="23:29" customFormat="1" x14ac:dyDescent="0.25">
      <c r="W693" s="37"/>
      <c r="X693" s="52"/>
      <c r="Y693" s="52"/>
      <c r="Z693" s="37"/>
      <c r="AA693" s="18"/>
      <c r="AB693" s="18"/>
      <c r="AC693" s="18"/>
    </row>
    <row r="694" spans="23:29" customFormat="1" x14ac:dyDescent="0.25">
      <c r="W694" s="37"/>
      <c r="X694" s="52"/>
      <c r="Y694" s="52"/>
      <c r="Z694" s="37"/>
      <c r="AA694" s="18"/>
      <c r="AB694" s="18"/>
      <c r="AC694" s="18"/>
    </row>
    <row r="695" spans="23:29" customFormat="1" x14ac:dyDescent="0.25">
      <c r="W695" s="37"/>
      <c r="X695" s="52"/>
      <c r="Y695" s="52"/>
      <c r="Z695" s="37"/>
      <c r="AA695" s="18"/>
      <c r="AB695" s="18"/>
      <c r="AC695" s="18"/>
    </row>
    <row r="696" spans="23:29" customFormat="1" x14ac:dyDescent="0.25">
      <c r="W696" s="37"/>
      <c r="X696" s="52"/>
      <c r="Y696" s="52"/>
      <c r="Z696" s="37"/>
      <c r="AA696" s="18"/>
      <c r="AB696" s="18"/>
      <c r="AC696" s="18"/>
    </row>
    <row r="697" spans="23:29" customFormat="1" x14ac:dyDescent="0.25">
      <c r="W697" s="37"/>
      <c r="X697" s="52"/>
      <c r="Y697" s="52"/>
      <c r="Z697" s="37"/>
      <c r="AA697" s="18"/>
      <c r="AB697" s="18"/>
      <c r="AC697" s="18"/>
    </row>
    <row r="698" spans="23:29" customFormat="1" x14ac:dyDescent="0.25">
      <c r="W698" s="37"/>
      <c r="X698" s="52"/>
      <c r="Y698" s="52"/>
      <c r="Z698" s="37"/>
      <c r="AA698" s="18"/>
      <c r="AB698" s="18"/>
      <c r="AC698" s="18"/>
    </row>
    <row r="699" spans="23:29" customFormat="1" x14ac:dyDescent="0.25">
      <c r="W699" s="37"/>
      <c r="X699" s="52"/>
      <c r="Y699" s="52"/>
      <c r="Z699" s="37"/>
      <c r="AA699" s="18"/>
      <c r="AB699" s="18"/>
      <c r="AC699" s="18"/>
    </row>
    <row r="700" spans="23:29" customFormat="1" x14ac:dyDescent="0.25">
      <c r="W700" s="37"/>
      <c r="X700" s="52"/>
      <c r="Y700" s="52"/>
      <c r="Z700" s="37"/>
      <c r="AA700" s="18"/>
      <c r="AB700" s="18"/>
      <c r="AC700" s="18"/>
    </row>
    <row r="701" spans="23:29" customFormat="1" x14ac:dyDescent="0.25">
      <c r="W701" s="37"/>
      <c r="X701" s="52"/>
      <c r="Y701" s="52"/>
      <c r="Z701" s="37"/>
      <c r="AA701" s="18"/>
      <c r="AB701" s="18"/>
      <c r="AC701" s="18"/>
    </row>
    <row r="702" spans="23:29" customFormat="1" x14ac:dyDescent="0.25">
      <c r="W702" s="37"/>
      <c r="X702" s="52"/>
      <c r="Y702" s="52"/>
      <c r="Z702" s="37"/>
      <c r="AA702" s="18"/>
      <c r="AB702" s="18"/>
      <c r="AC702" s="18"/>
    </row>
    <row r="703" spans="23:29" customFormat="1" x14ac:dyDescent="0.25">
      <c r="W703" s="37"/>
      <c r="X703" s="52"/>
      <c r="Y703" s="52"/>
      <c r="Z703" s="37"/>
      <c r="AA703" s="18"/>
      <c r="AB703" s="18"/>
      <c r="AC703" s="18"/>
    </row>
    <row r="704" spans="23:29" customFormat="1" x14ac:dyDescent="0.25">
      <c r="W704" s="37"/>
      <c r="X704" s="52"/>
      <c r="Y704" s="52"/>
      <c r="Z704" s="37"/>
      <c r="AA704" s="18"/>
      <c r="AB704" s="18"/>
      <c r="AC704" s="18"/>
    </row>
    <row r="705" spans="23:29" customFormat="1" x14ac:dyDescent="0.25">
      <c r="W705" s="37"/>
      <c r="X705" s="52"/>
      <c r="Y705" s="52"/>
      <c r="Z705" s="37"/>
      <c r="AA705" s="18"/>
      <c r="AB705" s="18"/>
      <c r="AC705" s="18"/>
    </row>
    <row r="706" spans="23:29" customFormat="1" x14ac:dyDescent="0.25">
      <c r="W706" s="37"/>
      <c r="X706" s="52"/>
      <c r="Y706" s="52"/>
      <c r="Z706" s="37"/>
      <c r="AA706" s="18"/>
      <c r="AB706" s="18"/>
      <c r="AC706" s="18"/>
    </row>
    <row r="707" spans="23:29" customFormat="1" x14ac:dyDescent="0.25">
      <c r="W707" s="37"/>
      <c r="X707" s="52"/>
      <c r="Y707" s="52"/>
      <c r="Z707" s="37"/>
      <c r="AA707" s="18"/>
      <c r="AB707" s="18"/>
      <c r="AC707" s="18"/>
    </row>
    <row r="708" spans="23:29" customFormat="1" x14ac:dyDescent="0.25">
      <c r="W708" s="37"/>
      <c r="X708" s="52"/>
      <c r="Y708" s="52"/>
      <c r="Z708" s="37"/>
      <c r="AA708" s="18"/>
      <c r="AB708" s="18"/>
      <c r="AC708" s="18"/>
    </row>
    <row r="709" spans="23:29" customFormat="1" x14ac:dyDescent="0.25">
      <c r="W709" s="37"/>
      <c r="X709" s="52"/>
      <c r="Y709" s="52"/>
      <c r="Z709" s="37"/>
      <c r="AA709" s="18"/>
      <c r="AB709" s="18"/>
      <c r="AC709" s="18"/>
    </row>
    <row r="710" spans="23:29" customFormat="1" x14ac:dyDescent="0.25">
      <c r="W710" s="37"/>
      <c r="X710" s="52"/>
      <c r="Y710" s="52"/>
      <c r="Z710" s="37"/>
      <c r="AA710" s="18"/>
      <c r="AB710" s="18"/>
      <c r="AC710" s="18"/>
    </row>
    <row r="711" spans="23:29" customFormat="1" x14ac:dyDescent="0.25">
      <c r="W711" s="37"/>
      <c r="X711" s="52"/>
      <c r="Y711" s="52"/>
      <c r="Z711" s="37"/>
      <c r="AA711" s="18"/>
      <c r="AB711" s="18"/>
      <c r="AC711" s="18"/>
    </row>
    <row r="712" spans="23:29" customFormat="1" x14ac:dyDescent="0.25">
      <c r="W712" s="37"/>
      <c r="X712" s="52"/>
      <c r="Y712" s="52"/>
      <c r="Z712" s="37"/>
      <c r="AA712" s="18"/>
      <c r="AB712" s="18"/>
      <c r="AC712" s="18"/>
    </row>
    <row r="713" spans="23:29" customFormat="1" x14ac:dyDescent="0.25">
      <c r="W713" s="37"/>
      <c r="X713" s="52"/>
      <c r="Y713" s="52"/>
      <c r="Z713" s="37"/>
      <c r="AA713" s="18"/>
      <c r="AB713" s="18"/>
      <c r="AC713" s="18"/>
    </row>
    <row r="714" spans="23:29" customFormat="1" x14ac:dyDescent="0.25">
      <c r="W714" s="37"/>
      <c r="X714" s="52"/>
      <c r="Y714" s="52"/>
      <c r="Z714" s="37"/>
      <c r="AA714" s="18"/>
      <c r="AB714" s="18"/>
      <c r="AC714" s="18"/>
    </row>
    <row r="715" spans="23:29" customFormat="1" x14ac:dyDescent="0.25">
      <c r="W715" s="37"/>
      <c r="X715" s="52"/>
      <c r="Y715" s="52"/>
      <c r="Z715" s="37"/>
      <c r="AA715" s="18"/>
      <c r="AB715" s="18"/>
      <c r="AC715" s="18"/>
    </row>
    <row r="716" spans="23:29" customFormat="1" x14ac:dyDescent="0.25">
      <c r="W716" s="37"/>
      <c r="X716" s="52"/>
      <c r="Y716" s="52"/>
      <c r="Z716" s="37"/>
      <c r="AA716" s="18"/>
      <c r="AB716" s="18"/>
      <c r="AC716" s="18"/>
    </row>
    <row r="717" spans="23:29" customFormat="1" x14ac:dyDescent="0.25">
      <c r="W717" s="37"/>
      <c r="X717" s="52"/>
      <c r="Y717" s="52"/>
      <c r="Z717" s="37"/>
      <c r="AA717" s="18"/>
      <c r="AB717" s="18"/>
      <c r="AC717" s="18"/>
    </row>
    <row r="718" spans="23:29" customFormat="1" x14ac:dyDescent="0.25">
      <c r="W718" s="37"/>
      <c r="X718" s="52"/>
      <c r="Y718" s="52"/>
      <c r="Z718" s="37"/>
      <c r="AA718" s="18"/>
      <c r="AB718" s="18"/>
      <c r="AC718" s="18"/>
    </row>
    <row r="719" spans="23:29" customFormat="1" x14ac:dyDescent="0.25">
      <c r="W719" s="37"/>
      <c r="X719" s="52"/>
      <c r="Y719" s="52"/>
      <c r="Z719" s="37"/>
      <c r="AA719" s="18"/>
      <c r="AB719" s="18"/>
      <c r="AC719" s="18"/>
    </row>
    <row r="720" spans="23:29" customFormat="1" x14ac:dyDescent="0.25">
      <c r="W720" s="37"/>
      <c r="X720" s="52"/>
      <c r="Y720" s="52"/>
      <c r="Z720" s="37"/>
      <c r="AA720" s="18"/>
      <c r="AB720" s="18"/>
      <c r="AC720" s="18"/>
    </row>
    <row r="721" spans="23:29" customFormat="1" x14ac:dyDescent="0.25">
      <c r="W721" s="37"/>
      <c r="X721" s="52"/>
      <c r="Y721" s="52"/>
      <c r="Z721" s="37"/>
      <c r="AA721" s="18"/>
      <c r="AB721" s="18"/>
      <c r="AC721" s="18"/>
    </row>
    <row r="722" spans="23:29" customFormat="1" x14ac:dyDescent="0.25">
      <c r="W722" s="37"/>
      <c r="X722" s="52"/>
      <c r="Y722" s="52"/>
      <c r="Z722" s="37"/>
      <c r="AA722" s="18"/>
      <c r="AB722" s="18"/>
      <c r="AC722" s="18"/>
    </row>
    <row r="723" spans="23:29" customFormat="1" x14ac:dyDescent="0.25">
      <c r="W723" s="37"/>
      <c r="X723" s="52"/>
      <c r="Y723" s="52"/>
      <c r="Z723" s="37"/>
      <c r="AA723" s="18"/>
      <c r="AB723" s="18"/>
      <c r="AC723" s="18"/>
    </row>
    <row r="724" spans="23:29" customFormat="1" x14ac:dyDescent="0.25">
      <c r="W724" s="37"/>
      <c r="X724" s="52"/>
      <c r="Y724" s="52"/>
      <c r="Z724" s="37"/>
      <c r="AA724" s="18"/>
      <c r="AB724" s="18"/>
      <c r="AC724" s="18"/>
    </row>
    <row r="725" spans="23:29" customFormat="1" x14ac:dyDescent="0.25">
      <c r="W725" s="37"/>
      <c r="X725" s="52"/>
      <c r="Y725" s="52"/>
      <c r="Z725" s="37"/>
      <c r="AA725" s="18"/>
      <c r="AB725" s="18"/>
      <c r="AC725" s="18"/>
    </row>
    <row r="726" spans="23:29" customFormat="1" x14ac:dyDescent="0.25">
      <c r="W726" s="37"/>
      <c r="X726" s="52"/>
      <c r="Y726" s="52"/>
      <c r="Z726" s="37"/>
      <c r="AA726" s="18"/>
      <c r="AB726" s="18"/>
      <c r="AC726" s="18"/>
    </row>
    <row r="727" spans="23:29" customFormat="1" x14ac:dyDescent="0.25">
      <c r="W727" s="37"/>
      <c r="X727" s="52"/>
      <c r="Y727" s="52"/>
      <c r="Z727" s="37"/>
      <c r="AA727" s="18"/>
      <c r="AB727" s="18"/>
      <c r="AC727" s="18"/>
    </row>
    <row r="728" spans="23:29" customFormat="1" x14ac:dyDescent="0.25">
      <c r="W728" s="37"/>
      <c r="X728" s="52"/>
      <c r="Y728" s="52"/>
      <c r="Z728" s="37"/>
      <c r="AA728" s="18"/>
      <c r="AB728" s="18"/>
      <c r="AC728" s="18"/>
    </row>
    <row r="729" spans="23:29" customFormat="1" x14ac:dyDescent="0.25">
      <c r="W729" s="37"/>
      <c r="X729" s="52"/>
      <c r="Y729" s="52"/>
      <c r="Z729" s="37"/>
      <c r="AA729" s="18"/>
      <c r="AB729" s="18"/>
      <c r="AC729" s="18"/>
    </row>
    <row r="730" spans="23:29" customFormat="1" x14ac:dyDescent="0.25">
      <c r="W730" s="37"/>
      <c r="X730" s="52"/>
      <c r="Y730" s="52"/>
      <c r="Z730" s="37"/>
      <c r="AA730" s="18"/>
      <c r="AB730" s="18"/>
      <c r="AC730" s="18"/>
    </row>
    <row r="731" spans="23:29" customFormat="1" x14ac:dyDescent="0.25">
      <c r="W731" s="37"/>
      <c r="X731" s="52"/>
      <c r="Y731" s="52"/>
      <c r="Z731" s="37"/>
      <c r="AA731" s="18"/>
      <c r="AB731" s="18"/>
      <c r="AC731" s="18"/>
    </row>
    <row r="732" spans="23:29" customFormat="1" x14ac:dyDescent="0.25">
      <c r="W732" s="37"/>
      <c r="X732" s="52"/>
      <c r="Y732" s="52"/>
      <c r="Z732" s="37"/>
      <c r="AA732" s="18"/>
      <c r="AB732" s="18"/>
      <c r="AC732" s="18"/>
    </row>
    <row r="733" spans="23:29" customFormat="1" x14ac:dyDescent="0.25">
      <c r="W733" s="37"/>
      <c r="X733" s="52"/>
      <c r="Y733" s="52"/>
      <c r="Z733" s="37"/>
      <c r="AA733" s="18"/>
      <c r="AB733" s="18"/>
      <c r="AC733" s="18"/>
    </row>
    <row r="734" spans="23:29" customFormat="1" x14ac:dyDescent="0.25">
      <c r="W734" s="37"/>
      <c r="X734" s="52"/>
      <c r="Y734" s="52"/>
      <c r="Z734" s="37"/>
      <c r="AA734" s="18"/>
      <c r="AB734" s="18"/>
      <c r="AC734" s="18"/>
    </row>
    <row r="735" spans="23:29" customFormat="1" x14ac:dyDescent="0.25">
      <c r="W735" s="37"/>
      <c r="X735" s="52"/>
      <c r="Y735" s="52"/>
      <c r="Z735" s="37"/>
      <c r="AA735" s="18"/>
      <c r="AB735" s="18"/>
      <c r="AC735" s="18"/>
    </row>
    <row r="736" spans="23:29" customFormat="1" x14ac:dyDescent="0.25">
      <c r="W736" s="37"/>
      <c r="X736" s="52"/>
      <c r="Y736" s="52"/>
      <c r="Z736" s="37"/>
      <c r="AA736" s="18"/>
      <c r="AB736" s="18"/>
      <c r="AC736" s="18"/>
    </row>
    <row r="737" spans="23:29" customFormat="1" x14ac:dyDescent="0.25">
      <c r="W737" s="37"/>
      <c r="X737" s="52"/>
      <c r="Y737" s="52"/>
      <c r="Z737" s="37"/>
      <c r="AA737" s="18"/>
      <c r="AB737" s="18"/>
      <c r="AC737" s="18"/>
    </row>
    <row r="738" spans="23:29" customFormat="1" x14ac:dyDescent="0.25">
      <c r="W738" s="37"/>
      <c r="X738" s="52"/>
      <c r="Y738" s="52"/>
      <c r="Z738" s="37"/>
      <c r="AA738" s="18"/>
      <c r="AB738" s="18"/>
      <c r="AC738" s="18"/>
    </row>
    <row r="739" spans="23:29" customFormat="1" x14ac:dyDescent="0.25">
      <c r="W739" s="37"/>
      <c r="X739" s="52"/>
      <c r="Y739" s="52"/>
      <c r="Z739" s="37"/>
      <c r="AA739" s="18"/>
      <c r="AB739" s="18"/>
      <c r="AC739" s="18"/>
    </row>
    <row r="740" spans="23:29" customFormat="1" x14ac:dyDescent="0.25">
      <c r="W740" s="37"/>
      <c r="X740" s="52"/>
      <c r="Y740" s="52"/>
      <c r="Z740" s="37"/>
      <c r="AA740" s="18"/>
      <c r="AB740" s="18"/>
      <c r="AC740" s="18"/>
    </row>
    <row r="741" spans="23:29" customFormat="1" x14ac:dyDescent="0.25">
      <c r="W741" s="37"/>
      <c r="X741" s="52"/>
      <c r="Y741" s="52"/>
      <c r="Z741" s="37"/>
      <c r="AA741" s="18"/>
      <c r="AB741" s="18"/>
      <c r="AC741" s="18"/>
    </row>
    <row r="742" spans="23:29" customFormat="1" x14ac:dyDescent="0.25">
      <c r="W742" s="37"/>
      <c r="X742" s="52"/>
      <c r="Y742" s="52"/>
      <c r="Z742" s="37"/>
      <c r="AA742" s="18"/>
      <c r="AB742" s="18"/>
      <c r="AC742" s="18"/>
    </row>
    <row r="743" spans="23:29" customFormat="1" x14ac:dyDescent="0.25">
      <c r="W743" s="37"/>
      <c r="X743" s="52"/>
      <c r="Y743" s="52"/>
      <c r="Z743" s="37"/>
      <c r="AA743" s="18"/>
      <c r="AB743" s="18"/>
      <c r="AC743" s="18"/>
    </row>
    <row r="744" spans="23:29" customFormat="1" x14ac:dyDescent="0.25">
      <c r="W744" s="37"/>
      <c r="X744" s="52"/>
      <c r="Y744" s="52"/>
      <c r="Z744" s="37"/>
      <c r="AA744" s="18"/>
      <c r="AB744" s="18"/>
      <c r="AC744" s="18"/>
    </row>
    <row r="745" spans="23:29" customFormat="1" x14ac:dyDescent="0.25">
      <c r="W745" s="37"/>
      <c r="X745" s="52"/>
      <c r="Y745" s="52"/>
      <c r="Z745" s="37"/>
      <c r="AA745" s="18"/>
      <c r="AB745" s="18"/>
      <c r="AC745" s="18"/>
    </row>
    <row r="746" spans="23:29" customFormat="1" x14ac:dyDescent="0.25">
      <c r="W746" s="37"/>
      <c r="X746" s="52"/>
      <c r="Y746" s="52"/>
      <c r="Z746" s="37"/>
      <c r="AA746" s="18"/>
      <c r="AB746" s="18"/>
      <c r="AC746" s="18"/>
    </row>
    <row r="747" spans="23:29" customFormat="1" x14ac:dyDescent="0.25">
      <c r="W747" s="37"/>
      <c r="X747" s="52"/>
      <c r="Y747" s="52"/>
      <c r="Z747" s="37"/>
      <c r="AA747" s="18"/>
      <c r="AB747" s="18"/>
      <c r="AC747" s="18"/>
    </row>
    <row r="748" spans="23:29" customFormat="1" x14ac:dyDescent="0.25">
      <c r="W748" s="37"/>
      <c r="X748" s="52"/>
      <c r="Y748" s="52"/>
      <c r="Z748" s="37"/>
      <c r="AA748" s="18"/>
      <c r="AB748" s="18"/>
      <c r="AC748" s="18"/>
    </row>
    <row r="749" spans="23:29" customFormat="1" x14ac:dyDescent="0.25">
      <c r="W749" s="37"/>
      <c r="X749" s="52"/>
      <c r="Y749" s="52"/>
      <c r="Z749" s="37"/>
      <c r="AA749" s="18"/>
      <c r="AB749" s="18"/>
      <c r="AC749" s="18"/>
    </row>
    <row r="750" spans="23:29" customFormat="1" x14ac:dyDescent="0.25">
      <c r="W750" s="37"/>
      <c r="X750" s="52"/>
      <c r="Y750" s="52"/>
      <c r="Z750" s="37"/>
      <c r="AA750" s="18"/>
      <c r="AB750" s="18"/>
      <c r="AC750" s="18"/>
    </row>
    <row r="751" spans="23:29" customFormat="1" x14ac:dyDescent="0.25">
      <c r="W751" s="37"/>
      <c r="X751" s="52"/>
      <c r="Y751" s="52"/>
      <c r="Z751" s="37"/>
      <c r="AA751" s="18"/>
      <c r="AB751" s="18"/>
      <c r="AC751" s="18"/>
    </row>
    <row r="752" spans="23:29" customFormat="1" x14ac:dyDescent="0.25">
      <c r="W752" s="37"/>
      <c r="X752" s="52"/>
      <c r="Y752" s="52"/>
      <c r="Z752" s="37"/>
      <c r="AA752" s="18"/>
      <c r="AB752" s="18"/>
      <c r="AC752" s="18"/>
    </row>
    <row r="753" spans="23:29" customFormat="1" x14ac:dyDescent="0.25">
      <c r="W753" s="37"/>
      <c r="X753" s="52"/>
      <c r="Y753" s="52"/>
      <c r="Z753" s="37"/>
      <c r="AA753" s="18"/>
      <c r="AB753" s="18"/>
      <c r="AC753" s="18"/>
    </row>
    <row r="754" spans="23:29" customFormat="1" x14ac:dyDescent="0.25">
      <c r="W754" s="37"/>
      <c r="X754" s="52"/>
      <c r="Y754" s="52"/>
      <c r="Z754" s="37"/>
      <c r="AA754" s="18"/>
      <c r="AB754" s="18"/>
      <c r="AC754" s="18"/>
    </row>
    <row r="755" spans="23:29" customFormat="1" x14ac:dyDescent="0.25">
      <c r="W755" s="37"/>
      <c r="X755" s="52"/>
      <c r="Y755" s="52"/>
      <c r="Z755" s="37"/>
      <c r="AA755" s="18"/>
      <c r="AB755" s="18"/>
      <c r="AC755" s="18"/>
    </row>
    <row r="756" spans="23:29" customFormat="1" x14ac:dyDescent="0.25">
      <c r="W756" s="37"/>
      <c r="X756" s="52"/>
      <c r="Y756" s="52"/>
      <c r="Z756" s="37"/>
      <c r="AA756" s="18"/>
      <c r="AB756" s="18"/>
      <c r="AC756" s="18"/>
    </row>
    <row r="757" spans="23:29" customFormat="1" x14ac:dyDescent="0.25">
      <c r="W757" s="37"/>
      <c r="X757" s="52"/>
      <c r="Y757" s="52"/>
      <c r="Z757" s="37"/>
      <c r="AA757" s="18"/>
      <c r="AB757" s="18"/>
      <c r="AC757" s="18"/>
    </row>
    <row r="758" spans="23:29" customFormat="1" x14ac:dyDescent="0.25">
      <c r="W758" s="37"/>
      <c r="X758" s="52"/>
      <c r="Y758" s="52"/>
      <c r="Z758" s="37"/>
      <c r="AA758" s="18"/>
      <c r="AB758" s="18"/>
      <c r="AC758" s="18"/>
    </row>
    <row r="759" spans="23:29" customFormat="1" x14ac:dyDescent="0.25">
      <c r="W759" s="37"/>
      <c r="X759" s="52"/>
      <c r="Y759" s="52"/>
      <c r="Z759" s="37"/>
      <c r="AA759" s="18"/>
      <c r="AB759" s="18"/>
      <c r="AC759" s="18"/>
    </row>
    <row r="760" spans="23:29" customFormat="1" x14ac:dyDescent="0.25">
      <c r="W760" s="37"/>
      <c r="X760" s="52"/>
      <c r="Y760" s="52"/>
      <c r="Z760" s="37"/>
      <c r="AA760" s="18"/>
      <c r="AB760" s="18"/>
      <c r="AC760" s="18"/>
    </row>
    <row r="761" spans="23:29" customFormat="1" x14ac:dyDescent="0.25">
      <c r="W761" s="37"/>
      <c r="X761" s="52"/>
      <c r="Y761" s="52"/>
      <c r="Z761" s="37"/>
      <c r="AA761" s="18"/>
      <c r="AB761" s="18"/>
      <c r="AC761" s="18"/>
    </row>
    <row r="762" spans="23:29" customFormat="1" x14ac:dyDescent="0.25">
      <c r="W762" s="37"/>
      <c r="X762" s="52"/>
      <c r="Y762" s="52"/>
      <c r="Z762" s="37"/>
      <c r="AA762" s="18"/>
      <c r="AB762" s="18"/>
      <c r="AC762" s="18"/>
    </row>
    <row r="763" spans="23:29" customFormat="1" x14ac:dyDescent="0.25">
      <c r="W763" s="37"/>
      <c r="X763" s="52"/>
      <c r="Y763" s="52"/>
      <c r="Z763" s="37"/>
      <c r="AA763" s="18"/>
      <c r="AB763" s="18"/>
      <c r="AC763" s="18"/>
    </row>
    <row r="764" spans="23:29" customFormat="1" x14ac:dyDescent="0.25">
      <c r="W764" s="37"/>
      <c r="X764" s="52"/>
      <c r="Y764" s="52"/>
      <c r="Z764" s="37"/>
      <c r="AA764" s="18"/>
      <c r="AB764" s="18"/>
      <c r="AC764" s="18"/>
    </row>
    <row r="765" spans="23:29" customFormat="1" x14ac:dyDescent="0.25">
      <c r="W765" s="37"/>
      <c r="X765" s="52"/>
      <c r="Y765" s="52"/>
      <c r="Z765" s="37"/>
      <c r="AA765" s="18"/>
      <c r="AB765" s="18"/>
      <c r="AC765" s="18"/>
    </row>
    <row r="766" spans="23:29" customFormat="1" x14ac:dyDescent="0.25">
      <c r="W766" s="37"/>
      <c r="X766" s="52"/>
      <c r="Y766" s="52"/>
      <c r="Z766" s="37"/>
      <c r="AA766" s="18"/>
      <c r="AB766" s="18"/>
      <c r="AC766" s="18"/>
    </row>
    <row r="767" spans="23:29" customFormat="1" x14ac:dyDescent="0.25">
      <c r="W767" s="37"/>
      <c r="X767" s="52"/>
      <c r="Y767" s="52"/>
      <c r="Z767" s="37"/>
      <c r="AA767" s="18"/>
      <c r="AB767" s="18"/>
      <c r="AC767" s="18"/>
    </row>
    <row r="768" spans="23:29" customFormat="1" x14ac:dyDescent="0.25">
      <c r="W768" s="37"/>
      <c r="X768" s="52"/>
      <c r="Y768" s="52"/>
      <c r="Z768" s="37"/>
      <c r="AA768" s="18"/>
      <c r="AB768" s="18"/>
      <c r="AC768" s="18"/>
    </row>
    <row r="769" spans="23:29" customFormat="1" x14ac:dyDescent="0.25">
      <c r="W769" s="37"/>
      <c r="X769" s="52"/>
      <c r="Y769" s="52"/>
      <c r="Z769" s="37"/>
      <c r="AA769" s="18"/>
      <c r="AB769" s="18"/>
      <c r="AC769" s="18"/>
    </row>
    <row r="770" spans="23:29" customFormat="1" x14ac:dyDescent="0.25">
      <c r="W770" s="37"/>
      <c r="X770" s="52"/>
      <c r="Y770" s="52"/>
      <c r="Z770" s="37"/>
      <c r="AA770" s="18"/>
      <c r="AB770" s="18"/>
      <c r="AC770" s="18"/>
    </row>
    <row r="771" spans="23:29" customFormat="1" x14ac:dyDescent="0.25">
      <c r="W771" s="37"/>
      <c r="X771" s="52"/>
      <c r="Y771" s="52"/>
      <c r="Z771" s="37"/>
      <c r="AA771" s="18"/>
      <c r="AB771" s="18"/>
      <c r="AC771" s="18"/>
    </row>
    <row r="772" spans="23:29" customFormat="1" x14ac:dyDescent="0.25">
      <c r="W772" s="37"/>
      <c r="X772" s="52"/>
      <c r="Y772" s="52"/>
      <c r="Z772" s="37"/>
      <c r="AA772" s="18"/>
      <c r="AB772" s="18"/>
      <c r="AC772" s="18"/>
    </row>
    <row r="773" spans="23:29" customFormat="1" x14ac:dyDescent="0.25">
      <c r="W773" s="37"/>
      <c r="X773" s="52"/>
      <c r="Y773" s="52"/>
      <c r="Z773" s="37"/>
      <c r="AA773" s="18"/>
      <c r="AB773" s="18"/>
      <c r="AC773" s="18"/>
    </row>
    <row r="774" spans="23:29" customFormat="1" x14ac:dyDescent="0.25">
      <c r="W774" s="37"/>
      <c r="X774" s="52"/>
      <c r="Y774" s="52"/>
      <c r="Z774" s="37"/>
      <c r="AA774" s="18"/>
      <c r="AB774" s="18"/>
      <c r="AC774" s="18"/>
    </row>
    <row r="775" spans="23:29" customFormat="1" x14ac:dyDescent="0.25">
      <c r="W775" s="37"/>
      <c r="X775" s="52"/>
      <c r="Y775" s="52"/>
      <c r="Z775" s="37"/>
      <c r="AA775" s="18"/>
      <c r="AB775" s="18"/>
      <c r="AC775" s="18"/>
    </row>
    <row r="776" spans="23:29" customFormat="1" x14ac:dyDescent="0.25">
      <c r="W776" s="37"/>
      <c r="X776" s="52"/>
      <c r="Y776" s="52"/>
      <c r="Z776" s="37"/>
      <c r="AA776" s="18"/>
      <c r="AB776" s="18"/>
      <c r="AC776" s="18"/>
    </row>
    <row r="777" spans="23:29" customFormat="1" x14ac:dyDescent="0.25">
      <c r="W777" s="37"/>
      <c r="X777" s="52"/>
      <c r="Y777" s="52"/>
      <c r="Z777" s="37"/>
      <c r="AA777" s="18"/>
      <c r="AB777" s="18"/>
      <c r="AC777" s="18"/>
    </row>
    <row r="778" spans="23:29" customFormat="1" x14ac:dyDescent="0.25">
      <c r="W778" s="37"/>
      <c r="X778" s="52"/>
      <c r="Y778" s="52"/>
      <c r="Z778" s="37"/>
      <c r="AA778" s="18"/>
      <c r="AB778" s="18"/>
      <c r="AC778" s="18"/>
    </row>
    <row r="779" spans="23:29" customFormat="1" x14ac:dyDescent="0.25">
      <c r="W779" s="37"/>
      <c r="X779" s="52"/>
      <c r="Y779" s="52"/>
      <c r="Z779" s="37"/>
      <c r="AA779" s="18"/>
      <c r="AB779" s="18"/>
      <c r="AC779" s="18"/>
    </row>
    <row r="780" spans="23:29" customFormat="1" x14ac:dyDescent="0.25">
      <c r="W780" s="37"/>
      <c r="X780" s="52"/>
      <c r="Y780" s="52"/>
      <c r="Z780" s="37"/>
      <c r="AA780" s="18"/>
      <c r="AB780" s="18"/>
      <c r="AC780" s="18"/>
    </row>
    <row r="781" spans="23:29" customFormat="1" x14ac:dyDescent="0.25">
      <c r="W781" s="37"/>
      <c r="X781" s="52"/>
      <c r="Y781" s="52"/>
      <c r="Z781" s="37"/>
      <c r="AA781" s="18"/>
      <c r="AB781" s="18"/>
      <c r="AC781" s="18"/>
    </row>
    <row r="782" spans="23:29" customFormat="1" x14ac:dyDescent="0.25">
      <c r="W782" s="37"/>
      <c r="X782" s="52"/>
      <c r="Y782" s="52"/>
      <c r="Z782" s="37"/>
      <c r="AA782" s="18"/>
      <c r="AB782" s="18"/>
      <c r="AC782" s="18"/>
    </row>
    <row r="783" spans="23:29" customFormat="1" x14ac:dyDescent="0.25">
      <c r="W783" s="37"/>
      <c r="X783" s="52"/>
      <c r="Y783" s="52"/>
      <c r="Z783" s="37"/>
      <c r="AA783" s="18"/>
      <c r="AB783" s="18"/>
      <c r="AC783" s="18"/>
    </row>
    <row r="784" spans="23:29" customFormat="1" x14ac:dyDescent="0.25">
      <c r="W784" s="37"/>
      <c r="X784" s="52"/>
      <c r="Y784" s="52"/>
      <c r="Z784" s="37"/>
      <c r="AA784" s="18"/>
      <c r="AB784" s="18"/>
      <c r="AC784" s="18"/>
    </row>
    <row r="785" spans="23:29" customFormat="1" x14ac:dyDescent="0.25">
      <c r="W785" s="37"/>
      <c r="X785" s="52"/>
      <c r="Y785" s="52"/>
      <c r="Z785" s="37"/>
      <c r="AA785" s="18"/>
      <c r="AB785" s="18"/>
      <c r="AC785" s="18"/>
    </row>
    <row r="786" spans="23:29" customFormat="1" x14ac:dyDescent="0.25">
      <c r="W786" s="37"/>
      <c r="X786" s="52"/>
      <c r="Y786" s="52"/>
      <c r="Z786" s="37"/>
      <c r="AA786" s="18"/>
      <c r="AB786" s="18"/>
      <c r="AC786" s="18"/>
    </row>
    <row r="787" spans="23:29" customFormat="1" x14ac:dyDescent="0.25">
      <c r="W787" s="37"/>
      <c r="X787" s="52"/>
      <c r="Y787" s="52"/>
      <c r="Z787" s="37"/>
      <c r="AA787" s="18"/>
      <c r="AB787" s="18"/>
      <c r="AC787" s="18"/>
    </row>
    <row r="788" spans="23:29" customFormat="1" x14ac:dyDescent="0.25">
      <c r="W788" s="37"/>
      <c r="X788" s="52"/>
      <c r="Y788" s="52"/>
      <c r="Z788" s="37"/>
      <c r="AA788" s="18"/>
      <c r="AB788" s="18"/>
      <c r="AC788" s="18"/>
    </row>
    <row r="789" spans="23:29" customFormat="1" x14ac:dyDescent="0.25">
      <c r="W789" s="37"/>
      <c r="X789" s="52"/>
      <c r="Y789" s="52"/>
      <c r="Z789" s="37"/>
      <c r="AA789" s="18"/>
      <c r="AB789" s="18"/>
      <c r="AC789" s="18"/>
    </row>
    <row r="790" spans="23:29" customFormat="1" x14ac:dyDescent="0.25">
      <c r="W790" s="37"/>
      <c r="X790" s="52"/>
      <c r="Y790" s="52"/>
      <c r="Z790" s="37"/>
      <c r="AA790" s="18"/>
      <c r="AB790" s="18"/>
      <c r="AC790" s="18"/>
    </row>
    <row r="791" spans="23:29" customFormat="1" x14ac:dyDescent="0.25">
      <c r="W791" s="37"/>
      <c r="X791" s="52"/>
      <c r="Y791" s="52"/>
      <c r="Z791" s="37"/>
      <c r="AA791" s="18"/>
      <c r="AB791" s="18"/>
      <c r="AC791" s="18"/>
    </row>
    <row r="792" spans="23:29" customFormat="1" x14ac:dyDescent="0.25">
      <c r="W792" s="37"/>
      <c r="X792" s="52"/>
      <c r="Y792" s="52"/>
      <c r="Z792" s="37"/>
      <c r="AA792" s="18"/>
      <c r="AB792" s="18"/>
      <c r="AC792" s="18"/>
    </row>
    <row r="793" spans="23:29" customFormat="1" x14ac:dyDescent="0.25">
      <c r="W793" s="37"/>
      <c r="X793" s="52"/>
      <c r="Y793" s="52"/>
      <c r="Z793" s="37"/>
      <c r="AA793" s="18"/>
      <c r="AB793" s="18"/>
      <c r="AC793" s="18"/>
    </row>
    <row r="794" spans="23:29" customFormat="1" x14ac:dyDescent="0.25">
      <c r="W794" s="37"/>
      <c r="X794" s="52"/>
      <c r="Y794" s="52"/>
      <c r="Z794" s="37"/>
      <c r="AA794" s="18"/>
      <c r="AB794" s="18"/>
      <c r="AC794" s="18"/>
    </row>
    <row r="795" spans="23:29" customFormat="1" x14ac:dyDescent="0.25">
      <c r="W795" s="37"/>
      <c r="X795" s="52"/>
      <c r="Y795" s="52"/>
      <c r="Z795" s="37"/>
      <c r="AA795" s="18"/>
      <c r="AB795" s="18"/>
      <c r="AC795" s="18"/>
    </row>
    <row r="796" spans="23:29" customFormat="1" x14ac:dyDescent="0.25">
      <c r="W796" s="37"/>
      <c r="X796" s="52"/>
      <c r="Y796" s="52"/>
      <c r="Z796" s="37"/>
      <c r="AA796" s="18"/>
      <c r="AB796" s="18"/>
      <c r="AC796" s="18"/>
    </row>
    <row r="797" spans="23:29" customFormat="1" x14ac:dyDescent="0.25">
      <c r="W797" s="37"/>
      <c r="X797" s="52"/>
      <c r="Y797" s="52"/>
      <c r="Z797" s="37"/>
      <c r="AA797" s="18"/>
      <c r="AB797" s="18"/>
      <c r="AC797" s="18"/>
    </row>
    <row r="798" spans="23:29" customFormat="1" x14ac:dyDescent="0.25">
      <c r="W798" s="37"/>
      <c r="X798" s="52"/>
      <c r="Y798" s="52"/>
      <c r="Z798" s="37"/>
      <c r="AA798" s="18"/>
      <c r="AB798" s="18"/>
      <c r="AC798" s="18"/>
    </row>
    <row r="799" spans="23:29" customFormat="1" x14ac:dyDescent="0.25">
      <c r="W799" s="37"/>
      <c r="X799" s="52"/>
      <c r="Y799" s="52"/>
      <c r="Z799" s="37"/>
      <c r="AA799" s="18"/>
      <c r="AB799" s="18"/>
      <c r="AC799" s="18"/>
    </row>
    <row r="800" spans="23:29" customFormat="1" x14ac:dyDescent="0.25">
      <c r="W800" s="37"/>
      <c r="X800" s="52"/>
      <c r="Y800" s="52"/>
      <c r="Z800" s="37"/>
      <c r="AA800" s="18"/>
      <c r="AB800" s="18"/>
      <c r="AC800" s="18"/>
    </row>
    <row r="801" spans="23:29" customFormat="1" x14ac:dyDescent="0.25">
      <c r="W801" s="37"/>
      <c r="X801" s="52"/>
      <c r="Y801" s="52"/>
      <c r="Z801" s="37"/>
      <c r="AA801" s="18"/>
      <c r="AB801" s="18"/>
      <c r="AC801" s="18"/>
    </row>
    <row r="802" spans="23:29" customFormat="1" x14ac:dyDescent="0.25">
      <c r="W802" s="37"/>
      <c r="X802" s="52"/>
      <c r="Y802" s="52"/>
      <c r="Z802" s="37"/>
      <c r="AA802" s="18"/>
      <c r="AB802" s="18"/>
      <c r="AC802" s="18"/>
    </row>
    <row r="803" spans="23:29" customFormat="1" x14ac:dyDescent="0.25">
      <c r="W803" s="37"/>
      <c r="X803" s="52"/>
      <c r="Y803" s="52"/>
      <c r="Z803" s="37"/>
      <c r="AA803" s="18"/>
      <c r="AB803" s="18"/>
      <c r="AC803" s="18"/>
    </row>
    <row r="804" spans="23:29" customFormat="1" x14ac:dyDescent="0.25">
      <c r="W804" s="37"/>
      <c r="X804" s="52"/>
      <c r="Y804" s="52"/>
      <c r="Z804" s="37"/>
      <c r="AA804" s="18"/>
      <c r="AB804" s="18"/>
      <c r="AC804" s="18"/>
    </row>
    <row r="805" spans="23:29" customFormat="1" x14ac:dyDescent="0.25">
      <c r="W805" s="37"/>
      <c r="X805" s="52"/>
      <c r="Y805" s="52"/>
      <c r="Z805" s="37"/>
      <c r="AA805" s="18"/>
      <c r="AB805" s="18"/>
      <c r="AC805" s="18"/>
    </row>
    <row r="806" spans="23:29" customFormat="1" x14ac:dyDescent="0.25">
      <c r="W806" s="37"/>
      <c r="X806" s="52"/>
      <c r="Y806" s="52"/>
      <c r="Z806" s="37"/>
      <c r="AA806" s="18"/>
      <c r="AB806" s="18"/>
      <c r="AC806" s="18"/>
    </row>
    <row r="807" spans="23:29" customFormat="1" x14ac:dyDescent="0.25">
      <c r="W807" s="37"/>
      <c r="X807" s="52"/>
      <c r="Y807" s="52"/>
      <c r="Z807" s="37"/>
      <c r="AA807" s="18"/>
      <c r="AB807" s="18"/>
      <c r="AC807" s="18"/>
    </row>
    <row r="808" spans="23:29" customFormat="1" x14ac:dyDescent="0.25">
      <c r="W808" s="37"/>
      <c r="X808" s="52"/>
      <c r="Y808" s="52"/>
      <c r="Z808" s="37"/>
      <c r="AA808" s="18"/>
      <c r="AB808" s="18"/>
      <c r="AC808" s="18"/>
    </row>
    <row r="809" spans="23:29" customFormat="1" x14ac:dyDescent="0.25">
      <c r="W809" s="37"/>
      <c r="X809" s="52"/>
      <c r="Y809" s="52"/>
      <c r="Z809" s="37"/>
      <c r="AA809" s="18"/>
      <c r="AB809" s="18"/>
      <c r="AC809" s="18"/>
    </row>
    <row r="810" spans="23:29" customFormat="1" x14ac:dyDescent="0.25">
      <c r="W810" s="37"/>
      <c r="X810" s="52"/>
      <c r="Y810" s="52"/>
      <c r="Z810" s="37"/>
      <c r="AA810" s="18"/>
      <c r="AB810" s="18"/>
      <c r="AC810" s="18"/>
    </row>
    <row r="811" spans="23:29" customFormat="1" x14ac:dyDescent="0.25">
      <c r="W811" s="37"/>
      <c r="X811" s="52"/>
      <c r="Y811" s="52"/>
      <c r="Z811" s="37"/>
      <c r="AA811" s="18"/>
      <c r="AB811" s="18"/>
      <c r="AC811" s="18"/>
    </row>
    <row r="812" spans="23:29" customFormat="1" x14ac:dyDescent="0.25">
      <c r="W812" s="37"/>
      <c r="X812" s="52"/>
      <c r="Y812" s="52"/>
      <c r="Z812" s="37"/>
      <c r="AA812" s="18"/>
      <c r="AB812" s="18"/>
      <c r="AC812" s="18"/>
    </row>
    <row r="813" spans="23:29" customFormat="1" x14ac:dyDescent="0.25">
      <c r="W813" s="37"/>
      <c r="X813" s="52"/>
      <c r="Y813" s="52"/>
      <c r="Z813" s="37"/>
      <c r="AA813" s="18"/>
      <c r="AB813" s="18"/>
      <c r="AC813" s="18"/>
    </row>
    <row r="814" spans="23:29" customFormat="1" x14ac:dyDescent="0.25">
      <c r="W814" s="37"/>
      <c r="X814" s="52"/>
      <c r="Y814" s="52"/>
      <c r="Z814" s="37"/>
      <c r="AA814" s="18"/>
      <c r="AB814" s="18"/>
      <c r="AC814" s="18"/>
    </row>
    <row r="815" spans="23:29" customFormat="1" x14ac:dyDescent="0.25">
      <c r="W815" s="37"/>
      <c r="X815" s="52"/>
      <c r="Y815" s="52"/>
      <c r="Z815" s="37"/>
      <c r="AA815" s="18"/>
      <c r="AB815" s="18"/>
      <c r="AC815" s="18"/>
    </row>
    <row r="816" spans="23:29" customFormat="1" x14ac:dyDescent="0.25">
      <c r="W816" s="37"/>
      <c r="X816" s="52"/>
      <c r="Y816" s="52"/>
      <c r="Z816" s="37"/>
      <c r="AA816" s="18"/>
      <c r="AB816" s="18"/>
      <c r="AC816" s="18"/>
    </row>
    <row r="817" spans="23:29" customFormat="1" x14ac:dyDescent="0.25">
      <c r="W817" s="37"/>
      <c r="X817" s="52"/>
      <c r="Y817" s="52"/>
      <c r="Z817" s="37"/>
      <c r="AA817" s="18"/>
      <c r="AB817" s="18"/>
      <c r="AC817" s="18"/>
    </row>
    <row r="818" spans="23:29" customFormat="1" x14ac:dyDescent="0.25">
      <c r="W818" s="37"/>
      <c r="X818" s="52"/>
      <c r="Y818" s="52"/>
      <c r="Z818" s="37"/>
      <c r="AA818" s="18"/>
      <c r="AB818" s="18"/>
      <c r="AC818" s="18"/>
    </row>
    <row r="819" spans="23:29" customFormat="1" x14ac:dyDescent="0.25">
      <c r="W819" s="37"/>
      <c r="X819" s="52"/>
      <c r="Y819" s="52"/>
      <c r="Z819" s="37"/>
      <c r="AA819" s="18"/>
      <c r="AB819" s="18"/>
      <c r="AC819" s="18"/>
    </row>
    <row r="820" spans="23:29" customFormat="1" x14ac:dyDescent="0.25">
      <c r="W820" s="37"/>
      <c r="X820" s="52"/>
      <c r="Y820" s="52"/>
      <c r="Z820" s="37"/>
      <c r="AA820" s="18"/>
      <c r="AB820" s="18"/>
      <c r="AC820" s="18"/>
    </row>
    <row r="821" spans="23:29" customFormat="1" x14ac:dyDescent="0.25">
      <c r="W821" s="37"/>
      <c r="X821" s="52"/>
      <c r="Y821" s="52"/>
      <c r="Z821" s="37"/>
      <c r="AA821" s="18"/>
      <c r="AB821" s="18"/>
      <c r="AC821" s="18"/>
    </row>
    <row r="822" spans="23:29" customFormat="1" x14ac:dyDescent="0.25">
      <c r="W822" s="37"/>
      <c r="X822" s="52"/>
      <c r="Y822" s="52"/>
      <c r="Z822" s="37"/>
      <c r="AA822" s="18"/>
      <c r="AB822" s="18"/>
      <c r="AC822" s="18"/>
    </row>
    <row r="823" spans="23:29" customFormat="1" x14ac:dyDescent="0.25">
      <c r="W823" s="37"/>
      <c r="X823" s="52"/>
      <c r="Y823" s="52"/>
      <c r="Z823" s="37"/>
      <c r="AA823" s="18"/>
      <c r="AB823" s="18"/>
      <c r="AC823" s="18"/>
    </row>
    <row r="824" spans="23:29" customFormat="1" x14ac:dyDescent="0.25">
      <c r="W824" s="37"/>
      <c r="X824" s="52"/>
      <c r="Y824" s="52"/>
      <c r="Z824" s="37"/>
      <c r="AA824" s="18"/>
      <c r="AB824" s="18"/>
      <c r="AC824" s="18"/>
    </row>
    <row r="825" spans="23:29" customFormat="1" x14ac:dyDescent="0.25">
      <c r="W825" s="37"/>
      <c r="X825" s="52"/>
      <c r="Y825" s="52"/>
      <c r="Z825" s="37"/>
      <c r="AA825" s="18"/>
      <c r="AB825" s="18"/>
      <c r="AC825" s="18"/>
    </row>
    <row r="826" spans="23:29" customFormat="1" x14ac:dyDescent="0.25">
      <c r="W826" s="37"/>
      <c r="X826" s="52"/>
      <c r="Y826" s="52"/>
      <c r="Z826" s="37"/>
      <c r="AA826" s="18"/>
      <c r="AB826" s="18"/>
      <c r="AC826" s="18"/>
    </row>
    <row r="827" spans="23:29" customFormat="1" x14ac:dyDescent="0.25">
      <c r="W827" s="37"/>
      <c r="X827" s="52"/>
      <c r="Y827" s="52"/>
      <c r="Z827" s="37"/>
      <c r="AA827" s="18"/>
      <c r="AB827" s="18"/>
      <c r="AC827" s="18"/>
    </row>
    <row r="828" spans="23:29" customFormat="1" x14ac:dyDescent="0.25">
      <c r="W828" s="37"/>
      <c r="X828" s="52"/>
      <c r="Y828" s="52"/>
      <c r="Z828" s="37"/>
      <c r="AA828" s="18"/>
      <c r="AB828" s="18"/>
      <c r="AC828" s="18"/>
    </row>
    <row r="829" spans="23:29" customFormat="1" x14ac:dyDescent="0.25">
      <c r="W829" s="37"/>
      <c r="X829" s="52"/>
      <c r="Y829" s="52"/>
      <c r="Z829" s="37"/>
      <c r="AA829" s="18"/>
      <c r="AB829" s="18"/>
      <c r="AC829" s="18"/>
    </row>
    <row r="830" spans="23:29" customFormat="1" x14ac:dyDescent="0.25">
      <c r="W830" s="37"/>
      <c r="X830" s="52"/>
      <c r="Y830" s="52"/>
      <c r="Z830" s="37"/>
      <c r="AA830" s="18"/>
      <c r="AB830" s="18"/>
      <c r="AC830" s="18"/>
    </row>
    <row r="831" spans="23:29" customFormat="1" x14ac:dyDescent="0.25">
      <c r="W831" s="37"/>
      <c r="X831" s="52"/>
      <c r="Y831" s="52"/>
      <c r="Z831" s="37"/>
      <c r="AA831" s="18"/>
      <c r="AB831" s="18"/>
      <c r="AC831" s="18"/>
    </row>
    <row r="832" spans="23:29" customFormat="1" x14ac:dyDescent="0.25">
      <c r="W832" s="37"/>
      <c r="X832" s="52"/>
      <c r="Y832" s="52"/>
      <c r="Z832" s="37"/>
      <c r="AA832" s="18"/>
      <c r="AB832" s="18"/>
      <c r="AC832" s="18"/>
    </row>
    <row r="833" spans="23:29" customFormat="1" x14ac:dyDescent="0.25">
      <c r="W833" s="37"/>
      <c r="X833" s="52"/>
      <c r="Y833" s="52"/>
      <c r="Z833" s="37"/>
      <c r="AA833" s="18"/>
      <c r="AB833" s="18"/>
      <c r="AC833" s="18"/>
    </row>
    <row r="834" spans="23:29" customFormat="1" x14ac:dyDescent="0.25">
      <c r="W834" s="37"/>
      <c r="X834" s="52"/>
      <c r="Y834" s="52"/>
      <c r="Z834" s="37"/>
      <c r="AA834" s="18"/>
      <c r="AB834" s="18"/>
      <c r="AC834" s="18"/>
    </row>
    <row r="835" spans="23:29" customFormat="1" x14ac:dyDescent="0.25">
      <c r="W835" s="37"/>
      <c r="X835" s="52"/>
      <c r="Y835" s="52"/>
      <c r="Z835" s="37"/>
      <c r="AA835" s="18"/>
      <c r="AB835" s="18"/>
      <c r="AC835" s="18"/>
    </row>
    <row r="836" spans="23:29" customFormat="1" x14ac:dyDescent="0.25">
      <c r="W836" s="37"/>
      <c r="X836" s="52"/>
      <c r="Y836" s="52"/>
      <c r="Z836" s="37"/>
      <c r="AA836" s="18"/>
      <c r="AB836" s="18"/>
      <c r="AC836" s="18"/>
    </row>
    <row r="837" spans="23:29" customFormat="1" x14ac:dyDescent="0.25">
      <c r="W837" s="37"/>
      <c r="X837" s="52"/>
      <c r="Y837" s="52"/>
      <c r="Z837" s="37"/>
      <c r="AA837" s="18"/>
      <c r="AB837" s="18"/>
      <c r="AC837" s="18"/>
    </row>
    <row r="838" spans="23:29" customFormat="1" x14ac:dyDescent="0.25">
      <c r="W838" s="37"/>
      <c r="X838" s="52"/>
      <c r="Y838" s="52"/>
      <c r="Z838" s="37"/>
      <c r="AA838" s="18"/>
      <c r="AB838" s="18"/>
      <c r="AC838" s="18"/>
    </row>
    <row r="839" spans="23:29" customFormat="1" x14ac:dyDescent="0.25">
      <c r="W839" s="37"/>
      <c r="X839" s="52"/>
      <c r="Y839" s="52"/>
      <c r="Z839" s="37"/>
      <c r="AA839" s="18"/>
      <c r="AB839" s="18"/>
      <c r="AC839" s="18"/>
    </row>
    <row r="840" spans="23:29" customFormat="1" x14ac:dyDescent="0.25">
      <c r="W840" s="37"/>
      <c r="X840" s="52"/>
      <c r="Y840" s="52"/>
      <c r="Z840" s="37"/>
      <c r="AA840" s="18"/>
      <c r="AB840" s="18"/>
      <c r="AC840" s="18"/>
    </row>
    <row r="841" spans="23:29" customFormat="1" x14ac:dyDescent="0.25">
      <c r="W841" s="37"/>
      <c r="X841" s="52"/>
      <c r="Y841" s="52"/>
      <c r="Z841" s="37"/>
      <c r="AA841" s="18"/>
      <c r="AB841" s="18"/>
      <c r="AC841" s="18"/>
    </row>
    <row r="842" spans="23:29" customFormat="1" x14ac:dyDescent="0.25">
      <c r="W842" s="37"/>
      <c r="X842" s="52"/>
      <c r="Y842" s="52"/>
      <c r="Z842" s="37"/>
      <c r="AA842" s="18"/>
      <c r="AB842" s="18"/>
      <c r="AC842" s="18"/>
    </row>
    <row r="843" spans="23:29" customFormat="1" x14ac:dyDescent="0.25">
      <c r="W843" s="37"/>
      <c r="X843" s="52"/>
      <c r="Y843" s="52"/>
      <c r="Z843" s="37"/>
      <c r="AA843" s="18"/>
      <c r="AB843" s="18"/>
      <c r="AC843" s="18"/>
    </row>
    <row r="844" spans="23:29" customFormat="1" x14ac:dyDescent="0.25">
      <c r="W844" s="37"/>
      <c r="X844" s="52"/>
      <c r="Y844" s="52"/>
      <c r="Z844" s="37"/>
      <c r="AA844" s="18"/>
      <c r="AB844" s="18"/>
      <c r="AC844" s="18"/>
    </row>
    <row r="845" spans="23:29" customFormat="1" x14ac:dyDescent="0.25">
      <c r="W845" s="37"/>
      <c r="X845" s="52"/>
      <c r="Y845" s="52"/>
      <c r="Z845" s="37"/>
      <c r="AA845" s="18"/>
      <c r="AB845" s="18"/>
      <c r="AC845" s="18"/>
    </row>
    <row r="846" spans="23:29" customFormat="1" x14ac:dyDescent="0.25">
      <c r="W846" s="37"/>
      <c r="X846" s="52"/>
      <c r="Y846" s="52"/>
      <c r="Z846" s="37"/>
      <c r="AA846" s="18"/>
      <c r="AB846" s="18"/>
      <c r="AC846" s="18"/>
    </row>
    <row r="847" spans="23:29" customFormat="1" x14ac:dyDescent="0.25">
      <c r="W847" s="37"/>
      <c r="X847" s="52"/>
      <c r="Y847" s="52"/>
      <c r="Z847" s="37"/>
      <c r="AA847" s="18"/>
      <c r="AB847" s="18"/>
      <c r="AC847" s="18"/>
    </row>
    <row r="848" spans="23:29" customFormat="1" x14ac:dyDescent="0.25">
      <c r="W848" s="37"/>
      <c r="X848" s="52"/>
      <c r="Y848" s="52"/>
      <c r="Z848" s="37"/>
      <c r="AA848" s="18"/>
      <c r="AB848" s="18"/>
      <c r="AC848" s="18"/>
    </row>
    <row r="849" spans="23:29" customFormat="1" x14ac:dyDescent="0.25">
      <c r="W849" s="37"/>
      <c r="X849" s="52"/>
      <c r="Y849" s="52"/>
      <c r="Z849" s="37"/>
      <c r="AA849" s="18"/>
      <c r="AB849" s="18"/>
      <c r="AC849" s="18"/>
    </row>
    <row r="850" spans="23:29" customFormat="1" x14ac:dyDescent="0.25">
      <c r="W850" s="37"/>
      <c r="X850" s="52"/>
      <c r="Y850" s="52"/>
      <c r="Z850" s="37"/>
      <c r="AA850" s="18"/>
      <c r="AB850" s="18"/>
      <c r="AC850" s="18"/>
    </row>
    <row r="851" spans="23:29" customFormat="1" x14ac:dyDescent="0.25">
      <c r="W851" s="37"/>
      <c r="X851" s="52"/>
      <c r="Y851" s="52"/>
      <c r="Z851" s="37"/>
      <c r="AA851" s="18"/>
      <c r="AB851" s="18"/>
      <c r="AC851" s="18"/>
    </row>
    <row r="852" spans="23:29" customFormat="1" x14ac:dyDescent="0.25">
      <c r="W852" s="37"/>
      <c r="X852" s="52"/>
      <c r="Y852" s="52"/>
      <c r="Z852" s="37"/>
      <c r="AA852" s="18"/>
      <c r="AB852" s="18"/>
      <c r="AC852" s="18"/>
    </row>
    <row r="853" spans="23:29" customFormat="1" x14ac:dyDescent="0.25">
      <c r="W853" s="37"/>
      <c r="X853" s="52"/>
      <c r="Y853" s="52"/>
      <c r="Z853" s="37"/>
      <c r="AA853" s="18"/>
      <c r="AB853" s="18"/>
      <c r="AC853" s="18"/>
    </row>
    <row r="854" spans="23:29" customFormat="1" x14ac:dyDescent="0.25">
      <c r="W854" s="37"/>
      <c r="X854" s="52"/>
      <c r="Y854" s="52"/>
      <c r="Z854" s="37"/>
      <c r="AA854" s="18"/>
      <c r="AB854" s="18"/>
      <c r="AC854" s="18"/>
    </row>
    <row r="855" spans="23:29" customFormat="1" x14ac:dyDescent="0.25">
      <c r="W855" s="37"/>
      <c r="X855" s="52"/>
      <c r="Y855" s="52"/>
      <c r="Z855" s="37"/>
      <c r="AA855" s="18"/>
      <c r="AB855" s="18"/>
      <c r="AC855" s="18"/>
    </row>
    <row r="856" spans="23:29" customFormat="1" x14ac:dyDescent="0.25">
      <c r="W856" s="37"/>
      <c r="X856" s="52"/>
      <c r="Y856" s="52"/>
      <c r="Z856" s="37"/>
      <c r="AA856" s="18"/>
      <c r="AB856" s="18"/>
      <c r="AC856" s="18"/>
    </row>
    <row r="857" spans="23:29" customFormat="1" x14ac:dyDescent="0.25">
      <c r="W857" s="37"/>
      <c r="X857" s="52"/>
      <c r="Y857" s="52"/>
      <c r="Z857" s="37"/>
      <c r="AA857" s="18"/>
      <c r="AB857" s="18"/>
      <c r="AC857" s="18"/>
    </row>
    <row r="858" spans="23:29" customFormat="1" x14ac:dyDescent="0.25">
      <c r="W858" s="37"/>
      <c r="X858" s="52"/>
      <c r="Y858" s="52"/>
      <c r="Z858" s="37"/>
      <c r="AA858" s="18"/>
      <c r="AB858" s="18"/>
      <c r="AC858" s="18"/>
    </row>
    <row r="859" spans="23:29" customFormat="1" x14ac:dyDescent="0.25">
      <c r="W859" s="37"/>
      <c r="X859" s="52"/>
      <c r="Y859" s="52"/>
      <c r="Z859" s="37"/>
      <c r="AA859" s="18"/>
      <c r="AB859" s="18"/>
      <c r="AC859" s="18"/>
    </row>
    <row r="860" spans="23:29" customFormat="1" x14ac:dyDescent="0.25">
      <c r="W860" s="37"/>
      <c r="X860" s="52"/>
      <c r="Y860" s="52"/>
      <c r="Z860" s="37"/>
      <c r="AA860" s="18"/>
      <c r="AB860" s="18"/>
      <c r="AC860" s="18"/>
    </row>
    <row r="861" spans="23:29" customFormat="1" x14ac:dyDescent="0.25">
      <c r="W861" s="37"/>
      <c r="X861" s="52"/>
      <c r="Y861" s="52"/>
      <c r="Z861" s="37"/>
      <c r="AA861" s="18"/>
      <c r="AB861" s="18"/>
      <c r="AC861" s="18"/>
    </row>
    <row r="862" spans="23:29" customFormat="1" x14ac:dyDescent="0.25">
      <c r="W862" s="37"/>
      <c r="X862" s="52"/>
      <c r="Y862" s="52"/>
      <c r="Z862" s="37"/>
      <c r="AA862" s="18"/>
      <c r="AB862" s="18"/>
      <c r="AC862" s="18"/>
    </row>
    <row r="863" spans="23:29" customFormat="1" x14ac:dyDescent="0.25">
      <c r="W863" s="37"/>
      <c r="X863" s="52"/>
      <c r="Y863" s="52"/>
      <c r="Z863" s="37"/>
      <c r="AA863" s="18"/>
      <c r="AB863" s="18"/>
      <c r="AC863" s="18"/>
    </row>
    <row r="864" spans="23:29" customFormat="1" x14ac:dyDescent="0.25">
      <c r="W864" s="37"/>
      <c r="X864" s="52"/>
      <c r="Y864" s="52"/>
      <c r="Z864" s="37"/>
      <c r="AA864" s="18"/>
      <c r="AB864" s="18"/>
      <c r="AC864" s="18"/>
    </row>
    <row r="865" spans="23:29" customFormat="1" x14ac:dyDescent="0.25">
      <c r="W865" s="37"/>
      <c r="X865" s="52"/>
      <c r="Y865" s="52"/>
      <c r="Z865" s="37"/>
      <c r="AA865" s="18"/>
      <c r="AB865" s="18"/>
      <c r="AC865" s="18"/>
    </row>
    <row r="866" spans="23:29" customFormat="1" x14ac:dyDescent="0.25">
      <c r="W866" s="37"/>
      <c r="X866" s="52"/>
      <c r="Y866" s="52"/>
      <c r="Z866" s="37"/>
      <c r="AA866" s="18"/>
      <c r="AB866" s="18"/>
      <c r="AC866" s="18"/>
    </row>
    <row r="867" spans="23:29" customFormat="1" x14ac:dyDescent="0.25">
      <c r="W867" s="37"/>
      <c r="X867" s="52"/>
      <c r="Y867" s="52"/>
      <c r="Z867" s="37"/>
      <c r="AA867" s="18"/>
      <c r="AB867" s="18"/>
      <c r="AC867" s="18"/>
    </row>
    <row r="868" spans="23:29" customFormat="1" x14ac:dyDescent="0.25">
      <c r="W868" s="37"/>
      <c r="X868" s="52"/>
      <c r="Y868" s="52"/>
      <c r="Z868" s="37"/>
      <c r="AA868" s="18"/>
      <c r="AB868" s="18"/>
      <c r="AC868" s="18"/>
    </row>
    <row r="869" spans="23:29" customFormat="1" x14ac:dyDescent="0.25">
      <c r="W869" s="37"/>
      <c r="X869" s="52"/>
      <c r="Y869" s="52"/>
      <c r="Z869" s="37"/>
      <c r="AA869" s="18"/>
      <c r="AB869" s="18"/>
      <c r="AC869" s="18"/>
    </row>
    <row r="870" spans="23:29" customFormat="1" x14ac:dyDescent="0.25">
      <c r="W870" s="37"/>
      <c r="X870" s="52"/>
      <c r="Y870" s="52"/>
      <c r="Z870" s="37"/>
      <c r="AA870" s="18"/>
      <c r="AB870" s="18"/>
      <c r="AC870" s="18"/>
    </row>
    <row r="871" spans="23:29" customFormat="1" x14ac:dyDescent="0.25">
      <c r="W871" s="37"/>
      <c r="X871" s="52"/>
      <c r="Y871" s="52"/>
      <c r="Z871" s="37"/>
      <c r="AA871" s="18"/>
      <c r="AB871" s="18"/>
      <c r="AC871" s="18"/>
    </row>
    <row r="872" spans="23:29" customFormat="1" x14ac:dyDescent="0.25">
      <c r="W872" s="37"/>
      <c r="X872" s="52"/>
      <c r="Y872" s="52"/>
      <c r="Z872" s="37"/>
      <c r="AA872" s="18"/>
      <c r="AB872" s="18"/>
      <c r="AC872" s="18"/>
    </row>
    <row r="873" spans="23:29" customFormat="1" x14ac:dyDescent="0.25">
      <c r="W873" s="37"/>
      <c r="X873" s="52"/>
      <c r="Y873" s="52"/>
      <c r="Z873" s="37"/>
      <c r="AA873" s="18"/>
      <c r="AB873" s="18"/>
      <c r="AC873" s="18"/>
    </row>
    <row r="874" spans="23:29" customFormat="1" x14ac:dyDescent="0.25">
      <c r="W874" s="37"/>
      <c r="X874" s="52"/>
      <c r="Y874" s="52"/>
      <c r="Z874" s="37"/>
      <c r="AA874" s="18"/>
      <c r="AB874" s="18"/>
      <c r="AC874" s="18"/>
    </row>
  </sheetData>
  <mergeCells count="8">
    <mergeCell ref="W31:Y31"/>
    <mergeCell ref="W32:Z32"/>
    <mergeCell ref="A1:AI1"/>
    <mergeCell ref="FO2:FQ2"/>
    <mergeCell ref="AA18:AC18"/>
    <mergeCell ref="FC27:FE27"/>
    <mergeCell ref="A28:B28"/>
    <mergeCell ref="FC28:FF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Z40"/>
  <sheetViews>
    <sheetView topLeftCell="EZ1" zoomScale="70" zoomScaleNormal="70" workbookViewId="0">
      <selection activeCell="GG3" sqref="GG3:GG11"/>
    </sheetView>
  </sheetViews>
  <sheetFormatPr defaultRowHeight="15" x14ac:dyDescent="0.25"/>
  <cols>
    <col min="1" max="1" width="6.5703125" customWidth="1"/>
    <col min="2" max="2" width="39.28515625" customWidth="1"/>
    <col min="3" max="3" width="4" style="1" customWidth="1"/>
    <col min="4" max="4" width="5.28515625" style="6" customWidth="1"/>
    <col min="5" max="5" width="8.140625" customWidth="1"/>
    <col min="6" max="6" width="10.85546875" customWidth="1"/>
    <col min="7" max="7" width="4" style="1" customWidth="1"/>
    <col min="8" max="8" width="5.28515625" style="6" customWidth="1"/>
    <col min="9" max="9" width="7.85546875" style="2" customWidth="1"/>
    <col min="10" max="10" width="11" style="2" customWidth="1"/>
    <col min="11" max="11" width="4" style="1" customWidth="1"/>
    <col min="12" max="12" width="5.28515625" style="6" customWidth="1"/>
    <col min="13" max="13" width="7.7109375" style="2" customWidth="1"/>
    <col min="14" max="14" width="10.7109375" style="2" customWidth="1"/>
    <col min="15" max="15" width="4.28515625" style="2" customWidth="1"/>
    <col min="16" max="17" width="7.7109375" style="2" customWidth="1"/>
    <col min="18" max="18" width="10.42578125" style="2" customWidth="1"/>
    <col min="19" max="19" width="4" style="1" customWidth="1"/>
    <col min="20" max="20" width="5.28515625" style="6" customWidth="1"/>
    <col min="21" max="21" width="8" style="2" customWidth="1"/>
    <col min="22" max="22" width="10" style="2" customWidth="1"/>
    <col min="23" max="23" width="3.85546875" customWidth="1"/>
    <col min="24" max="24" width="6.42578125" style="11" customWidth="1"/>
    <col min="25" max="25" width="9.140625" style="11" customWidth="1"/>
    <col min="26" max="26" width="10.28515625" customWidth="1"/>
    <col min="27" max="27" width="4.28515625" style="2" customWidth="1"/>
    <col min="28" max="28" width="5" style="2" customWidth="1"/>
    <col min="29" max="29" width="9.42578125" style="2" customWidth="1"/>
    <col min="30" max="30" width="10.28515625" style="2" customWidth="1"/>
    <col min="31" max="31" width="4" customWidth="1"/>
    <col min="32" max="32" width="7.5703125" customWidth="1"/>
    <col min="34" max="34" width="11" customWidth="1"/>
    <col min="35" max="35" width="5" customWidth="1"/>
    <col min="36" max="36" width="5.140625" customWidth="1"/>
    <col min="38" max="38" width="10.28515625" customWidth="1"/>
    <col min="39" max="39" width="4.7109375" customWidth="1"/>
    <col min="42" max="42" width="11.7109375" customWidth="1"/>
    <col min="43" max="43" width="4" customWidth="1"/>
    <col min="46" max="46" width="10.28515625" customWidth="1"/>
    <col min="47" max="106" width="6.7109375" customWidth="1"/>
    <col min="107" max="183" width="5.7109375" customWidth="1"/>
    <col min="184" max="184" width="8" customWidth="1"/>
    <col min="185" max="185" width="7.7109375" customWidth="1"/>
    <col min="186" max="186" width="7.5703125" customWidth="1"/>
    <col min="187" max="187" width="8" customWidth="1"/>
    <col min="188" max="188" width="5.7109375" customWidth="1"/>
    <col min="189" max="189" width="8" customWidth="1"/>
    <col min="190" max="190" width="12.140625" customWidth="1"/>
    <col min="191" max="234" width="5.7109375" customWidth="1"/>
  </cols>
  <sheetData>
    <row r="1" spans="1:234" ht="33.75" customHeight="1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spans="1:234" ht="70.5" customHeight="1" thickBot="1" x14ac:dyDescent="0.3">
      <c r="A2" s="23" t="s">
        <v>4</v>
      </c>
      <c r="B2" s="59" t="s">
        <v>5</v>
      </c>
      <c r="C2" s="3" t="s">
        <v>0</v>
      </c>
      <c r="D2" s="9" t="s">
        <v>2</v>
      </c>
      <c r="E2" s="7" t="s">
        <v>1</v>
      </c>
      <c r="F2" s="7" t="s">
        <v>6</v>
      </c>
      <c r="G2" s="3" t="s">
        <v>0</v>
      </c>
      <c r="H2" s="9" t="s">
        <v>2</v>
      </c>
      <c r="I2" s="7" t="s">
        <v>1</v>
      </c>
      <c r="J2" s="7" t="s">
        <v>6</v>
      </c>
      <c r="K2" s="3" t="s">
        <v>0</v>
      </c>
      <c r="L2" s="9" t="s">
        <v>2</v>
      </c>
      <c r="M2" s="7" t="s">
        <v>1</v>
      </c>
      <c r="N2" s="7" t="s">
        <v>6</v>
      </c>
      <c r="O2" s="3" t="s">
        <v>0</v>
      </c>
      <c r="P2" s="9" t="s">
        <v>2</v>
      </c>
      <c r="Q2" s="7" t="s">
        <v>1</v>
      </c>
      <c r="R2" s="7" t="s">
        <v>6</v>
      </c>
      <c r="S2" s="3" t="s">
        <v>0</v>
      </c>
      <c r="T2" s="9" t="s">
        <v>2</v>
      </c>
      <c r="U2" s="7" t="s">
        <v>1</v>
      </c>
      <c r="V2" s="7" t="s">
        <v>6</v>
      </c>
      <c r="W2" s="3" t="s">
        <v>0</v>
      </c>
      <c r="X2" s="9" t="s">
        <v>2</v>
      </c>
      <c r="Y2" s="7" t="s">
        <v>1</v>
      </c>
      <c r="Z2" s="7" t="s">
        <v>6</v>
      </c>
      <c r="AA2" s="3" t="s">
        <v>0</v>
      </c>
      <c r="AB2" s="9" t="s">
        <v>2</v>
      </c>
      <c r="AC2" s="7" t="s">
        <v>1</v>
      </c>
      <c r="AD2" s="7" t="s">
        <v>6</v>
      </c>
      <c r="AE2" s="3" t="s">
        <v>0</v>
      </c>
      <c r="AF2" s="9" t="s">
        <v>2</v>
      </c>
      <c r="AG2" s="7" t="s">
        <v>1</v>
      </c>
      <c r="AH2" s="7" t="s">
        <v>6</v>
      </c>
      <c r="AI2" s="3" t="s">
        <v>0</v>
      </c>
      <c r="AJ2" s="9" t="s">
        <v>2</v>
      </c>
      <c r="AK2" s="7" t="s">
        <v>1</v>
      </c>
      <c r="AL2" s="7" t="s">
        <v>6</v>
      </c>
      <c r="AM2" s="3" t="s">
        <v>0</v>
      </c>
      <c r="AN2" s="9" t="s">
        <v>2</v>
      </c>
      <c r="AO2" s="7" t="s">
        <v>1</v>
      </c>
      <c r="AP2" s="7" t="s">
        <v>6</v>
      </c>
      <c r="AQ2" s="3" t="s">
        <v>0</v>
      </c>
      <c r="AR2" s="9" t="s">
        <v>2</v>
      </c>
      <c r="AS2" s="7" t="s">
        <v>1</v>
      </c>
      <c r="AT2" s="7" t="s">
        <v>6</v>
      </c>
      <c r="AU2" s="3" t="s">
        <v>0</v>
      </c>
      <c r="AV2" s="9" t="s">
        <v>2</v>
      </c>
      <c r="AW2" s="7" t="s">
        <v>1</v>
      </c>
      <c r="AX2" s="7" t="s">
        <v>6</v>
      </c>
      <c r="AY2" s="3" t="s">
        <v>0</v>
      </c>
      <c r="AZ2" s="9" t="s">
        <v>2</v>
      </c>
      <c r="BA2" s="7" t="s">
        <v>1</v>
      </c>
      <c r="BB2" s="7" t="s">
        <v>6</v>
      </c>
      <c r="BC2" s="3" t="s">
        <v>0</v>
      </c>
      <c r="BD2" s="9" t="s">
        <v>2</v>
      </c>
      <c r="BE2" s="7" t="s">
        <v>1</v>
      </c>
      <c r="BF2" s="7" t="s">
        <v>6</v>
      </c>
      <c r="BG2" s="3" t="s">
        <v>0</v>
      </c>
      <c r="BH2" s="9" t="s">
        <v>2</v>
      </c>
      <c r="BI2" s="7" t="s">
        <v>1</v>
      </c>
      <c r="BJ2" s="7" t="s">
        <v>6</v>
      </c>
      <c r="BK2" s="3" t="s">
        <v>0</v>
      </c>
      <c r="BL2" s="9" t="s">
        <v>2</v>
      </c>
      <c r="BM2" s="7" t="s">
        <v>1</v>
      </c>
      <c r="BN2" s="7" t="s">
        <v>6</v>
      </c>
      <c r="BO2" s="3" t="s">
        <v>0</v>
      </c>
      <c r="BP2" s="9" t="s">
        <v>2</v>
      </c>
      <c r="BQ2" s="7" t="s">
        <v>1</v>
      </c>
      <c r="BR2" s="7" t="s">
        <v>6</v>
      </c>
      <c r="BS2" s="3" t="s">
        <v>0</v>
      </c>
      <c r="BT2" s="9" t="s">
        <v>2</v>
      </c>
      <c r="BU2" s="7" t="s">
        <v>1</v>
      </c>
      <c r="BV2" s="7" t="s">
        <v>6</v>
      </c>
      <c r="BW2" s="3" t="s">
        <v>0</v>
      </c>
      <c r="BX2" s="9" t="s">
        <v>2</v>
      </c>
      <c r="BY2" s="7" t="s">
        <v>1</v>
      </c>
      <c r="BZ2" s="7" t="s">
        <v>6</v>
      </c>
      <c r="CA2" s="3" t="s">
        <v>0</v>
      </c>
      <c r="CB2" s="9" t="s">
        <v>2</v>
      </c>
      <c r="CC2" s="7" t="s">
        <v>1</v>
      </c>
      <c r="CD2" s="7" t="s">
        <v>6</v>
      </c>
      <c r="CE2" s="3" t="s">
        <v>0</v>
      </c>
      <c r="CF2" s="9" t="s">
        <v>2</v>
      </c>
      <c r="CG2" s="7" t="s">
        <v>1</v>
      </c>
      <c r="CH2" s="7" t="s">
        <v>6</v>
      </c>
      <c r="CI2" s="3" t="s">
        <v>0</v>
      </c>
      <c r="CJ2" s="9" t="s">
        <v>2</v>
      </c>
      <c r="CK2" s="7" t="s">
        <v>1</v>
      </c>
      <c r="CL2" s="7" t="s">
        <v>6</v>
      </c>
      <c r="CM2" s="3" t="s">
        <v>0</v>
      </c>
      <c r="CN2" s="9" t="s">
        <v>2</v>
      </c>
      <c r="CO2" s="7" t="s">
        <v>1</v>
      </c>
      <c r="CP2" s="7" t="s">
        <v>6</v>
      </c>
      <c r="CQ2" s="3" t="s">
        <v>0</v>
      </c>
      <c r="CR2" s="9" t="s">
        <v>2</v>
      </c>
      <c r="CS2" s="7" t="s">
        <v>1</v>
      </c>
      <c r="CT2" s="7" t="s">
        <v>6</v>
      </c>
      <c r="CU2" s="3" t="s">
        <v>0</v>
      </c>
      <c r="CV2" s="9" t="s">
        <v>2</v>
      </c>
      <c r="CW2" s="7" t="s">
        <v>1</v>
      </c>
      <c r="CX2" s="7" t="s">
        <v>6</v>
      </c>
      <c r="CY2" s="3" t="s">
        <v>0</v>
      </c>
      <c r="CZ2" s="9" t="s">
        <v>2</v>
      </c>
      <c r="DA2" s="7" t="s">
        <v>1</v>
      </c>
      <c r="DB2" s="7" t="s">
        <v>6</v>
      </c>
      <c r="DC2" s="3" t="s">
        <v>0</v>
      </c>
      <c r="DD2" s="9" t="s">
        <v>2</v>
      </c>
      <c r="DE2" s="7" t="s">
        <v>1</v>
      </c>
      <c r="DF2" s="7" t="s">
        <v>6</v>
      </c>
      <c r="DG2" s="3" t="s">
        <v>0</v>
      </c>
      <c r="DH2" s="9" t="s">
        <v>2</v>
      </c>
      <c r="DI2" s="7" t="s">
        <v>1</v>
      </c>
      <c r="DJ2" s="7" t="s">
        <v>6</v>
      </c>
      <c r="DK2" s="3" t="s">
        <v>0</v>
      </c>
      <c r="DL2" s="9" t="s">
        <v>2</v>
      </c>
      <c r="DM2" s="7" t="s">
        <v>1</v>
      </c>
      <c r="DN2" s="7" t="s">
        <v>6</v>
      </c>
      <c r="DO2" s="3" t="s">
        <v>0</v>
      </c>
      <c r="DP2" s="9" t="s">
        <v>2</v>
      </c>
      <c r="DQ2" s="7" t="s">
        <v>1</v>
      </c>
      <c r="DR2" s="7" t="s">
        <v>6</v>
      </c>
      <c r="DS2" s="3" t="s">
        <v>0</v>
      </c>
      <c r="DT2" s="9" t="s">
        <v>2</v>
      </c>
      <c r="DU2" s="7" t="s">
        <v>1</v>
      </c>
      <c r="DV2" s="7" t="s">
        <v>6</v>
      </c>
      <c r="DW2" s="3" t="s">
        <v>0</v>
      </c>
      <c r="DX2" s="9" t="s">
        <v>2</v>
      </c>
      <c r="DY2" s="7" t="s">
        <v>1</v>
      </c>
      <c r="DZ2" s="7" t="s">
        <v>6</v>
      </c>
      <c r="EA2" s="3" t="s">
        <v>0</v>
      </c>
      <c r="EB2" s="9" t="s">
        <v>2</v>
      </c>
      <c r="EC2" s="7" t="s">
        <v>1</v>
      </c>
      <c r="ED2" s="7" t="s">
        <v>6</v>
      </c>
      <c r="EE2" s="3" t="s">
        <v>0</v>
      </c>
      <c r="EF2" s="9" t="s">
        <v>2</v>
      </c>
      <c r="EG2" s="7" t="s">
        <v>1</v>
      </c>
      <c r="EH2" s="7" t="s">
        <v>6</v>
      </c>
      <c r="EI2" s="3" t="s">
        <v>0</v>
      </c>
      <c r="EJ2" s="9" t="s">
        <v>2</v>
      </c>
      <c r="EK2" s="7" t="s">
        <v>1</v>
      </c>
      <c r="EL2" s="7" t="s">
        <v>6</v>
      </c>
      <c r="EM2" s="3" t="s">
        <v>0</v>
      </c>
      <c r="EN2" s="9" t="s">
        <v>2</v>
      </c>
      <c r="EO2" s="7" t="s">
        <v>1</v>
      </c>
      <c r="EP2" s="7" t="s">
        <v>6</v>
      </c>
      <c r="EQ2" s="3" t="s">
        <v>0</v>
      </c>
      <c r="ER2" s="9" t="s">
        <v>2</v>
      </c>
      <c r="ES2" s="7" t="s">
        <v>1</v>
      </c>
      <c r="ET2" s="7" t="s">
        <v>6</v>
      </c>
      <c r="EU2" s="3" t="s">
        <v>0</v>
      </c>
      <c r="EV2" s="9" t="s">
        <v>2</v>
      </c>
      <c r="EW2" s="7" t="s">
        <v>1</v>
      </c>
      <c r="EX2" s="7" t="s">
        <v>6</v>
      </c>
      <c r="EY2" s="3" t="s">
        <v>0</v>
      </c>
      <c r="EZ2" s="9" t="s">
        <v>2</v>
      </c>
      <c r="FA2" s="7" t="s">
        <v>1</v>
      </c>
      <c r="FB2" s="7" t="s">
        <v>6</v>
      </c>
      <c r="FC2" s="3" t="s">
        <v>0</v>
      </c>
      <c r="FD2" s="9" t="s">
        <v>2</v>
      </c>
      <c r="FE2" s="7" t="s">
        <v>1</v>
      </c>
      <c r="FF2" s="7" t="s">
        <v>6</v>
      </c>
      <c r="FG2" s="3" t="s">
        <v>0</v>
      </c>
      <c r="FH2" s="9" t="s">
        <v>2</v>
      </c>
      <c r="FI2" s="7" t="s">
        <v>1</v>
      </c>
      <c r="FJ2" s="7" t="s">
        <v>6</v>
      </c>
      <c r="FK2" s="3" t="s">
        <v>0</v>
      </c>
      <c r="FL2" s="9" t="s">
        <v>2</v>
      </c>
      <c r="FM2" s="7" t="s">
        <v>1</v>
      </c>
      <c r="FN2" s="7" t="s">
        <v>6</v>
      </c>
      <c r="FO2" s="3" t="s">
        <v>0</v>
      </c>
      <c r="FP2" s="9" t="s">
        <v>2</v>
      </c>
      <c r="FQ2" s="7" t="s">
        <v>1</v>
      </c>
      <c r="FR2" s="7" t="s">
        <v>6</v>
      </c>
      <c r="FS2" s="3" t="s">
        <v>0</v>
      </c>
      <c r="FT2" s="9" t="s">
        <v>2</v>
      </c>
      <c r="FU2" s="7" t="s">
        <v>1</v>
      </c>
      <c r="FV2" s="7" t="s">
        <v>6</v>
      </c>
      <c r="FW2" s="3" t="s">
        <v>0</v>
      </c>
      <c r="FX2" s="9" t="s">
        <v>2</v>
      </c>
      <c r="FY2" s="7" t="s">
        <v>1</v>
      </c>
      <c r="FZ2" s="63" t="s">
        <v>6</v>
      </c>
      <c r="GA2" s="49" t="s">
        <v>19</v>
      </c>
      <c r="GB2" s="10" t="s">
        <v>20</v>
      </c>
      <c r="GC2" s="10" t="s">
        <v>21</v>
      </c>
      <c r="GD2" s="10" t="s">
        <v>22</v>
      </c>
      <c r="GE2" s="81" t="s">
        <v>23</v>
      </c>
      <c r="GF2" s="81"/>
      <c r="GG2" s="81"/>
      <c r="GH2" s="22" t="s">
        <v>24</v>
      </c>
      <c r="GI2" s="64"/>
      <c r="GJ2" s="48"/>
      <c r="GK2" s="48"/>
      <c r="GL2" s="48"/>
      <c r="GM2" s="64"/>
      <c r="GN2" s="48"/>
      <c r="GO2" s="48"/>
      <c r="GP2" s="48"/>
      <c r="GQ2" s="64"/>
      <c r="GR2" s="48"/>
      <c r="GS2" s="48"/>
      <c r="GT2" s="48"/>
      <c r="GU2" s="64"/>
      <c r="GV2" s="48"/>
      <c r="GW2" s="48"/>
      <c r="GX2" s="48"/>
      <c r="GY2" s="64"/>
      <c r="GZ2" s="48"/>
      <c r="HA2" s="48"/>
      <c r="HB2" s="48"/>
      <c r="HC2" s="64"/>
      <c r="HD2" s="48"/>
      <c r="HE2" s="48"/>
      <c r="HF2" s="48"/>
      <c r="HG2" s="64"/>
      <c r="HH2" s="48"/>
      <c r="HI2" s="48"/>
      <c r="HJ2" s="48"/>
      <c r="HK2" s="64"/>
      <c r="HL2" s="48"/>
      <c r="HM2" s="48"/>
      <c r="HN2" s="48"/>
      <c r="HO2" s="64"/>
      <c r="HP2" s="48"/>
      <c r="HQ2" s="48"/>
      <c r="HR2" s="48"/>
      <c r="HS2" s="64"/>
      <c r="HT2" s="48"/>
      <c r="HU2" s="48"/>
      <c r="HV2" s="48"/>
      <c r="HW2" s="64"/>
      <c r="HX2" s="48"/>
      <c r="HY2" s="48"/>
      <c r="HZ2" s="48"/>
    </row>
    <row r="3" spans="1:234" ht="72" customHeight="1" thickBot="1" x14ac:dyDescent="0.3">
      <c r="A3" s="21">
        <v>1</v>
      </c>
      <c r="B3" s="30" t="s">
        <v>13</v>
      </c>
      <c r="C3" s="3">
        <v>6</v>
      </c>
      <c r="D3" s="5">
        <v>5</v>
      </c>
      <c r="E3" s="12">
        <f>D3/C3</f>
        <v>0.83333333333333337</v>
      </c>
      <c r="F3" s="12">
        <f>POWER(D3-$GC3,2)</f>
        <v>3.7319214876033051</v>
      </c>
      <c r="G3" s="3">
        <v>7</v>
      </c>
      <c r="H3" s="5">
        <v>6</v>
      </c>
      <c r="I3" s="12">
        <f>H3/G3</f>
        <v>0.8571428571428571</v>
      </c>
      <c r="J3" s="12">
        <f>POWER(H3-$GC3,2)</f>
        <v>0.8682851239669418</v>
      </c>
      <c r="K3" s="3">
        <v>6</v>
      </c>
      <c r="L3" s="5">
        <v>6</v>
      </c>
      <c r="M3" s="12">
        <f>L3/K3</f>
        <v>1</v>
      </c>
      <c r="N3" s="12">
        <f>POWER(L3-$GC3,2)</f>
        <v>0.8682851239669418</v>
      </c>
      <c r="O3" s="3">
        <v>9</v>
      </c>
      <c r="P3" s="5">
        <v>9</v>
      </c>
      <c r="Q3" s="12">
        <f>P3/O3</f>
        <v>1</v>
      </c>
      <c r="R3" s="12">
        <f>POWER(P3-$GC3,2)</f>
        <v>4.2773760330578519</v>
      </c>
      <c r="S3" s="3">
        <v>3</v>
      </c>
      <c r="T3" s="26">
        <v>2</v>
      </c>
      <c r="U3" s="12">
        <f>T3/S3</f>
        <v>0.66666666666666663</v>
      </c>
      <c r="V3" s="12">
        <f>POWER(T3-$GC3,2)</f>
        <v>24.322830578512395</v>
      </c>
      <c r="W3" s="3">
        <v>8</v>
      </c>
      <c r="X3" s="5">
        <v>8</v>
      </c>
      <c r="Y3" s="12">
        <f>X3/W3</f>
        <v>1</v>
      </c>
      <c r="Z3" s="12">
        <f>POWER(X3-$GC3,2)</f>
        <v>1.1410123966942152</v>
      </c>
      <c r="AA3" s="3">
        <v>10</v>
      </c>
      <c r="AB3" s="5">
        <v>10</v>
      </c>
      <c r="AC3" s="12">
        <f>AB3/AA3</f>
        <v>1</v>
      </c>
      <c r="AD3" s="12">
        <f>POWER(AB3-$GC3,2)</f>
        <v>9.4137396694214885</v>
      </c>
      <c r="AE3" s="3">
        <v>8</v>
      </c>
      <c r="AF3" s="5">
        <v>8</v>
      </c>
      <c r="AG3" s="12">
        <f>AF3/AE3</f>
        <v>1</v>
      </c>
      <c r="AH3" s="12">
        <f>POWER(AF3-$GC3,2)</f>
        <v>1.1410123966942152</v>
      </c>
      <c r="AI3" s="3">
        <v>9</v>
      </c>
      <c r="AJ3" s="5">
        <v>9</v>
      </c>
      <c r="AK3" s="12">
        <f>AJ3/AI3</f>
        <v>1</v>
      </c>
      <c r="AL3" s="12">
        <f>POWER(AJ3-$GC3,2)</f>
        <v>4.2773760330578519</v>
      </c>
      <c r="AM3" s="3">
        <v>8</v>
      </c>
      <c r="AN3" s="5">
        <v>8</v>
      </c>
      <c r="AO3" s="12">
        <f>AN3/AM3</f>
        <v>1</v>
      </c>
      <c r="AP3" s="12">
        <f>POWER(AN3-$GC3,2)</f>
        <v>1.1410123966942152</v>
      </c>
      <c r="AQ3" s="3">
        <v>7</v>
      </c>
      <c r="AR3" s="5">
        <v>6</v>
      </c>
      <c r="AS3" s="12">
        <f>AR3/AQ3</f>
        <v>0.8571428571428571</v>
      </c>
      <c r="AT3" s="12">
        <f>POWER(AR3-$GC3,2)</f>
        <v>0.8682851239669418</v>
      </c>
      <c r="AU3" s="3">
        <v>9</v>
      </c>
      <c r="AV3" s="5">
        <v>9</v>
      </c>
      <c r="AW3" s="12">
        <f>AV3/AU3</f>
        <v>1</v>
      </c>
      <c r="AX3" s="12">
        <f>POWER(AV3-$GC3,2)</f>
        <v>4.2773760330578519</v>
      </c>
      <c r="AY3" s="3">
        <v>7</v>
      </c>
      <c r="AZ3" s="5">
        <v>6</v>
      </c>
      <c r="BA3" s="12">
        <f>AZ3/AY3</f>
        <v>0.8571428571428571</v>
      </c>
      <c r="BB3" s="12">
        <f>POWER(AZ3-$GC3,2)</f>
        <v>0.8682851239669418</v>
      </c>
      <c r="BC3" s="3">
        <v>7</v>
      </c>
      <c r="BD3" s="5">
        <v>7</v>
      </c>
      <c r="BE3" s="12">
        <f>BD3/BC3</f>
        <v>1</v>
      </c>
      <c r="BF3" s="12">
        <f>POWER(BD3-$GC3,2)</f>
        <v>4.6487603305785342E-3</v>
      </c>
      <c r="BG3" s="3">
        <v>7</v>
      </c>
      <c r="BH3" s="5">
        <v>7</v>
      </c>
      <c r="BI3" s="12">
        <f>BH3/BG3</f>
        <v>1</v>
      </c>
      <c r="BJ3" s="12">
        <f>POWER(BH3-$GC3,2)</f>
        <v>4.6487603305785342E-3</v>
      </c>
      <c r="BK3" s="3">
        <v>6</v>
      </c>
      <c r="BL3" s="5">
        <v>6</v>
      </c>
      <c r="BM3" s="12">
        <f>BL3/BK3</f>
        <v>1</v>
      </c>
      <c r="BN3" s="12">
        <f>POWER(BL3-$GC3,2)</f>
        <v>0.8682851239669418</v>
      </c>
      <c r="BO3" s="3">
        <v>4</v>
      </c>
      <c r="BP3" s="5"/>
      <c r="BQ3" s="12">
        <f>BP3/BO3</f>
        <v>0</v>
      </c>
      <c r="BR3" s="12">
        <f>POWER(BP3-$GC3,2)</f>
        <v>48.050103305785122</v>
      </c>
      <c r="BS3" s="3">
        <v>4</v>
      </c>
      <c r="BT3" s="5">
        <v>4</v>
      </c>
      <c r="BU3" s="12">
        <f>BT3/BS3</f>
        <v>1</v>
      </c>
      <c r="BV3" s="12">
        <f>POWER(BT3-$GC3,2)</f>
        <v>8.5955578512396684</v>
      </c>
      <c r="BW3" s="3">
        <v>8</v>
      </c>
      <c r="BX3" s="5">
        <v>8</v>
      </c>
      <c r="BY3" s="12">
        <f>BX3/BW3</f>
        <v>1</v>
      </c>
      <c r="BZ3" s="12">
        <f>POWER(BX3-$GC3,2)</f>
        <v>1.1410123966942152</v>
      </c>
      <c r="CA3" s="3">
        <v>6</v>
      </c>
      <c r="CB3" s="5">
        <v>6</v>
      </c>
      <c r="CC3" s="12">
        <f>CB3/CA3</f>
        <v>1</v>
      </c>
      <c r="CD3" s="12">
        <f>POWER(CB3-$GC3,2)</f>
        <v>0.8682851239669418</v>
      </c>
      <c r="CE3" s="3">
        <v>7</v>
      </c>
      <c r="CF3" s="5">
        <v>7</v>
      </c>
      <c r="CG3" s="12">
        <f>CF3/CE3</f>
        <v>1</v>
      </c>
      <c r="CH3" s="12">
        <f>POWER(CF3-$GC3,2)</f>
        <v>4.6487603305785342E-3</v>
      </c>
      <c r="CI3" s="3">
        <v>8</v>
      </c>
      <c r="CJ3" s="5">
        <v>8</v>
      </c>
      <c r="CK3" s="12">
        <f>CJ3/CI3</f>
        <v>1</v>
      </c>
      <c r="CL3" s="12">
        <f>POWER(CJ3-$GC3,2)</f>
        <v>1.1410123966942152</v>
      </c>
      <c r="CM3" s="3">
        <v>7</v>
      </c>
      <c r="CN3" s="5">
        <v>7</v>
      </c>
      <c r="CO3" s="12">
        <f>CN3/CM3</f>
        <v>1</v>
      </c>
      <c r="CP3" s="12">
        <f>POWER(CN3-$GC3,2)</f>
        <v>4.6487603305785342E-3</v>
      </c>
      <c r="CQ3" s="3">
        <v>9</v>
      </c>
      <c r="CR3" s="5">
        <v>9</v>
      </c>
      <c r="CS3" s="12">
        <f>CR3/CQ3</f>
        <v>1</v>
      </c>
      <c r="CT3" s="12">
        <f>POWER(CR3-$GC3,2)</f>
        <v>4.2773760330578519</v>
      </c>
      <c r="CU3" s="3">
        <v>8</v>
      </c>
      <c r="CV3" s="5">
        <v>8</v>
      </c>
      <c r="CW3" s="12">
        <f>CV3/CU3</f>
        <v>1</v>
      </c>
      <c r="CX3" s="12">
        <f>POWER(CV3-$GC3,2)</f>
        <v>1.1410123966942152</v>
      </c>
      <c r="CY3" s="3">
        <v>6</v>
      </c>
      <c r="CZ3" s="5">
        <v>5</v>
      </c>
      <c r="DA3" s="12">
        <f>CZ3/CY3</f>
        <v>0.83333333333333337</v>
      </c>
      <c r="DB3" s="12">
        <f>POWER(CZ3-$GC3,2)</f>
        <v>3.7319214876033051</v>
      </c>
      <c r="DC3" s="3">
        <v>6</v>
      </c>
      <c r="DD3" s="5">
        <v>6</v>
      </c>
      <c r="DE3" s="12">
        <f>DD3/DC3</f>
        <v>1</v>
      </c>
      <c r="DF3" s="12">
        <f>POWER(DD3-$GC3,2)</f>
        <v>0.8682851239669418</v>
      </c>
      <c r="DG3" s="3">
        <v>7</v>
      </c>
      <c r="DH3" s="5">
        <v>7</v>
      </c>
      <c r="DI3" s="12">
        <f>DH3/DG3</f>
        <v>1</v>
      </c>
      <c r="DJ3" s="12">
        <f>POWER(DH3-$GC3,2)</f>
        <v>4.6487603305785342E-3</v>
      </c>
      <c r="DK3" s="3">
        <v>9</v>
      </c>
      <c r="DL3" s="5">
        <v>9</v>
      </c>
      <c r="DM3" s="12">
        <f>DL3/DK3</f>
        <v>1</v>
      </c>
      <c r="DN3" s="12">
        <f>POWER(DL3-$GC3,2)</f>
        <v>4.2773760330578519</v>
      </c>
      <c r="DO3" s="3">
        <v>8</v>
      </c>
      <c r="DP3" s="5">
        <v>8</v>
      </c>
      <c r="DQ3" s="12">
        <f>DP3/DO3</f>
        <v>1</v>
      </c>
      <c r="DR3" s="12">
        <f>POWER(DP3-$GC3,2)</f>
        <v>1.1410123966942152</v>
      </c>
      <c r="DS3" s="3">
        <v>9</v>
      </c>
      <c r="DT3" s="26">
        <v>9</v>
      </c>
      <c r="DU3" s="12">
        <f>DT3/DS3</f>
        <v>1</v>
      </c>
      <c r="DV3" s="12">
        <f>POWER(DT3-$GC3,2)</f>
        <v>4.2773760330578519</v>
      </c>
      <c r="DW3" s="3">
        <v>6</v>
      </c>
      <c r="DX3" s="5">
        <v>5</v>
      </c>
      <c r="DY3" s="12">
        <f>DX3/DW3</f>
        <v>0.83333333333333337</v>
      </c>
      <c r="DZ3" s="12">
        <f>POWER(DX3-$GC3,2)</f>
        <v>3.7319214876033051</v>
      </c>
      <c r="EA3" s="3">
        <v>7</v>
      </c>
      <c r="EB3" s="5">
        <v>7</v>
      </c>
      <c r="EC3" s="12">
        <f>EB3/EA3</f>
        <v>1</v>
      </c>
      <c r="ED3" s="12">
        <f>POWER(EB3-$GC3,2)</f>
        <v>4.6487603305785342E-3</v>
      </c>
      <c r="EE3" s="3">
        <v>7</v>
      </c>
      <c r="EF3" s="5">
        <v>7</v>
      </c>
      <c r="EG3" s="12">
        <f>EF3/EE3</f>
        <v>1</v>
      </c>
      <c r="EH3" s="12">
        <f>POWER(EF3-$GC3,2)</f>
        <v>4.6487603305785342E-3</v>
      </c>
      <c r="EI3" s="3">
        <v>7</v>
      </c>
      <c r="EJ3" s="5">
        <v>6</v>
      </c>
      <c r="EK3" s="12">
        <f>EJ3/EI3</f>
        <v>0.8571428571428571</v>
      </c>
      <c r="EL3" s="12">
        <f>POWER(EJ3-$GC3,2)</f>
        <v>0.8682851239669418</v>
      </c>
      <c r="EM3" s="3">
        <v>7</v>
      </c>
      <c r="EN3" s="5">
        <v>7</v>
      </c>
      <c r="EO3" s="12">
        <f>EN3/EM3</f>
        <v>1</v>
      </c>
      <c r="EP3" s="12">
        <f>POWER(EN3-$GC3,2)</f>
        <v>4.6487603305785342E-3</v>
      </c>
      <c r="EQ3" s="3">
        <v>8</v>
      </c>
      <c r="ER3" s="5">
        <v>8</v>
      </c>
      <c r="ES3" s="12">
        <f>ER3/EQ3</f>
        <v>1</v>
      </c>
      <c r="ET3" s="12">
        <f>POWER(ER3-$GC3,2)</f>
        <v>1.1410123966942152</v>
      </c>
      <c r="EU3" s="3">
        <v>7</v>
      </c>
      <c r="EV3" s="5">
        <v>7</v>
      </c>
      <c r="EW3" s="12">
        <f>EV3/EU3</f>
        <v>1</v>
      </c>
      <c r="EX3" s="12">
        <f>POWER(EV3-$GC3,2)</f>
        <v>4.6487603305785342E-3</v>
      </c>
      <c r="EY3" s="3">
        <v>8</v>
      </c>
      <c r="EZ3" s="5">
        <v>8</v>
      </c>
      <c r="FA3" s="12">
        <f>EZ3/EY3</f>
        <v>1</v>
      </c>
      <c r="FB3" s="12">
        <f>POWER(EZ3-$GC3,2)</f>
        <v>1.1410123966942152</v>
      </c>
      <c r="FC3" s="3">
        <v>8</v>
      </c>
      <c r="FD3" s="26">
        <v>8</v>
      </c>
      <c r="FE3" s="12">
        <f>FD3/FC3</f>
        <v>1</v>
      </c>
      <c r="FF3" s="12">
        <f>POWER(FD3-$GC3,2)</f>
        <v>1.1410123966942152</v>
      </c>
      <c r="FG3" s="3">
        <v>7</v>
      </c>
      <c r="FH3" s="5">
        <v>7</v>
      </c>
      <c r="FI3" s="12">
        <f>FH3/FG3</f>
        <v>1</v>
      </c>
      <c r="FJ3" s="12">
        <f>POWER(FH3-$GC3,2)</f>
        <v>4.6487603305785342E-3</v>
      </c>
      <c r="FK3" s="3">
        <v>8</v>
      </c>
      <c r="FL3" s="5">
        <v>5</v>
      </c>
      <c r="FM3" s="12">
        <f>FL3/FK3</f>
        <v>0.625</v>
      </c>
      <c r="FN3" s="12">
        <f>POWER(FL3-$GC3,2)</f>
        <v>3.7319214876033051</v>
      </c>
      <c r="FO3" s="3">
        <v>6</v>
      </c>
      <c r="FP3" s="5">
        <v>5</v>
      </c>
      <c r="FQ3" s="12">
        <f>FP3/FO3</f>
        <v>0.83333333333333337</v>
      </c>
      <c r="FR3" s="12">
        <f>POWER(FP3-$GC3,2)</f>
        <v>3.7319214876033051</v>
      </c>
      <c r="FS3" s="3">
        <v>7</v>
      </c>
      <c r="FT3" s="5">
        <v>6</v>
      </c>
      <c r="FU3" s="12">
        <f>FT3/FS3</f>
        <v>0.8571428571428571</v>
      </c>
      <c r="FV3" s="12">
        <f>POWER(FT3-$GC3,2)</f>
        <v>0.8682851239669418</v>
      </c>
      <c r="FW3" s="3">
        <v>6</v>
      </c>
      <c r="FX3" s="5">
        <v>6</v>
      </c>
      <c r="FY3" s="12">
        <f>FX3/FW3</f>
        <v>1</v>
      </c>
      <c r="FZ3" s="12">
        <f>POWER(FX3-$GC3,2)</f>
        <v>0.8682851239669418</v>
      </c>
      <c r="GA3" s="4">
        <f>COUNT(C3,G3,K3,O3,S3,W3,AA3,AE3,AI3,AM3,AQ3,AU3,AY3,BC3,BG3,BK3,BO3,BS3,BW3,CA3,CE3,CI3,CM3,CQ3,CU3,CY3,DC3,DG3,DK3,DO3,DS3,DW3,EA3,EE3,EI3,EM3,EQ3,EU3,EY3,FC3,FG3,FK3,FO3,FS3,FW3)</f>
        <v>45</v>
      </c>
      <c r="GB3" s="15">
        <f>(E3+I3+M3+Q3+U3+Y3+AC3+AG3+AK3+AO3+AS3+AW3+BA3+BE3+BI3+BM3+BQ3+BU3+BY3+CC3+CG3+CK3+CO3+CS3+CW3+DA3+DE3+DI3+DM3+DQ3+DU3+DY3+EC3+EG3+EK3+EO3+ES3+EW3+FA3+FE3+FI3+FM3+FQ3+FU3+FY3)*100/GA3</f>
        <v>93.134920634920633</v>
      </c>
      <c r="GC3" s="15">
        <f>AVERAGE(D3,H3,L3,P3,T3,X3,AB3,AF3,AJ3,AN3,AR3,AV3,AZ3,BD3,BH3,BL3,BP3,BT3,BX3,CB3,CF3,CJ3,CN3,CR3,CV3,CZ3,DD3,DH3,DL3,DP3,DT3,DX3,EB3,EF3,EJ3,EN3,ER3,EV3,EZ3,FD3,FH3,FL3,FP3,FT3,FX3)</f>
        <v>6.9318181818181817</v>
      </c>
      <c r="GD3" s="15">
        <f>SQRT((F3+J3+N3+R3+V3+Z3+AD3+AH3+AL3+AP3+AT3+AX3+BB3+BF3+BJ3+BN3+BR3+BV3+BZ3+CD3+CH3++CL3+CP3+CT3+CX3+DB3+DF3+DJ3+DN3+DR3+DV3+DZ3+ED3+EH3+EL3+EP3+ET3+EX3+FB3+FF3+FJ3+FN3+FR3+FV3+FZ3)/GA3)</f>
        <v>1.8549966028794271</v>
      </c>
      <c r="GE3" s="16">
        <f>GB3</f>
        <v>93.134920634920633</v>
      </c>
      <c r="GF3" s="17" t="s">
        <v>3</v>
      </c>
      <c r="GG3" s="24">
        <f>GD3</f>
        <v>1.8549966028794271</v>
      </c>
      <c r="GH3" s="4" t="str">
        <f>IF(GB3&lt;40,"неудовлетворительно",IF((GB3&gt;=40)*AND(GB3&lt;60),"удовлетворительно",IF((GB3&gt;=60)*AND(GB3&lt;80),"хорошо","отлично")))</f>
        <v>отлично</v>
      </c>
      <c r="GI3" s="64"/>
      <c r="GJ3" s="32"/>
      <c r="GK3" s="65"/>
      <c r="GL3" s="65"/>
      <c r="GM3" s="64"/>
      <c r="GN3" s="32"/>
      <c r="GO3" s="65"/>
      <c r="GP3" s="65"/>
      <c r="GQ3" s="64"/>
      <c r="GR3" s="32"/>
      <c r="GS3" s="65"/>
      <c r="GT3" s="65"/>
      <c r="GU3" s="64"/>
      <c r="GV3" s="32"/>
      <c r="GW3" s="65"/>
      <c r="GX3" s="65"/>
      <c r="GY3" s="64"/>
      <c r="GZ3" s="32"/>
      <c r="HA3" s="65"/>
      <c r="HB3" s="65"/>
      <c r="HC3" s="64"/>
      <c r="HD3" s="32"/>
      <c r="HE3" s="65"/>
      <c r="HF3" s="65"/>
      <c r="HG3" s="64"/>
      <c r="HH3" s="64"/>
      <c r="HI3" s="65"/>
      <c r="HJ3" s="65"/>
      <c r="HK3" s="64"/>
      <c r="HL3" s="32"/>
      <c r="HM3" s="65"/>
      <c r="HN3" s="65"/>
      <c r="HO3" s="64"/>
      <c r="HP3" s="32"/>
      <c r="HQ3" s="65"/>
      <c r="HR3" s="65"/>
      <c r="HS3" s="64"/>
      <c r="HT3" s="32"/>
      <c r="HU3" s="65"/>
      <c r="HV3" s="65"/>
      <c r="HW3" s="64"/>
      <c r="HX3" s="32"/>
      <c r="HY3" s="65"/>
      <c r="HZ3" s="65"/>
    </row>
    <row r="4" spans="1:234" ht="39.75" customHeight="1" thickBot="1" x14ac:dyDescent="0.3">
      <c r="A4" s="21">
        <v>2</v>
      </c>
      <c r="B4" s="31" t="s">
        <v>14</v>
      </c>
      <c r="C4" s="3">
        <v>5</v>
      </c>
      <c r="D4" s="5">
        <v>4</v>
      </c>
      <c r="E4" s="12">
        <f t="shared" ref="E4:E14" si="0">D4/C4</f>
        <v>0.8</v>
      </c>
      <c r="F4" s="12">
        <f t="shared" ref="F4:F11" si="1">POWER(D4-$GC4,2)</f>
        <v>7.6880165289256182</v>
      </c>
      <c r="G4" s="3">
        <v>8</v>
      </c>
      <c r="H4" s="5">
        <v>8</v>
      </c>
      <c r="I4" s="12">
        <f t="shared" ref="I4:I14" si="2">H4/G4</f>
        <v>1</v>
      </c>
      <c r="J4" s="12">
        <f t="shared" ref="J4:J11" si="3">POWER(H4-$GC4,2)</f>
        <v>1.5061983471074387</v>
      </c>
      <c r="K4" s="3">
        <v>7</v>
      </c>
      <c r="L4" s="5">
        <v>6</v>
      </c>
      <c r="M4" s="12">
        <f t="shared" ref="M4:M14" si="4">L4/K4</f>
        <v>0.8571428571428571</v>
      </c>
      <c r="N4" s="12">
        <f t="shared" ref="N4:N11" si="5">POWER(L4-$GC4,2)</f>
        <v>0.59710743801652855</v>
      </c>
      <c r="O4" s="3">
        <v>7</v>
      </c>
      <c r="P4" s="5">
        <v>7</v>
      </c>
      <c r="Q4" s="12">
        <f t="shared" ref="Q4:Q14" si="6">P4/O4</f>
        <v>1</v>
      </c>
      <c r="R4" s="12">
        <f t="shared" ref="R4:R11" si="7">POWER(P4-$GC4,2)</f>
        <v>5.1652892561983584E-2</v>
      </c>
      <c r="S4" s="3">
        <v>5</v>
      </c>
      <c r="T4" s="26">
        <v>6</v>
      </c>
      <c r="U4" s="12">
        <f t="shared" ref="U4:U14" si="8">T4/S4</f>
        <v>1.2</v>
      </c>
      <c r="V4" s="12">
        <f t="shared" ref="V4:V11" si="9">POWER(T4-$GC4,2)</f>
        <v>0.59710743801652855</v>
      </c>
      <c r="W4" s="3">
        <v>7</v>
      </c>
      <c r="X4" s="5">
        <v>7</v>
      </c>
      <c r="Y4" s="12">
        <f t="shared" ref="Y4:Y14" si="10">X4/W4</f>
        <v>1</v>
      </c>
      <c r="Z4" s="12">
        <f t="shared" ref="Z4:Z11" si="11">POWER(X4-$GC4,2)</f>
        <v>5.1652892561983584E-2</v>
      </c>
      <c r="AA4" s="3">
        <v>10</v>
      </c>
      <c r="AB4" s="5">
        <v>9</v>
      </c>
      <c r="AC4" s="12">
        <f t="shared" ref="AC4:AC14" si="12">AB4/AA4</f>
        <v>0.9</v>
      </c>
      <c r="AD4" s="12">
        <f t="shared" ref="AD4:AD11" si="13">POWER(AB4-$GC4,2)</f>
        <v>4.9607438016528933</v>
      </c>
      <c r="AE4" s="3">
        <v>7</v>
      </c>
      <c r="AF4" s="5">
        <v>6</v>
      </c>
      <c r="AG4" s="12">
        <f t="shared" ref="AG4:AG14" si="14">AF4/AE4</f>
        <v>0.8571428571428571</v>
      </c>
      <c r="AH4" s="12">
        <f t="shared" ref="AH4:AH11" si="15">POWER(AF4-$GC4,2)</f>
        <v>0.59710743801652855</v>
      </c>
      <c r="AI4" s="3">
        <v>7</v>
      </c>
      <c r="AJ4" s="5">
        <v>7</v>
      </c>
      <c r="AK4" s="12">
        <f t="shared" ref="AK4:AK14" si="16">AJ4/AI4</f>
        <v>1</v>
      </c>
      <c r="AL4" s="12">
        <f t="shared" ref="AL4:AL11" si="17">POWER(AJ4-$GC4,2)</f>
        <v>5.1652892561983584E-2</v>
      </c>
      <c r="AM4" s="3">
        <v>7</v>
      </c>
      <c r="AN4" s="5">
        <v>8</v>
      </c>
      <c r="AO4" s="12">
        <f t="shared" ref="AO4:AO14" si="18">AN4/AM4</f>
        <v>1.1428571428571428</v>
      </c>
      <c r="AP4" s="12">
        <f t="shared" ref="AP4:AP11" si="19">POWER(AN4-$GC4,2)</f>
        <v>1.5061983471074387</v>
      </c>
      <c r="AQ4" s="3">
        <v>6</v>
      </c>
      <c r="AR4" s="5">
        <v>7</v>
      </c>
      <c r="AS4" s="12">
        <f t="shared" ref="AS4:AS14" si="20">AR4/AQ4</f>
        <v>1.1666666666666667</v>
      </c>
      <c r="AT4" s="12">
        <f t="shared" ref="AT4:AT11" si="21">POWER(AR4-$GC4,2)</f>
        <v>5.1652892561983584E-2</v>
      </c>
      <c r="AU4" s="3">
        <v>6</v>
      </c>
      <c r="AV4" s="5">
        <v>6</v>
      </c>
      <c r="AW4" s="12">
        <f t="shared" ref="AW4:AW11" si="22">AV4/AU4</f>
        <v>1</v>
      </c>
      <c r="AX4" s="12">
        <f t="shared" ref="AX4:AX11" si="23">POWER(AV4-$GC4,2)</f>
        <v>0.59710743801652855</v>
      </c>
      <c r="AY4" s="3">
        <v>8</v>
      </c>
      <c r="AZ4" s="5">
        <v>7</v>
      </c>
      <c r="BA4" s="12">
        <f t="shared" ref="BA4:BA11" si="24">AZ4/AY4</f>
        <v>0.875</v>
      </c>
      <c r="BB4" s="12">
        <f t="shared" ref="BB4:BB11" si="25">POWER(AZ4-$GC4,2)</f>
        <v>5.1652892561983584E-2</v>
      </c>
      <c r="BC4" s="3">
        <v>7</v>
      </c>
      <c r="BD4" s="5">
        <v>7</v>
      </c>
      <c r="BE4" s="12">
        <f t="shared" ref="BE4:BE11" si="26">BD4/BC4</f>
        <v>1</v>
      </c>
      <c r="BF4" s="12">
        <f t="shared" ref="BF4:BF11" si="27">POWER(BD4-$GC4,2)</f>
        <v>5.1652892561983584E-2</v>
      </c>
      <c r="BG4" s="3">
        <v>7</v>
      </c>
      <c r="BH4" s="5">
        <v>7</v>
      </c>
      <c r="BI4" s="12">
        <f t="shared" ref="BI4:BI11" si="28">BH4/BG4</f>
        <v>1</v>
      </c>
      <c r="BJ4" s="12">
        <f t="shared" ref="BJ4:BJ11" si="29">POWER(BH4-$GC4,2)</f>
        <v>5.1652892561983584E-2</v>
      </c>
      <c r="BK4" s="3">
        <v>7</v>
      </c>
      <c r="BL4" s="5">
        <v>7</v>
      </c>
      <c r="BM4" s="12">
        <f t="shared" ref="BM4:BM11" si="30">BL4/BK4</f>
        <v>1</v>
      </c>
      <c r="BN4" s="12">
        <f t="shared" ref="BN4:BN11" si="31">POWER(BL4-$GC4,2)</f>
        <v>5.1652892561983584E-2</v>
      </c>
      <c r="BO4" s="3">
        <v>5</v>
      </c>
      <c r="BP4" s="5"/>
      <c r="BQ4" s="12">
        <f t="shared" ref="BQ4:BQ11" si="32">BP4/BO4</f>
        <v>0</v>
      </c>
      <c r="BR4" s="12">
        <f t="shared" ref="BR4:BR11" si="33">POWER(BP4-$GC4,2)</f>
        <v>45.869834710743795</v>
      </c>
      <c r="BS4" s="3">
        <v>7</v>
      </c>
      <c r="BT4" s="5">
        <v>7</v>
      </c>
      <c r="BU4" s="12">
        <f t="shared" ref="BU4:BU11" si="34">BT4/BS4</f>
        <v>1</v>
      </c>
      <c r="BV4" s="12">
        <f t="shared" ref="BV4:BV11" si="35">POWER(BT4-$GC4,2)</f>
        <v>5.1652892561983584E-2</v>
      </c>
      <c r="BW4" s="3">
        <v>9</v>
      </c>
      <c r="BX4" s="5">
        <v>8</v>
      </c>
      <c r="BY4" s="12">
        <f t="shared" ref="BY4:BY11" si="36">BX4/BW4</f>
        <v>0.88888888888888884</v>
      </c>
      <c r="BZ4" s="12">
        <f t="shared" ref="BZ4:BZ11" si="37">POWER(BX4-$GC4,2)</f>
        <v>1.5061983471074387</v>
      </c>
      <c r="CA4" s="3">
        <v>10</v>
      </c>
      <c r="CB4" s="5">
        <v>10</v>
      </c>
      <c r="CC4" s="12">
        <f t="shared" ref="CC4:CC11" si="38">CB4/CA4</f>
        <v>1</v>
      </c>
      <c r="CD4" s="12">
        <f t="shared" ref="CD4:CD11" si="39">POWER(CB4-$GC4,2)</f>
        <v>10.415289256198349</v>
      </c>
      <c r="CE4" s="3">
        <v>7</v>
      </c>
      <c r="CF4" s="5">
        <v>7</v>
      </c>
      <c r="CG4" s="12">
        <f t="shared" ref="CG4:CG11" si="40">CF4/CE4</f>
        <v>1</v>
      </c>
      <c r="CH4" s="12">
        <f t="shared" ref="CH4:CH11" si="41">POWER(CF4-$GC4,2)</f>
        <v>5.1652892561983584E-2</v>
      </c>
      <c r="CI4" s="3">
        <v>5</v>
      </c>
      <c r="CJ4" s="5">
        <v>4</v>
      </c>
      <c r="CK4" s="12">
        <f t="shared" ref="CK4:CK11" si="42">CJ4/CI4</f>
        <v>0.8</v>
      </c>
      <c r="CL4" s="12">
        <f t="shared" ref="CL4:CL11" si="43">POWER(CJ4-$GC4,2)</f>
        <v>7.6880165289256182</v>
      </c>
      <c r="CM4" s="3">
        <v>8</v>
      </c>
      <c r="CN4" s="5">
        <v>8</v>
      </c>
      <c r="CO4" s="12">
        <f t="shared" ref="CO4:CO11" si="44">CN4/CM4</f>
        <v>1</v>
      </c>
      <c r="CP4" s="12">
        <f t="shared" ref="CP4:CP11" si="45">POWER(CN4-$GC4,2)</f>
        <v>1.5061983471074387</v>
      </c>
      <c r="CQ4" s="3">
        <v>9</v>
      </c>
      <c r="CR4" s="5">
        <v>9</v>
      </c>
      <c r="CS4" s="12">
        <f t="shared" ref="CS4:CS11" si="46">CR4/CQ4</f>
        <v>1</v>
      </c>
      <c r="CT4" s="12">
        <f t="shared" ref="CT4:CT11" si="47">POWER(CR4-$GC4,2)</f>
        <v>4.9607438016528933</v>
      </c>
      <c r="CU4" s="3">
        <v>7</v>
      </c>
      <c r="CV4" s="5">
        <v>7</v>
      </c>
      <c r="CW4" s="12">
        <f t="shared" ref="CW4:CW11" si="48">CV4/CU4</f>
        <v>1</v>
      </c>
      <c r="CX4" s="12">
        <f t="shared" ref="CX4:CX11" si="49">POWER(CV4-$GC4,2)</f>
        <v>5.1652892561983584E-2</v>
      </c>
      <c r="CY4" s="3">
        <v>4</v>
      </c>
      <c r="CZ4" s="5">
        <v>4</v>
      </c>
      <c r="DA4" s="12">
        <f t="shared" ref="DA4:DA11" si="50">CZ4/CY4</f>
        <v>1</v>
      </c>
      <c r="DB4" s="12">
        <f t="shared" ref="DB4:DB11" si="51">POWER(CZ4-$GC4,2)</f>
        <v>7.6880165289256182</v>
      </c>
      <c r="DC4" s="3">
        <v>4</v>
      </c>
      <c r="DD4" s="5">
        <v>4</v>
      </c>
      <c r="DE4" s="12">
        <f t="shared" ref="DE4:DE11" si="52">DD4/DC4</f>
        <v>1</v>
      </c>
      <c r="DF4" s="12">
        <f t="shared" ref="DF4:DF11" si="53">POWER(DD4-$GC4,2)</f>
        <v>7.6880165289256182</v>
      </c>
      <c r="DG4" s="3">
        <v>4</v>
      </c>
      <c r="DH4" s="5">
        <v>4</v>
      </c>
      <c r="DI4" s="12">
        <f t="shared" ref="DI4:DI11" si="54">DH4/DG4</f>
        <v>1</v>
      </c>
      <c r="DJ4" s="12">
        <f t="shared" ref="DJ4:DJ11" si="55">POWER(DH4-$GC4,2)</f>
        <v>7.6880165289256182</v>
      </c>
      <c r="DK4" s="3">
        <v>9</v>
      </c>
      <c r="DL4" s="5">
        <v>9</v>
      </c>
      <c r="DM4" s="12">
        <f t="shared" ref="DM4:DM11" si="56">DL4/DK4</f>
        <v>1</v>
      </c>
      <c r="DN4" s="12">
        <f t="shared" ref="DN4:DN11" si="57">POWER(DL4-$GC4,2)</f>
        <v>4.9607438016528933</v>
      </c>
      <c r="DO4" s="3">
        <v>4</v>
      </c>
      <c r="DP4" s="5">
        <v>4</v>
      </c>
      <c r="DQ4" s="12">
        <f t="shared" ref="DQ4:DQ11" si="58">DP4/DO4</f>
        <v>1</v>
      </c>
      <c r="DR4" s="12">
        <f t="shared" ref="DR4:DR11" si="59">POWER(DP4-$GC4,2)</f>
        <v>7.6880165289256182</v>
      </c>
      <c r="DS4" s="3">
        <v>9</v>
      </c>
      <c r="DT4" s="26">
        <v>9</v>
      </c>
      <c r="DU4" s="12">
        <f t="shared" ref="DU4:DU11" si="60">DT4/DS4</f>
        <v>1</v>
      </c>
      <c r="DV4" s="12">
        <f t="shared" ref="DV4:DV11" si="61">POWER(DT4-$GC4,2)</f>
        <v>4.9607438016528933</v>
      </c>
      <c r="DW4" s="3">
        <v>5</v>
      </c>
      <c r="DX4" s="5">
        <v>5</v>
      </c>
      <c r="DY4" s="12">
        <f t="shared" ref="DY4:DY11" si="62">DX4/DW4</f>
        <v>1</v>
      </c>
      <c r="DZ4" s="12">
        <f t="shared" ref="DZ4:DZ11" si="63">POWER(DX4-$GC4,2)</f>
        <v>3.1425619834710736</v>
      </c>
      <c r="EA4" s="3">
        <v>1</v>
      </c>
      <c r="EB4" s="5">
        <v>1</v>
      </c>
      <c r="EC4" s="12">
        <f t="shared" ref="EC4:EC11" si="64">EB4/EA4</f>
        <v>1</v>
      </c>
      <c r="ED4" s="12">
        <f t="shared" ref="ED4:ED11" si="65">POWER(EB4-$GC4,2)</f>
        <v>33.324380165289256</v>
      </c>
      <c r="EE4" s="3">
        <v>7</v>
      </c>
      <c r="EF4" s="5">
        <v>6</v>
      </c>
      <c r="EG4" s="12">
        <f t="shared" ref="EG4:EG11" si="66">EF4/EE4</f>
        <v>0.8571428571428571</v>
      </c>
      <c r="EH4" s="12">
        <f t="shared" ref="EH4:EH11" si="67">POWER(EF4-$GC4,2)</f>
        <v>0.59710743801652855</v>
      </c>
      <c r="EI4" s="3">
        <v>7</v>
      </c>
      <c r="EJ4" s="5">
        <v>6</v>
      </c>
      <c r="EK4" s="12">
        <f t="shared" ref="EK4:EK11" si="68">EJ4/EI4</f>
        <v>0.8571428571428571</v>
      </c>
      <c r="EL4" s="12">
        <f t="shared" ref="EL4:EL11" si="69">POWER(EJ4-$GC4,2)</f>
        <v>0.59710743801652855</v>
      </c>
      <c r="EM4" s="3">
        <v>8</v>
      </c>
      <c r="EN4" s="5">
        <v>8</v>
      </c>
      <c r="EO4" s="12">
        <f t="shared" ref="EO4:EO11" si="70">EN4/EM4</f>
        <v>1</v>
      </c>
      <c r="EP4" s="12">
        <f t="shared" ref="EP4:EP11" si="71">POWER(EN4-$GC4,2)</f>
        <v>1.5061983471074387</v>
      </c>
      <c r="EQ4" s="3">
        <v>9</v>
      </c>
      <c r="ER4" s="5">
        <v>9</v>
      </c>
      <c r="ES4" s="12">
        <f t="shared" ref="ES4:ES11" si="72">ER4/EQ4</f>
        <v>1</v>
      </c>
      <c r="ET4" s="12">
        <f t="shared" ref="ET4:ET11" si="73">POWER(ER4-$GC4,2)</f>
        <v>4.9607438016528933</v>
      </c>
      <c r="EU4" s="3">
        <v>8</v>
      </c>
      <c r="EV4" s="5">
        <v>7</v>
      </c>
      <c r="EW4" s="12">
        <f t="shared" ref="EW4:EW11" si="74">EV4/EU4</f>
        <v>0.875</v>
      </c>
      <c r="EX4" s="12">
        <f t="shared" ref="EX4:EX11" si="75">POWER(EV4-$GC4,2)</f>
        <v>5.1652892561983584E-2</v>
      </c>
      <c r="EY4" s="3">
        <v>8</v>
      </c>
      <c r="EZ4" s="5">
        <v>8</v>
      </c>
      <c r="FA4" s="12">
        <f t="shared" ref="FA4:FA11" si="76">EZ4/EY4</f>
        <v>1</v>
      </c>
      <c r="FB4" s="12">
        <f t="shared" ref="FB4:FB11" si="77">POWER(EZ4-$GC4,2)</f>
        <v>1.5061983471074387</v>
      </c>
      <c r="FC4" s="3">
        <v>9</v>
      </c>
      <c r="FD4" s="26">
        <v>9</v>
      </c>
      <c r="FE4" s="12">
        <f t="shared" ref="FE4:FE11" si="78">FD4/FC4</f>
        <v>1</v>
      </c>
      <c r="FF4" s="12">
        <f t="shared" ref="FF4:FF11" si="79">POWER(FD4-$GC4,2)</f>
        <v>4.9607438016528933</v>
      </c>
      <c r="FG4" s="3">
        <v>8</v>
      </c>
      <c r="FH4" s="5">
        <v>8</v>
      </c>
      <c r="FI4" s="12">
        <f t="shared" ref="FI4:FI11" si="80">FH4/FG4</f>
        <v>1</v>
      </c>
      <c r="FJ4" s="12">
        <f t="shared" ref="FJ4:FJ11" si="81">POWER(FH4-$GC4,2)</f>
        <v>1.5061983471074387</v>
      </c>
      <c r="FK4" s="3">
        <v>7</v>
      </c>
      <c r="FL4" s="5">
        <v>6</v>
      </c>
      <c r="FM4" s="12">
        <f t="shared" ref="FM4:FM11" si="82">FL4/FK4</f>
        <v>0.8571428571428571</v>
      </c>
      <c r="FN4" s="12">
        <f t="shared" ref="FN4:FN11" si="83">POWER(FL4-$GC4,2)</f>
        <v>0.59710743801652855</v>
      </c>
      <c r="FO4" s="3">
        <v>7</v>
      </c>
      <c r="FP4" s="5">
        <v>6</v>
      </c>
      <c r="FQ4" s="12">
        <f t="shared" ref="FQ4:FQ11" si="84">FP4/FO4</f>
        <v>0.8571428571428571</v>
      </c>
      <c r="FR4" s="12">
        <f t="shared" ref="FR4:FR11" si="85">POWER(FP4-$GC4,2)</f>
        <v>0.59710743801652855</v>
      </c>
      <c r="FS4" s="3">
        <v>9</v>
      </c>
      <c r="FT4" s="5">
        <v>9</v>
      </c>
      <c r="FU4" s="12">
        <f t="shared" ref="FU4:FU11" si="86">FT4/FS4</f>
        <v>1</v>
      </c>
      <c r="FV4" s="12">
        <f t="shared" ref="FV4:FV11" si="87">POWER(FT4-$GC4,2)</f>
        <v>4.9607438016528933</v>
      </c>
      <c r="FW4" s="3">
        <v>7</v>
      </c>
      <c r="FX4" s="5">
        <v>7</v>
      </c>
      <c r="FY4" s="12">
        <f t="shared" ref="FY4:FY11" si="88">FX4/FW4</f>
        <v>1</v>
      </c>
      <c r="FZ4" s="12">
        <f t="shared" ref="FZ4:FZ11" si="89">POWER(FX4-$GC4,2)</f>
        <v>5.1652892561983584E-2</v>
      </c>
      <c r="GA4" s="4">
        <f t="shared" ref="GA4:GA11" si="90">COUNT(C4,G4,K4,O4,S4,W4,AA4,AE4,AI4,AM4,AQ4,AU4,AY4,BC4,BG4,BK4,BO4,BS4,BW4,CA4,CE4,CI4,CM4,CQ4,CU4,CY4,DC4,DG4,DK4,DO4,DS4,DW4,EA4,EE4,EI4,EM4,EQ4,EU4,EY4,FC4,FG4,FK4,FO4,FS4,FW4)</f>
        <v>45</v>
      </c>
      <c r="GB4" s="15">
        <f t="shared" ref="GB4:GB11" si="91">(E4+I4+M4+Q4+U4+Y4+AC4+AG4+AK4+AO4+AS4+AW4+BA4+BE4+BI4+BM4+BQ4+BU4+BY4+CC4+CG4+CK4+CO4+CS4+CW4+DA4+DE4+DI4+DM4+DQ4+DU4+DY4+EC4+EG4+EK4+EO4+ES4+EW4+FA4+FE4+FI4+FM4+FQ4+FU4+FY4)*100/GA4</f>
        <v>95.091710758377403</v>
      </c>
      <c r="GC4" s="15">
        <f t="shared" ref="GC4:GC11" si="92">AVERAGE(D4,H4,L4,P4,T4,X4,AB4,AF4,AJ4,AN4,AR4,AV4,AZ4,BD4,BH4,BL4,BP4,BT4,BX4,CB4,CF4,CJ4,CN4,CR4,CV4,CZ4,DD4,DH4,DL4,DP4,DT4,DX4,EB4,EF4,EJ4,EN4,ER4,EV4,EZ4,FD4,FH4,FL4,FP4,FT4,FX4)</f>
        <v>6.7727272727272725</v>
      </c>
      <c r="GD4" s="15">
        <f t="shared" ref="GD4:GD11" si="93">SQRT((F4+J4+N4+R4+V4+Z4+AD4+AH4+AL4+AP4+AT4+AX4+BB4+BF4+BJ4+BN4+BR4+BV4+BZ4+CD4+CH4++CL4+CP4+CT4+CX4+DB4+DF4+DJ4+DN4+DR4+DV4+DZ4+ED4+EH4+EL4+EP4+ET4+EX4+FB4+FF4+FJ4+FN4+FR4+FV4+FZ4)/GA4)</f>
        <v>2.0526249180447325</v>
      </c>
      <c r="GE4" s="16">
        <f t="shared" ref="GE4:GE11" si="94">GB4</f>
        <v>95.091710758377403</v>
      </c>
      <c r="GF4" s="17" t="s">
        <v>3</v>
      </c>
      <c r="GG4" s="24">
        <f t="shared" ref="GG4:GG11" si="95">GD4</f>
        <v>2.0526249180447325</v>
      </c>
      <c r="GH4" s="4" t="str">
        <f t="shared" ref="GH4:GH11" si="96">IF(GB4&lt;40,"неудовлетворительно",IF((GB4&gt;=40)*AND(GB4&lt;60),"удовлетворительно",IF((GB4&gt;=60)*AND(GB4&lt;80),"хорошо","отлично")))</f>
        <v>отлично</v>
      </c>
      <c r="GI4" s="64"/>
      <c r="GJ4" s="32"/>
      <c r="GK4" s="65"/>
      <c r="GL4" s="65"/>
      <c r="GM4" s="64"/>
      <c r="GN4" s="32"/>
      <c r="GO4" s="65"/>
      <c r="GP4" s="65"/>
      <c r="GQ4" s="64"/>
      <c r="GR4" s="32"/>
      <c r="GS4" s="65"/>
      <c r="GT4" s="65"/>
      <c r="GU4" s="64"/>
      <c r="GV4" s="32"/>
      <c r="GW4" s="65"/>
      <c r="GX4" s="65"/>
      <c r="GY4" s="64"/>
      <c r="GZ4" s="32"/>
      <c r="HA4" s="65"/>
      <c r="HB4" s="65"/>
      <c r="HC4" s="64"/>
      <c r="HD4" s="32"/>
      <c r="HE4" s="65"/>
      <c r="HF4" s="65"/>
      <c r="HG4" s="64"/>
      <c r="HH4" s="64"/>
      <c r="HI4" s="65"/>
      <c r="HJ4" s="65"/>
      <c r="HK4" s="64"/>
      <c r="HL4" s="32"/>
      <c r="HM4" s="65"/>
      <c r="HN4" s="65"/>
      <c r="HO4" s="64"/>
      <c r="HP4" s="32"/>
      <c r="HQ4" s="65"/>
      <c r="HR4" s="65"/>
      <c r="HS4" s="64"/>
      <c r="HT4" s="32"/>
      <c r="HU4" s="65"/>
      <c r="HV4" s="65"/>
      <c r="HW4" s="64"/>
      <c r="HX4" s="32"/>
      <c r="HY4" s="65"/>
      <c r="HZ4" s="65"/>
    </row>
    <row r="5" spans="1:234" ht="52.5" customHeight="1" thickBot="1" x14ac:dyDescent="0.3">
      <c r="A5" s="21">
        <v>3</v>
      </c>
      <c r="B5" s="31" t="s">
        <v>15</v>
      </c>
      <c r="C5" s="3">
        <v>6</v>
      </c>
      <c r="D5" s="5">
        <v>6</v>
      </c>
      <c r="E5" s="12">
        <f t="shared" si="0"/>
        <v>1</v>
      </c>
      <c r="F5" s="12">
        <f t="shared" si="1"/>
        <v>1.8595041322314041</v>
      </c>
      <c r="G5" s="3">
        <v>8</v>
      </c>
      <c r="H5" s="5">
        <v>8</v>
      </c>
      <c r="I5" s="12">
        <f t="shared" si="2"/>
        <v>1</v>
      </c>
      <c r="J5" s="12">
        <f t="shared" si="3"/>
        <v>0.40495867768595084</v>
      </c>
      <c r="K5" s="3">
        <v>7</v>
      </c>
      <c r="L5" s="5">
        <v>6</v>
      </c>
      <c r="M5" s="12">
        <f t="shared" si="4"/>
        <v>0.8571428571428571</v>
      </c>
      <c r="N5" s="12">
        <f t="shared" si="5"/>
        <v>1.8595041322314041</v>
      </c>
      <c r="O5" s="3">
        <v>8</v>
      </c>
      <c r="P5" s="5">
        <v>10</v>
      </c>
      <c r="Q5" s="12">
        <f t="shared" si="6"/>
        <v>1.25</v>
      </c>
      <c r="R5" s="12">
        <f t="shared" si="7"/>
        <v>6.9504132231404974</v>
      </c>
      <c r="S5" s="3">
        <v>5</v>
      </c>
      <c r="T5" s="26">
        <v>5</v>
      </c>
      <c r="U5" s="12">
        <f t="shared" si="8"/>
        <v>1</v>
      </c>
      <c r="V5" s="12">
        <f t="shared" si="9"/>
        <v>5.5867768595041305</v>
      </c>
      <c r="W5" s="3">
        <v>8</v>
      </c>
      <c r="X5" s="5">
        <v>8</v>
      </c>
      <c r="Y5" s="12">
        <f t="shared" si="10"/>
        <v>1</v>
      </c>
      <c r="Z5" s="12">
        <f t="shared" si="11"/>
        <v>0.40495867768595084</v>
      </c>
      <c r="AA5" s="3">
        <v>10</v>
      </c>
      <c r="AB5" s="5">
        <v>10</v>
      </c>
      <c r="AC5" s="12">
        <f t="shared" si="12"/>
        <v>1</v>
      </c>
      <c r="AD5" s="12">
        <f t="shared" si="13"/>
        <v>6.9504132231404974</v>
      </c>
      <c r="AE5" s="3">
        <v>10</v>
      </c>
      <c r="AF5" s="5">
        <v>10</v>
      </c>
      <c r="AG5" s="12">
        <f t="shared" si="14"/>
        <v>1</v>
      </c>
      <c r="AH5" s="12">
        <f t="shared" si="15"/>
        <v>6.9504132231404974</v>
      </c>
      <c r="AI5" s="3">
        <v>8</v>
      </c>
      <c r="AJ5" s="5">
        <v>8</v>
      </c>
      <c r="AK5" s="12">
        <f t="shared" si="16"/>
        <v>1</v>
      </c>
      <c r="AL5" s="12">
        <f t="shared" si="17"/>
        <v>0.40495867768595084</v>
      </c>
      <c r="AM5" s="3">
        <v>7</v>
      </c>
      <c r="AN5" s="5">
        <v>6</v>
      </c>
      <c r="AO5" s="12">
        <f t="shared" si="18"/>
        <v>0.8571428571428571</v>
      </c>
      <c r="AP5" s="12">
        <f t="shared" si="19"/>
        <v>1.8595041322314041</v>
      </c>
      <c r="AQ5" s="3">
        <v>8</v>
      </c>
      <c r="AR5" s="5">
        <v>7</v>
      </c>
      <c r="AS5" s="12">
        <f t="shared" si="20"/>
        <v>0.875</v>
      </c>
      <c r="AT5" s="12">
        <f t="shared" si="21"/>
        <v>0.13223140495867744</v>
      </c>
      <c r="AU5" s="3">
        <v>9</v>
      </c>
      <c r="AV5" s="5">
        <v>9</v>
      </c>
      <c r="AW5" s="12">
        <f t="shared" si="22"/>
        <v>1</v>
      </c>
      <c r="AX5" s="12">
        <f t="shared" si="23"/>
        <v>2.677685950413224</v>
      </c>
      <c r="AY5" s="3">
        <v>6</v>
      </c>
      <c r="AZ5" s="5">
        <v>6</v>
      </c>
      <c r="BA5" s="12">
        <f t="shared" si="24"/>
        <v>1</v>
      </c>
      <c r="BB5" s="12">
        <f t="shared" si="25"/>
        <v>1.8595041322314041</v>
      </c>
      <c r="BC5" s="3">
        <v>7</v>
      </c>
      <c r="BD5" s="5">
        <v>7</v>
      </c>
      <c r="BE5" s="12">
        <f t="shared" si="26"/>
        <v>1</v>
      </c>
      <c r="BF5" s="12">
        <f t="shared" si="27"/>
        <v>0.13223140495867744</v>
      </c>
      <c r="BG5" s="3">
        <v>7</v>
      </c>
      <c r="BH5" s="5">
        <v>6</v>
      </c>
      <c r="BI5" s="12">
        <f t="shared" si="28"/>
        <v>0.8571428571428571</v>
      </c>
      <c r="BJ5" s="12">
        <f t="shared" si="29"/>
        <v>1.8595041322314041</v>
      </c>
      <c r="BK5" s="3">
        <v>8</v>
      </c>
      <c r="BL5" s="5">
        <v>8</v>
      </c>
      <c r="BM5" s="12">
        <f t="shared" si="30"/>
        <v>1</v>
      </c>
      <c r="BN5" s="12">
        <f t="shared" si="31"/>
        <v>0.40495867768595084</v>
      </c>
      <c r="BO5" s="3">
        <v>8</v>
      </c>
      <c r="BP5" s="5"/>
      <c r="BQ5" s="12">
        <f t="shared" si="32"/>
        <v>0</v>
      </c>
      <c r="BR5" s="12">
        <f t="shared" si="33"/>
        <v>54.223140495867767</v>
      </c>
      <c r="BS5" s="3">
        <v>6</v>
      </c>
      <c r="BT5" s="5">
        <v>6</v>
      </c>
      <c r="BU5" s="12">
        <f t="shared" si="34"/>
        <v>1</v>
      </c>
      <c r="BV5" s="12">
        <f t="shared" si="35"/>
        <v>1.8595041322314041</v>
      </c>
      <c r="BW5" s="3">
        <v>10</v>
      </c>
      <c r="BX5" s="5">
        <v>9</v>
      </c>
      <c r="BY5" s="12">
        <f t="shared" si="36"/>
        <v>0.9</v>
      </c>
      <c r="BZ5" s="12">
        <f t="shared" si="37"/>
        <v>2.677685950413224</v>
      </c>
      <c r="CA5" s="3">
        <v>8</v>
      </c>
      <c r="CB5" s="5">
        <v>7</v>
      </c>
      <c r="CC5" s="12">
        <f t="shared" si="38"/>
        <v>0.875</v>
      </c>
      <c r="CD5" s="12">
        <f t="shared" si="39"/>
        <v>0.13223140495867744</v>
      </c>
      <c r="CE5" s="3">
        <v>9</v>
      </c>
      <c r="CF5" s="5">
        <v>9</v>
      </c>
      <c r="CG5" s="12">
        <f t="shared" si="40"/>
        <v>1</v>
      </c>
      <c r="CH5" s="12">
        <f t="shared" si="41"/>
        <v>2.677685950413224</v>
      </c>
      <c r="CI5" s="3">
        <v>6</v>
      </c>
      <c r="CJ5" s="5">
        <v>4</v>
      </c>
      <c r="CK5" s="12">
        <f t="shared" si="42"/>
        <v>0.66666666666666663</v>
      </c>
      <c r="CL5" s="12">
        <f t="shared" si="43"/>
        <v>11.314049586776857</v>
      </c>
      <c r="CM5" s="3">
        <v>7</v>
      </c>
      <c r="CN5" s="5">
        <v>7</v>
      </c>
      <c r="CO5" s="12">
        <f t="shared" si="44"/>
        <v>1</v>
      </c>
      <c r="CP5" s="12">
        <f t="shared" si="45"/>
        <v>0.13223140495867744</v>
      </c>
      <c r="CQ5" s="3">
        <v>9</v>
      </c>
      <c r="CR5" s="5">
        <v>9</v>
      </c>
      <c r="CS5" s="12">
        <f t="shared" si="46"/>
        <v>1</v>
      </c>
      <c r="CT5" s="12">
        <f t="shared" si="47"/>
        <v>2.677685950413224</v>
      </c>
      <c r="CU5" s="3">
        <v>10</v>
      </c>
      <c r="CV5" s="5">
        <v>10</v>
      </c>
      <c r="CW5" s="12">
        <f t="shared" si="48"/>
        <v>1</v>
      </c>
      <c r="CX5" s="12">
        <f t="shared" si="49"/>
        <v>6.9504132231404974</v>
      </c>
      <c r="CY5" s="3">
        <v>7</v>
      </c>
      <c r="CZ5" s="5">
        <v>5</v>
      </c>
      <c r="DA5" s="12">
        <f t="shared" si="50"/>
        <v>0.7142857142857143</v>
      </c>
      <c r="DB5" s="12">
        <f t="shared" si="51"/>
        <v>5.5867768595041305</v>
      </c>
      <c r="DC5" s="3">
        <v>7</v>
      </c>
      <c r="DD5" s="5">
        <v>5</v>
      </c>
      <c r="DE5" s="12">
        <f t="shared" si="52"/>
        <v>0.7142857142857143</v>
      </c>
      <c r="DF5" s="12">
        <f t="shared" si="53"/>
        <v>5.5867768595041305</v>
      </c>
      <c r="DG5" s="3">
        <v>8</v>
      </c>
      <c r="DH5" s="5">
        <v>7</v>
      </c>
      <c r="DI5" s="12">
        <f t="shared" si="54"/>
        <v>0.875</v>
      </c>
      <c r="DJ5" s="12">
        <f t="shared" si="55"/>
        <v>0.13223140495867744</v>
      </c>
      <c r="DK5" s="3">
        <v>9</v>
      </c>
      <c r="DL5" s="5">
        <v>9</v>
      </c>
      <c r="DM5" s="12">
        <f t="shared" si="56"/>
        <v>1</v>
      </c>
      <c r="DN5" s="12">
        <f t="shared" si="57"/>
        <v>2.677685950413224</v>
      </c>
      <c r="DO5" s="3">
        <v>7</v>
      </c>
      <c r="DP5" s="5">
        <v>7</v>
      </c>
      <c r="DQ5" s="12">
        <f t="shared" si="58"/>
        <v>1</v>
      </c>
      <c r="DR5" s="12">
        <f t="shared" si="59"/>
        <v>0.13223140495867744</v>
      </c>
      <c r="DS5" s="3">
        <v>9</v>
      </c>
      <c r="DT5" s="26">
        <v>9</v>
      </c>
      <c r="DU5" s="12">
        <f t="shared" si="60"/>
        <v>1</v>
      </c>
      <c r="DV5" s="12">
        <f t="shared" si="61"/>
        <v>2.677685950413224</v>
      </c>
      <c r="DW5" s="3">
        <v>10</v>
      </c>
      <c r="DX5" s="5">
        <v>2</v>
      </c>
      <c r="DY5" s="12">
        <f t="shared" si="62"/>
        <v>0.2</v>
      </c>
      <c r="DZ5" s="12">
        <f t="shared" si="63"/>
        <v>28.76859504132231</v>
      </c>
      <c r="EA5" s="3">
        <v>9</v>
      </c>
      <c r="EB5" s="5">
        <v>9</v>
      </c>
      <c r="EC5" s="12">
        <f t="shared" si="64"/>
        <v>1</v>
      </c>
      <c r="ED5" s="12">
        <f t="shared" si="65"/>
        <v>2.677685950413224</v>
      </c>
      <c r="EE5" s="3">
        <v>8</v>
      </c>
      <c r="EF5" s="5">
        <v>7</v>
      </c>
      <c r="EG5" s="12">
        <f t="shared" si="66"/>
        <v>0.875</v>
      </c>
      <c r="EH5" s="12">
        <f t="shared" si="67"/>
        <v>0.13223140495867744</v>
      </c>
      <c r="EI5" s="3">
        <v>8</v>
      </c>
      <c r="EJ5" s="5">
        <v>7</v>
      </c>
      <c r="EK5" s="12">
        <f t="shared" si="68"/>
        <v>0.875</v>
      </c>
      <c r="EL5" s="12">
        <f t="shared" si="69"/>
        <v>0.13223140495867744</v>
      </c>
      <c r="EM5" s="3">
        <v>8</v>
      </c>
      <c r="EN5" s="5">
        <v>8</v>
      </c>
      <c r="EO5" s="12">
        <f t="shared" si="70"/>
        <v>1</v>
      </c>
      <c r="EP5" s="12">
        <f t="shared" si="71"/>
        <v>0.40495867768595084</v>
      </c>
      <c r="EQ5" s="3">
        <v>9</v>
      </c>
      <c r="ER5" s="5">
        <v>9</v>
      </c>
      <c r="ES5" s="12">
        <f t="shared" si="72"/>
        <v>1</v>
      </c>
      <c r="ET5" s="12">
        <f t="shared" si="73"/>
        <v>2.677685950413224</v>
      </c>
      <c r="EU5" s="3">
        <v>8</v>
      </c>
      <c r="EV5" s="5">
        <v>8</v>
      </c>
      <c r="EW5" s="12">
        <f t="shared" si="74"/>
        <v>1</v>
      </c>
      <c r="EX5" s="12">
        <f t="shared" si="75"/>
        <v>0.40495867768595084</v>
      </c>
      <c r="EY5" s="3">
        <v>9</v>
      </c>
      <c r="EZ5" s="5">
        <v>9</v>
      </c>
      <c r="FA5" s="12">
        <f t="shared" si="76"/>
        <v>1</v>
      </c>
      <c r="FB5" s="12">
        <f t="shared" si="77"/>
        <v>2.677685950413224</v>
      </c>
      <c r="FC5" s="3">
        <v>8</v>
      </c>
      <c r="FD5" s="26">
        <v>8</v>
      </c>
      <c r="FE5" s="12">
        <f t="shared" si="78"/>
        <v>1</v>
      </c>
      <c r="FF5" s="12">
        <f t="shared" si="79"/>
        <v>0.40495867768595084</v>
      </c>
      <c r="FG5" s="3">
        <v>8</v>
      </c>
      <c r="FH5" s="5">
        <v>8</v>
      </c>
      <c r="FI5" s="12">
        <f t="shared" si="80"/>
        <v>1</v>
      </c>
      <c r="FJ5" s="12">
        <f t="shared" si="81"/>
        <v>0.40495867768595084</v>
      </c>
      <c r="FK5" s="3">
        <v>6</v>
      </c>
      <c r="FL5" s="5">
        <v>6</v>
      </c>
      <c r="FM5" s="12">
        <f t="shared" si="82"/>
        <v>1</v>
      </c>
      <c r="FN5" s="12">
        <f t="shared" si="83"/>
        <v>1.8595041322314041</v>
      </c>
      <c r="FO5" s="3">
        <v>8</v>
      </c>
      <c r="FP5" s="5">
        <v>7</v>
      </c>
      <c r="FQ5" s="12">
        <f t="shared" si="84"/>
        <v>0.875</v>
      </c>
      <c r="FR5" s="12">
        <f t="shared" si="85"/>
        <v>0.13223140495867744</v>
      </c>
      <c r="FS5" s="3">
        <v>7</v>
      </c>
      <c r="FT5" s="5">
        <v>6</v>
      </c>
      <c r="FU5" s="12">
        <f t="shared" si="86"/>
        <v>0.8571428571428571</v>
      </c>
      <c r="FV5" s="12">
        <f t="shared" si="87"/>
        <v>1.8595041322314041</v>
      </c>
      <c r="FW5" s="3">
        <v>7</v>
      </c>
      <c r="FX5" s="5">
        <v>7</v>
      </c>
      <c r="FY5" s="12">
        <f t="shared" si="88"/>
        <v>1</v>
      </c>
      <c r="FZ5" s="12">
        <f t="shared" si="89"/>
        <v>0.13223140495867744</v>
      </c>
      <c r="GA5" s="4">
        <f t="shared" si="90"/>
        <v>45</v>
      </c>
      <c r="GB5" s="15">
        <f t="shared" si="91"/>
        <v>91.386243386243379</v>
      </c>
      <c r="GC5" s="15">
        <f t="shared" si="92"/>
        <v>7.3636363636363633</v>
      </c>
      <c r="GD5" s="15">
        <f t="shared" si="93"/>
        <v>2.0133165489238896</v>
      </c>
      <c r="GE5" s="16">
        <f t="shared" si="94"/>
        <v>91.386243386243379</v>
      </c>
      <c r="GF5" s="17" t="s">
        <v>3</v>
      </c>
      <c r="GG5" s="24">
        <f t="shared" si="95"/>
        <v>2.0133165489238896</v>
      </c>
      <c r="GH5" s="4" t="str">
        <f t="shared" si="96"/>
        <v>отлично</v>
      </c>
      <c r="GI5" s="64"/>
      <c r="GJ5" s="32"/>
      <c r="GK5" s="65"/>
      <c r="GL5" s="65"/>
      <c r="GM5" s="64"/>
      <c r="GN5" s="32"/>
      <c r="GO5" s="65"/>
      <c r="GP5" s="65"/>
      <c r="GQ5" s="64"/>
      <c r="GR5" s="32"/>
      <c r="GS5" s="65"/>
      <c r="GT5" s="65"/>
      <c r="GU5" s="64"/>
      <c r="GV5" s="32"/>
      <c r="GW5" s="65"/>
      <c r="GX5" s="65"/>
      <c r="GY5" s="64"/>
      <c r="GZ5" s="32"/>
      <c r="HA5" s="65"/>
      <c r="HB5" s="65"/>
      <c r="HC5" s="64"/>
      <c r="HD5" s="32"/>
      <c r="HE5" s="65"/>
      <c r="HF5" s="65"/>
      <c r="HG5" s="64"/>
      <c r="HH5" s="64"/>
      <c r="HI5" s="65"/>
      <c r="HJ5" s="65"/>
      <c r="HK5" s="64"/>
      <c r="HL5" s="32"/>
      <c r="HM5" s="65"/>
      <c r="HN5" s="65"/>
      <c r="HO5" s="64"/>
      <c r="HP5" s="32"/>
      <c r="HQ5" s="65"/>
      <c r="HR5" s="65"/>
      <c r="HS5" s="64"/>
      <c r="HT5" s="32"/>
      <c r="HU5" s="65"/>
      <c r="HV5" s="65"/>
      <c r="HW5" s="64"/>
      <c r="HX5" s="32"/>
      <c r="HY5" s="65"/>
      <c r="HZ5" s="65"/>
    </row>
    <row r="6" spans="1:234" ht="30.75" customHeight="1" thickBot="1" x14ac:dyDescent="0.3">
      <c r="A6" s="21">
        <v>4</v>
      </c>
      <c r="B6" s="31" t="s">
        <v>10</v>
      </c>
      <c r="C6" s="3">
        <v>9</v>
      </c>
      <c r="D6" s="5">
        <v>5</v>
      </c>
      <c r="E6" s="8">
        <f t="shared" si="0"/>
        <v>0.55555555555555558</v>
      </c>
      <c r="F6" s="12">
        <f t="shared" si="1"/>
        <v>2.1823347107438025</v>
      </c>
      <c r="G6" s="3">
        <v>7</v>
      </c>
      <c r="H6" s="5">
        <v>7</v>
      </c>
      <c r="I6" s="12">
        <f t="shared" si="2"/>
        <v>1</v>
      </c>
      <c r="J6" s="12">
        <f t="shared" si="3"/>
        <v>0.2732438016528923</v>
      </c>
      <c r="K6" s="3">
        <v>7</v>
      </c>
      <c r="L6" s="5">
        <v>6</v>
      </c>
      <c r="M6" s="12">
        <f t="shared" si="4"/>
        <v>0.8571428571428571</v>
      </c>
      <c r="N6" s="12">
        <f t="shared" si="5"/>
        <v>0.22778925619834733</v>
      </c>
      <c r="O6" s="3">
        <v>10</v>
      </c>
      <c r="P6" s="5">
        <v>9</v>
      </c>
      <c r="Q6" s="12">
        <f t="shared" si="6"/>
        <v>0.9</v>
      </c>
      <c r="R6" s="12">
        <f t="shared" si="7"/>
        <v>6.3641528925619824</v>
      </c>
      <c r="S6" s="3">
        <v>7</v>
      </c>
      <c r="T6" s="26">
        <v>7</v>
      </c>
      <c r="U6" s="12">
        <f t="shared" si="8"/>
        <v>1</v>
      </c>
      <c r="V6" s="12">
        <f t="shared" si="9"/>
        <v>0.2732438016528923</v>
      </c>
      <c r="W6" s="3">
        <v>8</v>
      </c>
      <c r="X6" s="5">
        <v>8</v>
      </c>
      <c r="Y6" s="12">
        <f t="shared" si="10"/>
        <v>1</v>
      </c>
      <c r="Z6" s="12">
        <f t="shared" si="11"/>
        <v>2.3186983471074374</v>
      </c>
      <c r="AA6" s="3">
        <v>10</v>
      </c>
      <c r="AB6" s="5">
        <v>10</v>
      </c>
      <c r="AC6" s="12">
        <f t="shared" si="12"/>
        <v>1</v>
      </c>
      <c r="AD6" s="12">
        <f t="shared" si="13"/>
        <v>12.409607438016527</v>
      </c>
      <c r="AE6" s="3">
        <v>5</v>
      </c>
      <c r="AF6" s="5">
        <v>6</v>
      </c>
      <c r="AG6" s="12">
        <f t="shared" si="14"/>
        <v>1.2</v>
      </c>
      <c r="AH6" s="12">
        <f t="shared" si="15"/>
        <v>0.22778925619834733</v>
      </c>
      <c r="AI6" s="3">
        <v>7</v>
      </c>
      <c r="AJ6" s="5">
        <v>7</v>
      </c>
      <c r="AK6" s="12">
        <f t="shared" si="16"/>
        <v>1</v>
      </c>
      <c r="AL6" s="12">
        <f t="shared" si="17"/>
        <v>0.2732438016528923</v>
      </c>
      <c r="AM6" s="3">
        <v>7</v>
      </c>
      <c r="AN6" s="5">
        <v>8</v>
      </c>
      <c r="AO6" s="12">
        <f t="shared" si="18"/>
        <v>1.1428571428571428</v>
      </c>
      <c r="AP6" s="12">
        <f t="shared" si="19"/>
        <v>2.3186983471074374</v>
      </c>
      <c r="AQ6" s="3">
        <v>7</v>
      </c>
      <c r="AR6" s="5">
        <v>6</v>
      </c>
      <c r="AS6" s="12">
        <f t="shared" si="20"/>
        <v>0.8571428571428571</v>
      </c>
      <c r="AT6" s="12">
        <f t="shared" si="21"/>
        <v>0.22778925619834733</v>
      </c>
      <c r="AU6" s="3">
        <v>6</v>
      </c>
      <c r="AV6" s="5">
        <v>6</v>
      </c>
      <c r="AW6" s="12">
        <f t="shared" si="22"/>
        <v>1</v>
      </c>
      <c r="AX6" s="12">
        <f t="shared" si="23"/>
        <v>0.22778925619834733</v>
      </c>
      <c r="AY6" s="3">
        <v>7</v>
      </c>
      <c r="AZ6" s="5">
        <v>7</v>
      </c>
      <c r="BA6" s="12">
        <f t="shared" si="24"/>
        <v>1</v>
      </c>
      <c r="BB6" s="12">
        <f t="shared" si="25"/>
        <v>0.2732438016528923</v>
      </c>
      <c r="BC6" s="3">
        <v>8</v>
      </c>
      <c r="BD6" s="5">
        <v>8</v>
      </c>
      <c r="BE6" s="12">
        <f t="shared" si="26"/>
        <v>1</v>
      </c>
      <c r="BF6" s="12">
        <f t="shared" si="27"/>
        <v>2.3186983471074374</v>
      </c>
      <c r="BG6" s="3">
        <v>10</v>
      </c>
      <c r="BH6" s="5">
        <v>7</v>
      </c>
      <c r="BI6" s="12">
        <f t="shared" si="28"/>
        <v>0.7</v>
      </c>
      <c r="BJ6" s="12">
        <f t="shared" si="29"/>
        <v>0.2732438016528923</v>
      </c>
      <c r="BK6" s="3">
        <v>9</v>
      </c>
      <c r="BL6" s="5">
        <v>9</v>
      </c>
      <c r="BM6" s="12">
        <f t="shared" si="30"/>
        <v>1</v>
      </c>
      <c r="BN6" s="12">
        <f t="shared" si="31"/>
        <v>6.3641528925619824</v>
      </c>
      <c r="BO6" s="3">
        <v>4</v>
      </c>
      <c r="BP6" s="5"/>
      <c r="BQ6" s="12">
        <f t="shared" si="32"/>
        <v>0</v>
      </c>
      <c r="BR6" s="12">
        <f t="shared" si="33"/>
        <v>41.955061983471076</v>
      </c>
      <c r="BS6" s="3">
        <v>7</v>
      </c>
      <c r="BT6" s="5">
        <v>7</v>
      </c>
      <c r="BU6" s="12">
        <f t="shared" si="34"/>
        <v>1</v>
      </c>
      <c r="BV6" s="12">
        <f t="shared" si="35"/>
        <v>0.2732438016528923</v>
      </c>
      <c r="BW6" s="3">
        <v>5</v>
      </c>
      <c r="BX6" s="5">
        <v>5</v>
      </c>
      <c r="BY6" s="12">
        <f t="shared" si="36"/>
        <v>1</v>
      </c>
      <c r="BZ6" s="12">
        <f t="shared" si="37"/>
        <v>2.1823347107438025</v>
      </c>
      <c r="CA6" s="3">
        <v>9</v>
      </c>
      <c r="CB6" s="5">
        <v>9</v>
      </c>
      <c r="CC6" s="12">
        <f t="shared" si="38"/>
        <v>1</v>
      </c>
      <c r="CD6" s="12">
        <f t="shared" si="39"/>
        <v>6.3641528925619824</v>
      </c>
      <c r="CE6" s="3">
        <v>7</v>
      </c>
      <c r="CF6" s="5">
        <v>7</v>
      </c>
      <c r="CG6" s="12">
        <f t="shared" si="40"/>
        <v>1</v>
      </c>
      <c r="CH6" s="12">
        <f t="shared" si="41"/>
        <v>0.2732438016528923</v>
      </c>
      <c r="CI6" s="3">
        <v>5</v>
      </c>
      <c r="CJ6" s="5">
        <v>5</v>
      </c>
      <c r="CK6" s="12">
        <f t="shared" si="42"/>
        <v>1</v>
      </c>
      <c r="CL6" s="12">
        <f t="shared" si="43"/>
        <v>2.1823347107438025</v>
      </c>
      <c r="CM6" s="3">
        <v>9</v>
      </c>
      <c r="CN6" s="5">
        <v>8</v>
      </c>
      <c r="CO6" s="12">
        <f t="shared" si="44"/>
        <v>0.88888888888888884</v>
      </c>
      <c r="CP6" s="12">
        <f t="shared" si="45"/>
        <v>2.3186983471074374</v>
      </c>
      <c r="CQ6" s="3">
        <v>8</v>
      </c>
      <c r="CR6" s="5">
        <v>8</v>
      </c>
      <c r="CS6" s="12">
        <f t="shared" si="46"/>
        <v>1</v>
      </c>
      <c r="CT6" s="12">
        <f t="shared" si="47"/>
        <v>2.3186983471074374</v>
      </c>
      <c r="CU6" s="3">
        <v>1</v>
      </c>
      <c r="CV6" s="5">
        <v>1</v>
      </c>
      <c r="CW6" s="12">
        <f t="shared" si="48"/>
        <v>1</v>
      </c>
      <c r="CX6" s="12">
        <f t="shared" si="49"/>
        <v>30.000516528925623</v>
      </c>
      <c r="CY6" s="3">
        <v>6</v>
      </c>
      <c r="CZ6" s="5">
        <v>5</v>
      </c>
      <c r="DA6" s="12">
        <f t="shared" si="50"/>
        <v>0.83333333333333337</v>
      </c>
      <c r="DB6" s="12">
        <f t="shared" si="51"/>
        <v>2.1823347107438025</v>
      </c>
      <c r="DC6" s="3">
        <v>6</v>
      </c>
      <c r="DD6" s="5">
        <v>4</v>
      </c>
      <c r="DE6" s="8">
        <f t="shared" si="52"/>
        <v>0.66666666666666663</v>
      </c>
      <c r="DF6" s="12">
        <f t="shared" si="53"/>
        <v>6.1368801652892575</v>
      </c>
      <c r="DG6" s="3">
        <v>7</v>
      </c>
      <c r="DH6" s="5">
        <v>7</v>
      </c>
      <c r="DI6" s="12">
        <f t="shared" si="54"/>
        <v>1</v>
      </c>
      <c r="DJ6" s="12">
        <f t="shared" si="55"/>
        <v>0.2732438016528923</v>
      </c>
      <c r="DK6" s="3">
        <v>10</v>
      </c>
      <c r="DL6" s="5">
        <v>10</v>
      </c>
      <c r="DM6" s="12">
        <f t="shared" si="56"/>
        <v>1</v>
      </c>
      <c r="DN6" s="12">
        <f t="shared" si="57"/>
        <v>12.409607438016527</v>
      </c>
      <c r="DO6" s="3">
        <v>6</v>
      </c>
      <c r="DP6" s="5">
        <v>8</v>
      </c>
      <c r="DQ6" s="12">
        <f t="shared" si="58"/>
        <v>1.3333333333333333</v>
      </c>
      <c r="DR6" s="12">
        <f t="shared" si="59"/>
        <v>2.3186983471074374</v>
      </c>
      <c r="DS6" s="3">
        <v>1</v>
      </c>
      <c r="DT6" s="26">
        <v>1</v>
      </c>
      <c r="DU6" s="12">
        <f t="shared" si="60"/>
        <v>1</v>
      </c>
      <c r="DV6" s="12">
        <f t="shared" si="61"/>
        <v>30.000516528925623</v>
      </c>
      <c r="DW6" s="3">
        <v>6</v>
      </c>
      <c r="DX6" s="5">
        <v>5</v>
      </c>
      <c r="DY6" s="12">
        <f t="shared" si="62"/>
        <v>0.83333333333333337</v>
      </c>
      <c r="DZ6" s="12">
        <f t="shared" si="63"/>
        <v>2.1823347107438025</v>
      </c>
      <c r="EA6" s="3">
        <v>1</v>
      </c>
      <c r="EB6" s="5">
        <v>1</v>
      </c>
      <c r="EC6" s="12">
        <f t="shared" si="64"/>
        <v>1</v>
      </c>
      <c r="ED6" s="12">
        <f t="shared" si="65"/>
        <v>30.000516528925623</v>
      </c>
      <c r="EE6" s="3">
        <v>5</v>
      </c>
      <c r="EF6" s="5">
        <v>4</v>
      </c>
      <c r="EG6" s="12">
        <f t="shared" si="66"/>
        <v>0.8</v>
      </c>
      <c r="EH6" s="12">
        <f t="shared" si="67"/>
        <v>6.1368801652892575</v>
      </c>
      <c r="EI6" s="3">
        <v>6</v>
      </c>
      <c r="EJ6" s="5">
        <v>5</v>
      </c>
      <c r="EK6" s="12">
        <f t="shared" si="68"/>
        <v>0.83333333333333337</v>
      </c>
      <c r="EL6" s="12">
        <f t="shared" si="69"/>
        <v>2.1823347107438025</v>
      </c>
      <c r="EM6" s="3">
        <v>8</v>
      </c>
      <c r="EN6" s="5">
        <v>8</v>
      </c>
      <c r="EO6" s="8">
        <f t="shared" si="70"/>
        <v>1</v>
      </c>
      <c r="EP6" s="12">
        <f t="shared" si="71"/>
        <v>2.3186983471074374</v>
      </c>
      <c r="EQ6" s="3">
        <v>7</v>
      </c>
      <c r="ER6" s="5">
        <v>6</v>
      </c>
      <c r="ES6" s="12">
        <f t="shared" si="72"/>
        <v>0.8571428571428571</v>
      </c>
      <c r="ET6" s="12">
        <f t="shared" si="73"/>
        <v>0.22778925619834733</v>
      </c>
      <c r="EU6" s="3">
        <v>8</v>
      </c>
      <c r="EV6" s="5">
        <v>8</v>
      </c>
      <c r="EW6" s="12">
        <f t="shared" si="74"/>
        <v>1</v>
      </c>
      <c r="EX6" s="12">
        <f t="shared" si="75"/>
        <v>2.3186983471074374</v>
      </c>
      <c r="EY6" s="3">
        <v>8</v>
      </c>
      <c r="EZ6" s="5">
        <v>8</v>
      </c>
      <c r="FA6" s="12">
        <f t="shared" si="76"/>
        <v>1</v>
      </c>
      <c r="FB6" s="12">
        <f t="shared" si="77"/>
        <v>2.3186983471074374</v>
      </c>
      <c r="FC6" s="3">
        <v>7</v>
      </c>
      <c r="FD6" s="26">
        <v>7</v>
      </c>
      <c r="FE6" s="12">
        <f t="shared" si="78"/>
        <v>1</v>
      </c>
      <c r="FF6" s="12">
        <f t="shared" si="79"/>
        <v>0.2732438016528923</v>
      </c>
      <c r="FG6" s="3">
        <v>6</v>
      </c>
      <c r="FH6" s="5">
        <v>6</v>
      </c>
      <c r="FI6" s="12">
        <f t="shared" si="80"/>
        <v>1</v>
      </c>
      <c r="FJ6" s="12">
        <f t="shared" si="81"/>
        <v>0.22778925619834733</v>
      </c>
      <c r="FK6" s="3">
        <v>6</v>
      </c>
      <c r="FL6" s="5">
        <v>6</v>
      </c>
      <c r="FM6" s="12">
        <f t="shared" si="82"/>
        <v>1</v>
      </c>
      <c r="FN6" s="12">
        <f t="shared" si="83"/>
        <v>0.22778925619834733</v>
      </c>
      <c r="FO6" s="3">
        <v>5</v>
      </c>
      <c r="FP6" s="5">
        <v>4</v>
      </c>
      <c r="FQ6" s="12">
        <f t="shared" si="84"/>
        <v>0.8</v>
      </c>
      <c r="FR6" s="12">
        <f t="shared" si="85"/>
        <v>6.1368801652892575</v>
      </c>
      <c r="FS6" s="3">
        <v>9</v>
      </c>
      <c r="FT6" s="5">
        <v>9</v>
      </c>
      <c r="FU6" s="12">
        <f t="shared" si="86"/>
        <v>1</v>
      </c>
      <c r="FV6" s="12">
        <f t="shared" si="87"/>
        <v>6.3641528925619824</v>
      </c>
      <c r="FW6" s="3">
        <v>7</v>
      </c>
      <c r="FX6" s="5">
        <v>7</v>
      </c>
      <c r="FY6" s="12">
        <f t="shared" si="88"/>
        <v>1</v>
      </c>
      <c r="FZ6" s="12">
        <f t="shared" si="89"/>
        <v>0.2732438016528923</v>
      </c>
      <c r="GA6" s="4">
        <f t="shared" si="90"/>
        <v>45</v>
      </c>
      <c r="GB6" s="15">
        <f t="shared" si="91"/>
        <v>93.463844797178112</v>
      </c>
      <c r="GC6" s="15">
        <f t="shared" si="92"/>
        <v>6.4772727272727275</v>
      </c>
      <c r="GD6" s="15">
        <f t="shared" si="93"/>
        <v>2.3042585440910339</v>
      </c>
      <c r="GE6" s="16">
        <f t="shared" si="94"/>
        <v>93.463844797178112</v>
      </c>
      <c r="GF6" s="17" t="s">
        <v>3</v>
      </c>
      <c r="GG6" s="24">
        <f t="shared" si="95"/>
        <v>2.3042585440910339</v>
      </c>
      <c r="GH6" s="4" t="str">
        <f t="shared" si="96"/>
        <v>отлично</v>
      </c>
      <c r="GI6" s="64"/>
      <c r="GJ6" s="32"/>
      <c r="GK6" s="65"/>
      <c r="GL6" s="65"/>
      <c r="GM6" s="64"/>
      <c r="GN6" s="32"/>
      <c r="GO6" s="65"/>
      <c r="GP6" s="65"/>
      <c r="GQ6" s="64"/>
      <c r="GR6" s="32"/>
      <c r="GS6" s="65"/>
      <c r="GT6" s="65"/>
      <c r="GU6" s="64"/>
      <c r="GV6" s="32"/>
      <c r="GW6" s="65"/>
      <c r="GX6" s="65"/>
      <c r="GY6" s="64"/>
      <c r="GZ6" s="32"/>
      <c r="HA6" s="65"/>
      <c r="HB6" s="65"/>
      <c r="HC6" s="64"/>
      <c r="HD6" s="32"/>
      <c r="HE6" s="65"/>
      <c r="HF6" s="65"/>
      <c r="HG6" s="64"/>
      <c r="HH6" s="64"/>
      <c r="HI6" s="65"/>
      <c r="HJ6" s="65"/>
      <c r="HK6" s="64"/>
      <c r="HL6" s="32"/>
      <c r="HM6" s="65"/>
      <c r="HN6" s="65"/>
      <c r="HO6" s="64"/>
      <c r="HP6" s="32"/>
      <c r="HQ6" s="65"/>
      <c r="HR6" s="65"/>
      <c r="HS6" s="64"/>
      <c r="HT6" s="32"/>
      <c r="HU6" s="65"/>
      <c r="HV6" s="65"/>
      <c r="HW6" s="64"/>
      <c r="HX6" s="32"/>
      <c r="HY6" s="65"/>
      <c r="HZ6" s="65"/>
    </row>
    <row r="7" spans="1:234" ht="54" customHeight="1" thickBot="1" x14ac:dyDescent="0.3">
      <c r="A7" s="21">
        <v>5</v>
      </c>
      <c r="B7" s="31" t="s">
        <v>11</v>
      </c>
      <c r="C7" s="3">
        <v>5</v>
      </c>
      <c r="D7" s="5">
        <v>3</v>
      </c>
      <c r="E7" s="8">
        <f t="shared" si="0"/>
        <v>0.6</v>
      </c>
      <c r="F7" s="12">
        <f t="shared" si="1"/>
        <v>6.759999999999998</v>
      </c>
      <c r="G7" s="3">
        <v>6</v>
      </c>
      <c r="H7" s="5">
        <v>6</v>
      </c>
      <c r="I7" s="12">
        <f t="shared" si="2"/>
        <v>1</v>
      </c>
      <c r="J7" s="12">
        <f t="shared" si="3"/>
        <v>0.16000000000000028</v>
      </c>
      <c r="K7" s="3">
        <v>6</v>
      </c>
      <c r="L7" s="5">
        <v>5</v>
      </c>
      <c r="M7" s="12">
        <f t="shared" si="4"/>
        <v>0.83333333333333337</v>
      </c>
      <c r="N7" s="12">
        <f t="shared" si="5"/>
        <v>0.3599999999999996</v>
      </c>
      <c r="O7" s="3">
        <v>10</v>
      </c>
      <c r="P7" s="5">
        <v>10</v>
      </c>
      <c r="Q7" s="12">
        <f t="shared" si="6"/>
        <v>1</v>
      </c>
      <c r="R7" s="12">
        <f t="shared" si="7"/>
        <v>19.360000000000003</v>
      </c>
      <c r="S7" s="3">
        <v>2</v>
      </c>
      <c r="T7" s="26">
        <v>3</v>
      </c>
      <c r="U7" s="12">
        <f t="shared" si="8"/>
        <v>1.5</v>
      </c>
      <c r="V7" s="12">
        <f t="shared" si="9"/>
        <v>6.759999999999998</v>
      </c>
      <c r="W7" s="3">
        <v>7</v>
      </c>
      <c r="X7" s="5">
        <v>7</v>
      </c>
      <c r="Y7" s="12">
        <f t="shared" si="10"/>
        <v>1</v>
      </c>
      <c r="Z7" s="12">
        <f t="shared" si="11"/>
        <v>1.9600000000000011</v>
      </c>
      <c r="AA7" s="3">
        <v>10</v>
      </c>
      <c r="AB7" s="5">
        <v>9</v>
      </c>
      <c r="AC7" s="12">
        <f t="shared" si="12"/>
        <v>0.9</v>
      </c>
      <c r="AD7" s="12">
        <f t="shared" si="13"/>
        <v>11.560000000000002</v>
      </c>
      <c r="AE7" s="3">
        <v>9</v>
      </c>
      <c r="AF7" s="5">
        <v>8</v>
      </c>
      <c r="AG7" s="12">
        <f t="shared" si="14"/>
        <v>0.88888888888888884</v>
      </c>
      <c r="AH7" s="12">
        <f t="shared" si="15"/>
        <v>5.7600000000000016</v>
      </c>
      <c r="AI7" s="3">
        <v>8</v>
      </c>
      <c r="AJ7" s="5">
        <v>7</v>
      </c>
      <c r="AK7" s="12">
        <f t="shared" si="16"/>
        <v>0.875</v>
      </c>
      <c r="AL7" s="12">
        <f t="shared" si="17"/>
        <v>1.9600000000000011</v>
      </c>
      <c r="AM7" s="3">
        <v>7</v>
      </c>
      <c r="AN7" s="5">
        <v>8</v>
      </c>
      <c r="AO7" s="12">
        <f t="shared" si="18"/>
        <v>1.1428571428571428</v>
      </c>
      <c r="AP7" s="12">
        <f t="shared" si="19"/>
        <v>5.7600000000000016</v>
      </c>
      <c r="AQ7" s="3">
        <v>6</v>
      </c>
      <c r="AR7" s="5">
        <v>7</v>
      </c>
      <c r="AS7" s="12">
        <f t="shared" si="20"/>
        <v>1.1666666666666667</v>
      </c>
      <c r="AT7" s="12">
        <f t="shared" si="21"/>
        <v>1.9600000000000011</v>
      </c>
      <c r="AU7" s="3">
        <v>7</v>
      </c>
      <c r="AV7" s="5">
        <v>5</v>
      </c>
      <c r="AW7" s="12">
        <f t="shared" si="22"/>
        <v>0.7142857142857143</v>
      </c>
      <c r="AX7" s="12">
        <f t="shared" si="23"/>
        <v>0.3599999999999996</v>
      </c>
      <c r="AY7" s="3">
        <v>5</v>
      </c>
      <c r="AZ7" s="5">
        <v>5</v>
      </c>
      <c r="BA7" s="12">
        <f t="shared" si="24"/>
        <v>1</v>
      </c>
      <c r="BB7" s="12">
        <f t="shared" si="25"/>
        <v>0.3599999999999996</v>
      </c>
      <c r="BC7" s="3">
        <v>6</v>
      </c>
      <c r="BD7" s="5">
        <v>6</v>
      </c>
      <c r="BE7" s="12">
        <f t="shared" si="26"/>
        <v>1</v>
      </c>
      <c r="BF7" s="12">
        <f t="shared" si="27"/>
        <v>0.16000000000000028</v>
      </c>
      <c r="BG7" s="3">
        <v>9</v>
      </c>
      <c r="BH7" s="5">
        <v>8</v>
      </c>
      <c r="BI7" s="12">
        <f t="shared" si="28"/>
        <v>0.88888888888888884</v>
      </c>
      <c r="BJ7" s="12">
        <f t="shared" si="29"/>
        <v>5.7600000000000016</v>
      </c>
      <c r="BK7" s="3">
        <v>5</v>
      </c>
      <c r="BL7" s="5">
        <v>5</v>
      </c>
      <c r="BM7" s="12">
        <f t="shared" si="30"/>
        <v>1</v>
      </c>
      <c r="BN7" s="12">
        <f t="shared" si="31"/>
        <v>0.3599999999999996</v>
      </c>
      <c r="BO7" s="3">
        <v>2</v>
      </c>
      <c r="BP7" s="5">
        <v>2</v>
      </c>
      <c r="BQ7" s="12">
        <f t="shared" si="32"/>
        <v>1</v>
      </c>
      <c r="BR7" s="12">
        <f t="shared" si="33"/>
        <v>12.959999999999997</v>
      </c>
      <c r="BS7" s="3">
        <v>2</v>
      </c>
      <c r="BT7" s="5">
        <v>2</v>
      </c>
      <c r="BU7" s="12">
        <f t="shared" si="34"/>
        <v>1</v>
      </c>
      <c r="BV7" s="12">
        <f t="shared" si="35"/>
        <v>12.959999999999997</v>
      </c>
      <c r="BW7" s="3">
        <v>5</v>
      </c>
      <c r="BX7" s="5">
        <v>4</v>
      </c>
      <c r="BY7" s="12">
        <f t="shared" si="36"/>
        <v>0.8</v>
      </c>
      <c r="BZ7" s="12">
        <f t="shared" si="37"/>
        <v>2.5599999999999987</v>
      </c>
      <c r="CA7" s="3">
        <v>5</v>
      </c>
      <c r="CB7" s="5">
        <v>5</v>
      </c>
      <c r="CC7" s="12">
        <f t="shared" si="38"/>
        <v>1</v>
      </c>
      <c r="CD7" s="12">
        <f t="shared" si="39"/>
        <v>0.3599999999999996</v>
      </c>
      <c r="CE7" s="3">
        <v>9</v>
      </c>
      <c r="CF7" s="5">
        <v>9</v>
      </c>
      <c r="CG7" s="12">
        <f t="shared" si="40"/>
        <v>1</v>
      </c>
      <c r="CH7" s="12">
        <f t="shared" si="41"/>
        <v>11.560000000000002</v>
      </c>
      <c r="CI7" s="3">
        <v>7</v>
      </c>
      <c r="CJ7" s="5">
        <v>7</v>
      </c>
      <c r="CK7" s="12">
        <f t="shared" si="42"/>
        <v>1</v>
      </c>
      <c r="CL7" s="12">
        <f t="shared" si="43"/>
        <v>1.9600000000000011</v>
      </c>
      <c r="CM7" s="3">
        <v>5</v>
      </c>
      <c r="CN7" s="5">
        <v>5</v>
      </c>
      <c r="CO7" s="12">
        <f t="shared" si="44"/>
        <v>1</v>
      </c>
      <c r="CP7" s="12">
        <f t="shared" si="45"/>
        <v>0.3599999999999996</v>
      </c>
      <c r="CQ7" s="3">
        <v>10</v>
      </c>
      <c r="CR7" s="5">
        <v>10</v>
      </c>
      <c r="CS7" s="12">
        <f t="shared" si="46"/>
        <v>1</v>
      </c>
      <c r="CT7" s="12">
        <f t="shared" si="47"/>
        <v>19.360000000000003</v>
      </c>
      <c r="CU7" s="3">
        <v>1</v>
      </c>
      <c r="CV7" s="5">
        <v>1</v>
      </c>
      <c r="CW7" s="12">
        <f t="shared" si="48"/>
        <v>1</v>
      </c>
      <c r="CX7" s="12">
        <f t="shared" si="49"/>
        <v>21.159999999999997</v>
      </c>
      <c r="CY7" s="3">
        <v>5</v>
      </c>
      <c r="CZ7" s="5">
        <v>4</v>
      </c>
      <c r="DA7" s="12">
        <f t="shared" si="50"/>
        <v>0.8</v>
      </c>
      <c r="DB7" s="12">
        <f t="shared" si="51"/>
        <v>2.5599999999999987</v>
      </c>
      <c r="DC7" s="3">
        <v>5</v>
      </c>
      <c r="DD7" s="5">
        <v>4</v>
      </c>
      <c r="DE7" s="8">
        <f t="shared" si="52"/>
        <v>0.8</v>
      </c>
      <c r="DF7" s="12">
        <f t="shared" si="53"/>
        <v>2.5599999999999987</v>
      </c>
      <c r="DG7" s="3">
        <v>6</v>
      </c>
      <c r="DH7" s="5">
        <v>6</v>
      </c>
      <c r="DI7" s="12">
        <f t="shared" si="54"/>
        <v>1</v>
      </c>
      <c r="DJ7" s="12">
        <f t="shared" si="55"/>
        <v>0.16000000000000028</v>
      </c>
      <c r="DK7" s="3">
        <v>10</v>
      </c>
      <c r="DL7" s="5">
        <v>10</v>
      </c>
      <c r="DM7" s="12">
        <f t="shared" si="56"/>
        <v>1</v>
      </c>
      <c r="DN7" s="12">
        <f t="shared" si="57"/>
        <v>19.360000000000003</v>
      </c>
      <c r="DO7" s="3">
        <v>8</v>
      </c>
      <c r="DP7" s="5">
        <v>5</v>
      </c>
      <c r="DQ7" s="12">
        <f t="shared" si="58"/>
        <v>0.625</v>
      </c>
      <c r="DR7" s="12">
        <f t="shared" si="59"/>
        <v>0.3599999999999996</v>
      </c>
      <c r="DS7" s="3">
        <v>1</v>
      </c>
      <c r="DT7" s="26">
        <v>1</v>
      </c>
      <c r="DU7" s="12">
        <f t="shared" si="60"/>
        <v>1</v>
      </c>
      <c r="DV7" s="12">
        <f t="shared" si="61"/>
        <v>21.159999999999997</v>
      </c>
      <c r="DW7" s="3">
        <v>5</v>
      </c>
      <c r="DX7" s="5">
        <v>5</v>
      </c>
      <c r="DY7" s="12">
        <f t="shared" si="62"/>
        <v>1</v>
      </c>
      <c r="DZ7" s="12">
        <f t="shared" si="63"/>
        <v>0.3599999999999996</v>
      </c>
      <c r="EA7" s="3">
        <v>1</v>
      </c>
      <c r="EB7" s="5">
        <v>1</v>
      </c>
      <c r="EC7" s="12">
        <f t="shared" si="64"/>
        <v>1</v>
      </c>
      <c r="ED7" s="12">
        <f t="shared" si="65"/>
        <v>21.159999999999997</v>
      </c>
      <c r="EE7" s="3">
        <v>4</v>
      </c>
      <c r="EF7" s="5">
        <v>4</v>
      </c>
      <c r="EG7" s="12">
        <f t="shared" si="66"/>
        <v>1</v>
      </c>
      <c r="EH7" s="12">
        <f t="shared" si="67"/>
        <v>2.5599999999999987</v>
      </c>
      <c r="EI7" s="3">
        <v>5</v>
      </c>
      <c r="EJ7" s="5">
        <v>5</v>
      </c>
      <c r="EK7" s="12">
        <f t="shared" si="68"/>
        <v>1</v>
      </c>
      <c r="EL7" s="12">
        <f t="shared" si="69"/>
        <v>0.3599999999999996</v>
      </c>
      <c r="EM7" s="3">
        <v>7</v>
      </c>
      <c r="EN7" s="5">
        <v>7</v>
      </c>
      <c r="EO7" s="8">
        <f t="shared" si="70"/>
        <v>1</v>
      </c>
      <c r="EP7" s="12">
        <f t="shared" si="71"/>
        <v>1.9600000000000011</v>
      </c>
      <c r="EQ7" s="3">
        <v>8</v>
      </c>
      <c r="ER7" s="5">
        <v>8</v>
      </c>
      <c r="ES7" s="12">
        <f t="shared" si="72"/>
        <v>1</v>
      </c>
      <c r="ET7" s="12">
        <f t="shared" si="73"/>
        <v>5.7600000000000016</v>
      </c>
      <c r="EU7" s="3">
        <v>6</v>
      </c>
      <c r="EV7" s="5">
        <v>6</v>
      </c>
      <c r="EW7" s="12">
        <f t="shared" si="74"/>
        <v>1</v>
      </c>
      <c r="EX7" s="12">
        <f t="shared" si="75"/>
        <v>0.16000000000000028</v>
      </c>
      <c r="EY7" s="3">
        <v>8</v>
      </c>
      <c r="EZ7" s="5">
        <v>8</v>
      </c>
      <c r="FA7" s="12">
        <f t="shared" si="76"/>
        <v>1</v>
      </c>
      <c r="FB7" s="12">
        <f t="shared" si="77"/>
        <v>5.7600000000000016</v>
      </c>
      <c r="FC7" s="3">
        <v>5</v>
      </c>
      <c r="FD7" s="26">
        <v>5</v>
      </c>
      <c r="FE7" s="12">
        <f t="shared" si="78"/>
        <v>1</v>
      </c>
      <c r="FF7" s="12">
        <f t="shared" si="79"/>
        <v>0.3599999999999996</v>
      </c>
      <c r="FG7" s="3">
        <v>6</v>
      </c>
      <c r="FH7" s="5">
        <v>6</v>
      </c>
      <c r="FI7" s="12">
        <f t="shared" si="80"/>
        <v>1</v>
      </c>
      <c r="FJ7" s="12">
        <f t="shared" si="81"/>
        <v>0.16000000000000028</v>
      </c>
      <c r="FK7" s="3">
        <v>6</v>
      </c>
      <c r="FL7" s="5">
        <v>6</v>
      </c>
      <c r="FM7" s="12">
        <f t="shared" si="82"/>
        <v>1</v>
      </c>
      <c r="FN7" s="12">
        <f t="shared" si="83"/>
        <v>0.16000000000000028</v>
      </c>
      <c r="FO7" s="3">
        <v>4</v>
      </c>
      <c r="FP7" s="5">
        <v>4</v>
      </c>
      <c r="FQ7" s="12">
        <f t="shared" si="84"/>
        <v>1</v>
      </c>
      <c r="FR7" s="12">
        <f t="shared" si="85"/>
        <v>2.5599999999999987</v>
      </c>
      <c r="FS7" s="3">
        <v>5</v>
      </c>
      <c r="FT7" s="5">
        <v>4</v>
      </c>
      <c r="FU7" s="12">
        <f t="shared" si="86"/>
        <v>0.8</v>
      </c>
      <c r="FV7" s="12">
        <f t="shared" si="87"/>
        <v>2.5599999999999987</v>
      </c>
      <c r="FW7" s="3">
        <v>7</v>
      </c>
      <c r="FX7" s="5">
        <v>6</v>
      </c>
      <c r="FY7" s="12">
        <f t="shared" si="88"/>
        <v>0.8571428571428571</v>
      </c>
      <c r="FZ7" s="12">
        <f t="shared" si="89"/>
        <v>0.16000000000000028</v>
      </c>
      <c r="GA7" s="4">
        <f t="shared" si="90"/>
        <v>45</v>
      </c>
      <c r="GB7" s="15">
        <f t="shared" si="91"/>
        <v>95.982363315696645</v>
      </c>
      <c r="GC7" s="15">
        <f t="shared" si="92"/>
        <v>5.6</v>
      </c>
      <c r="GD7" s="15">
        <f t="shared" si="93"/>
        <v>2.3228335186912465</v>
      </c>
      <c r="GE7" s="16">
        <f t="shared" si="94"/>
        <v>95.982363315696645</v>
      </c>
      <c r="GF7" s="17" t="s">
        <v>3</v>
      </c>
      <c r="GG7" s="24">
        <f t="shared" si="95"/>
        <v>2.3228335186912465</v>
      </c>
      <c r="GH7" s="4" t="str">
        <f t="shared" si="96"/>
        <v>отлично</v>
      </c>
      <c r="GI7" s="64"/>
      <c r="GJ7" s="32"/>
      <c r="GK7" s="65"/>
      <c r="GL7" s="65"/>
      <c r="GM7" s="64"/>
      <c r="GN7" s="32"/>
      <c r="GO7" s="65"/>
      <c r="GP7" s="65"/>
      <c r="GQ7" s="64"/>
      <c r="GR7" s="32"/>
      <c r="GS7" s="65"/>
      <c r="GT7" s="65"/>
      <c r="GU7" s="64"/>
      <c r="GV7" s="32"/>
      <c r="GW7" s="65"/>
      <c r="GX7" s="65"/>
      <c r="GY7" s="64"/>
      <c r="GZ7" s="32"/>
      <c r="HA7" s="65"/>
      <c r="HB7" s="65"/>
      <c r="HC7" s="64"/>
      <c r="HD7" s="32"/>
      <c r="HE7" s="65"/>
      <c r="HF7" s="65"/>
      <c r="HG7" s="64"/>
      <c r="HH7" s="64"/>
      <c r="HI7" s="65"/>
      <c r="HJ7" s="65"/>
      <c r="HK7" s="64"/>
      <c r="HL7" s="32"/>
      <c r="HM7" s="65"/>
      <c r="HN7" s="65"/>
      <c r="HO7" s="64"/>
      <c r="HP7" s="32"/>
      <c r="HQ7" s="65"/>
      <c r="HR7" s="65"/>
      <c r="HS7" s="64"/>
      <c r="HT7" s="32"/>
      <c r="HU7" s="65"/>
      <c r="HV7" s="65"/>
      <c r="HW7" s="64"/>
      <c r="HX7" s="32"/>
      <c r="HY7" s="65"/>
      <c r="HZ7" s="65"/>
    </row>
    <row r="8" spans="1:234" ht="48.75" customHeight="1" thickBot="1" x14ac:dyDescent="0.3">
      <c r="A8" s="21">
        <v>6</v>
      </c>
      <c r="B8" s="31" t="s">
        <v>12</v>
      </c>
      <c r="C8" s="3">
        <v>7</v>
      </c>
      <c r="D8" s="5">
        <v>5</v>
      </c>
      <c r="E8" s="8">
        <f t="shared" si="0"/>
        <v>0.7142857142857143</v>
      </c>
      <c r="F8" s="12">
        <f t="shared" si="1"/>
        <v>4.9382716049382722</v>
      </c>
      <c r="G8" s="3">
        <v>8</v>
      </c>
      <c r="H8" s="5">
        <v>8</v>
      </c>
      <c r="I8" s="12">
        <f t="shared" si="2"/>
        <v>1</v>
      </c>
      <c r="J8" s="12">
        <f t="shared" si="3"/>
        <v>0.60493827160493807</v>
      </c>
      <c r="K8" s="3">
        <v>7</v>
      </c>
      <c r="L8" s="5">
        <v>6</v>
      </c>
      <c r="M8" s="12">
        <f t="shared" si="4"/>
        <v>0.8571428571428571</v>
      </c>
      <c r="N8" s="12">
        <f t="shared" si="5"/>
        <v>1.4938271604938274</v>
      </c>
      <c r="O8" s="3">
        <v>7</v>
      </c>
      <c r="P8" s="5">
        <v>7</v>
      </c>
      <c r="Q8" s="12">
        <f t="shared" si="6"/>
        <v>1</v>
      </c>
      <c r="R8" s="12">
        <f t="shared" si="7"/>
        <v>4.9382716049382762E-2</v>
      </c>
      <c r="S8" s="3">
        <v>3</v>
      </c>
      <c r="T8" s="26">
        <v>3</v>
      </c>
      <c r="U8" s="12">
        <f t="shared" si="8"/>
        <v>1</v>
      </c>
      <c r="V8" s="12">
        <f t="shared" si="9"/>
        <v>17.827160493827162</v>
      </c>
      <c r="W8" s="3">
        <v>8</v>
      </c>
      <c r="X8" s="5">
        <v>8</v>
      </c>
      <c r="Y8" s="12">
        <f t="shared" si="10"/>
        <v>1</v>
      </c>
      <c r="Z8" s="12">
        <f t="shared" si="11"/>
        <v>0.60493827160493807</v>
      </c>
      <c r="AA8" s="3">
        <v>10</v>
      </c>
      <c r="AB8" s="5">
        <v>8</v>
      </c>
      <c r="AC8" s="12">
        <f t="shared" si="12"/>
        <v>0.8</v>
      </c>
      <c r="AD8" s="12">
        <f t="shared" si="13"/>
        <v>0.60493827160493807</v>
      </c>
      <c r="AE8" s="3">
        <v>10</v>
      </c>
      <c r="AF8" s="5">
        <v>8</v>
      </c>
      <c r="AG8" s="12">
        <f t="shared" si="14"/>
        <v>0.8</v>
      </c>
      <c r="AH8" s="12">
        <f t="shared" si="15"/>
        <v>0.60493827160493807</v>
      </c>
      <c r="AI8" s="3">
        <v>8</v>
      </c>
      <c r="AJ8" s="5">
        <v>9</v>
      </c>
      <c r="AK8" s="12">
        <f t="shared" si="16"/>
        <v>1.125</v>
      </c>
      <c r="AL8" s="12">
        <f t="shared" si="17"/>
        <v>3.1604938271604937</v>
      </c>
      <c r="AM8" s="3">
        <v>8</v>
      </c>
      <c r="AN8" s="5">
        <v>8</v>
      </c>
      <c r="AO8" s="12">
        <f t="shared" si="18"/>
        <v>1</v>
      </c>
      <c r="AP8" s="12">
        <f t="shared" si="19"/>
        <v>0.60493827160493807</v>
      </c>
      <c r="AQ8" s="3">
        <v>8</v>
      </c>
      <c r="AR8" s="5">
        <v>7</v>
      </c>
      <c r="AS8" s="12">
        <f t="shared" si="20"/>
        <v>0.875</v>
      </c>
      <c r="AT8" s="12">
        <f t="shared" si="21"/>
        <v>4.9382716049382762E-2</v>
      </c>
      <c r="AU8" s="3">
        <v>10</v>
      </c>
      <c r="AV8" s="5">
        <v>10</v>
      </c>
      <c r="AW8" s="12">
        <f t="shared" si="22"/>
        <v>1</v>
      </c>
      <c r="AX8" s="12">
        <f t="shared" si="23"/>
        <v>7.716049382716049</v>
      </c>
      <c r="AY8" s="3">
        <v>7</v>
      </c>
      <c r="AZ8" s="5">
        <v>6</v>
      </c>
      <c r="BA8" s="12">
        <f t="shared" si="24"/>
        <v>0.8571428571428571</v>
      </c>
      <c r="BB8" s="12">
        <f t="shared" si="25"/>
        <v>1.4938271604938274</v>
      </c>
      <c r="BC8" s="3">
        <v>10</v>
      </c>
      <c r="BD8" s="5">
        <v>10</v>
      </c>
      <c r="BE8" s="12">
        <f t="shared" si="26"/>
        <v>1</v>
      </c>
      <c r="BF8" s="12">
        <f t="shared" si="27"/>
        <v>7.716049382716049</v>
      </c>
      <c r="BG8" s="3">
        <v>10</v>
      </c>
      <c r="BH8" s="5">
        <v>9</v>
      </c>
      <c r="BI8" s="12">
        <f t="shared" si="28"/>
        <v>0.9</v>
      </c>
      <c r="BJ8" s="12">
        <f t="shared" si="29"/>
        <v>3.1604938271604937</v>
      </c>
      <c r="BK8" s="3">
        <v>5</v>
      </c>
      <c r="BL8" s="5">
        <v>5</v>
      </c>
      <c r="BM8" s="12">
        <f t="shared" si="30"/>
        <v>1</v>
      </c>
      <c r="BN8" s="12">
        <f t="shared" si="31"/>
        <v>4.9382716049382722</v>
      </c>
      <c r="BO8" s="3">
        <v>5</v>
      </c>
      <c r="BP8" s="5">
        <v>5</v>
      </c>
      <c r="BQ8" s="12">
        <f t="shared" si="32"/>
        <v>1</v>
      </c>
      <c r="BR8" s="12">
        <f t="shared" si="33"/>
        <v>4.9382716049382722</v>
      </c>
      <c r="BS8" s="3">
        <v>5</v>
      </c>
      <c r="BT8" s="5">
        <v>5</v>
      </c>
      <c r="BU8" s="12">
        <f t="shared" si="34"/>
        <v>1</v>
      </c>
      <c r="BV8" s="12">
        <f t="shared" si="35"/>
        <v>4.9382716049382722</v>
      </c>
      <c r="BW8" s="3">
        <v>10</v>
      </c>
      <c r="BX8" s="5">
        <v>10</v>
      </c>
      <c r="BY8" s="12">
        <f t="shared" si="36"/>
        <v>1</v>
      </c>
      <c r="BZ8" s="12">
        <f t="shared" si="37"/>
        <v>7.716049382716049</v>
      </c>
      <c r="CA8" s="3">
        <v>10</v>
      </c>
      <c r="CB8" s="5">
        <v>10</v>
      </c>
      <c r="CC8" s="12">
        <f t="shared" si="38"/>
        <v>1</v>
      </c>
      <c r="CD8" s="12">
        <f t="shared" si="39"/>
        <v>7.716049382716049</v>
      </c>
      <c r="CE8" s="3">
        <v>10</v>
      </c>
      <c r="CF8" s="5">
        <v>10</v>
      </c>
      <c r="CG8" s="12">
        <f t="shared" si="40"/>
        <v>1</v>
      </c>
      <c r="CH8" s="12">
        <f t="shared" si="41"/>
        <v>7.716049382716049</v>
      </c>
      <c r="CI8" s="3">
        <v>7</v>
      </c>
      <c r="CJ8" s="5">
        <v>6</v>
      </c>
      <c r="CK8" s="12">
        <f t="shared" si="42"/>
        <v>0.8571428571428571</v>
      </c>
      <c r="CL8" s="12">
        <f t="shared" si="43"/>
        <v>1.4938271604938274</v>
      </c>
      <c r="CM8" s="3">
        <v>8</v>
      </c>
      <c r="CN8" s="5">
        <v>7</v>
      </c>
      <c r="CO8" s="12">
        <f t="shared" si="44"/>
        <v>0.875</v>
      </c>
      <c r="CP8" s="12">
        <f t="shared" si="45"/>
        <v>4.9382716049382762E-2</v>
      </c>
      <c r="CQ8" s="3">
        <v>8</v>
      </c>
      <c r="CR8" s="5">
        <v>8</v>
      </c>
      <c r="CS8" s="12">
        <f t="shared" si="46"/>
        <v>1</v>
      </c>
      <c r="CT8" s="12">
        <f t="shared" si="47"/>
        <v>0.60493827160493807</v>
      </c>
      <c r="CU8" s="3">
        <v>10</v>
      </c>
      <c r="CV8" s="5">
        <v>10</v>
      </c>
      <c r="CW8" s="12">
        <f t="shared" si="48"/>
        <v>1</v>
      </c>
      <c r="CX8" s="12">
        <f t="shared" si="49"/>
        <v>7.716049382716049</v>
      </c>
      <c r="CY8" s="3">
        <v>4</v>
      </c>
      <c r="CZ8" s="5">
        <v>3</v>
      </c>
      <c r="DA8" s="12">
        <f t="shared" si="50"/>
        <v>0.75</v>
      </c>
      <c r="DB8" s="12">
        <f t="shared" si="51"/>
        <v>17.827160493827162</v>
      </c>
      <c r="DC8" s="3">
        <v>4</v>
      </c>
      <c r="DD8" s="5">
        <v>4</v>
      </c>
      <c r="DE8" s="8">
        <f t="shared" si="52"/>
        <v>1</v>
      </c>
      <c r="DF8" s="12">
        <f t="shared" si="53"/>
        <v>10.382716049382717</v>
      </c>
      <c r="DG8" s="3">
        <v>8</v>
      </c>
      <c r="DH8" s="5">
        <v>6</v>
      </c>
      <c r="DI8" s="12">
        <f t="shared" si="54"/>
        <v>0.75</v>
      </c>
      <c r="DJ8" s="12">
        <f t="shared" si="55"/>
        <v>1.4938271604938274</v>
      </c>
      <c r="DK8" s="3">
        <v>9</v>
      </c>
      <c r="DL8" s="5">
        <v>9</v>
      </c>
      <c r="DM8" s="12">
        <f t="shared" si="56"/>
        <v>1</v>
      </c>
      <c r="DN8" s="12">
        <f t="shared" si="57"/>
        <v>3.1604938271604937</v>
      </c>
      <c r="DO8" s="3">
        <v>7</v>
      </c>
      <c r="DP8" s="5">
        <v>7</v>
      </c>
      <c r="DQ8" s="12">
        <f t="shared" si="58"/>
        <v>1</v>
      </c>
      <c r="DR8" s="12">
        <f t="shared" si="59"/>
        <v>4.9382716049382762E-2</v>
      </c>
      <c r="DS8" s="3">
        <v>9</v>
      </c>
      <c r="DT8" s="26">
        <v>9</v>
      </c>
      <c r="DU8" s="12">
        <f t="shared" si="60"/>
        <v>1</v>
      </c>
      <c r="DV8" s="12">
        <f t="shared" si="61"/>
        <v>3.1604938271604937</v>
      </c>
      <c r="DW8" s="3">
        <v>10</v>
      </c>
      <c r="DX8" s="5">
        <v>10</v>
      </c>
      <c r="DY8" s="12">
        <f t="shared" si="62"/>
        <v>1</v>
      </c>
      <c r="DZ8" s="12">
        <f t="shared" si="63"/>
        <v>7.716049382716049</v>
      </c>
      <c r="EA8" s="3">
        <v>9</v>
      </c>
      <c r="EB8" s="5">
        <v>8</v>
      </c>
      <c r="EC8" s="12">
        <f t="shared" si="64"/>
        <v>0.88888888888888884</v>
      </c>
      <c r="ED8" s="12">
        <f t="shared" si="65"/>
        <v>0.60493827160493807</v>
      </c>
      <c r="EE8" s="3">
        <v>6</v>
      </c>
      <c r="EF8" s="5">
        <v>6</v>
      </c>
      <c r="EG8" s="12">
        <f t="shared" si="66"/>
        <v>1</v>
      </c>
      <c r="EH8" s="12">
        <f t="shared" si="67"/>
        <v>1.4938271604938274</v>
      </c>
      <c r="EI8" s="3">
        <v>6</v>
      </c>
      <c r="EJ8" s="5">
        <v>6</v>
      </c>
      <c r="EK8" s="12">
        <f t="shared" si="68"/>
        <v>1</v>
      </c>
      <c r="EL8" s="12">
        <f t="shared" si="69"/>
        <v>1.4938271604938274</v>
      </c>
      <c r="EM8" s="3">
        <v>5</v>
      </c>
      <c r="EN8" s="5">
        <v>5</v>
      </c>
      <c r="EO8" s="8">
        <f t="shared" si="70"/>
        <v>1</v>
      </c>
      <c r="EP8" s="12">
        <f t="shared" si="71"/>
        <v>4.9382716049382722</v>
      </c>
      <c r="EQ8" s="3">
        <v>9</v>
      </c>
      <c r="ER8" s="5">
        <v>9</v>
      </c>
      <c r="ES8" s="12">
        <f t="shared" si="72"/>
        <v>1</v>
      </c>
      <c r="ET8" s="12">
        <f t="shared" si="73"/>
        <v>3.1604938271604937</v>
      </c>
      <c r="EU8" s="3">
        <v>7</v>
      </c>
      <c r="EV8" s="5">
        <v>7</v>
      </c>
      <c r="EW8" s="12">
        <f t="shared" si="74"/>
        <v>1</v>
      </c>
      <c r="EX8" s="12">
        <f t="shared" si="75"/>
        <v>4.9382716049382762E-2</v>
      </c>
      <c r="EY8" s="3">
        <v>8</v>
      </c>
      <c r="EZ8" s="5">
        <v>8</v>
      </c>
      <c r="FA8" s="12">
        <f t="shared" si="76"/>
        <v>1</v>
      </c>
      <c r="FB8" s="12">
        <f t="shared" si="77"/>
        <v>0.60493827160493807</v>
      </c>
      <c r="FC8" s="3">
        <v>6</v>
      </c>
      <c r="FD8" s="26">
        <v>6</v>
      </c>
      <c r="FE8" s="12">
        <f t="shared" si="78"/>
        <v>1</v>
      </c>
      <c r="FF8" s="12">
        <f t="shared" si="79"/>
        <v>1.4938271604938274</v>
      </c>
      <c r="FG8" s="3">
        <v>7</v>
      </c>
      <c r="FH8" s="5">
        <v>7</v>
      </c>
      <c r="FI8" s="12">
        <f t="shared" si="80"/>
        <v>1</v>
      </c>
      <c r="FJ8" s="12">
        <f t="shared" si="81"/>
        <v>4.9382716049382762E-2</v>
      </c>
      <c r="FK8" s="3">
        <v>6</v>
      </c>
      <c r="FL8" s="5">
        <v>6</v>
      </c>
      <c r="FM8" s="12">
        <f t="shared" si="82"/>
        <v>1</v>
      </c>
      <c r="FN8" s="12">
        <f t="shared" si="83"/>
        <v>1.4938271604938274</v>
      </c>
      <c r="FO8" s="3">
        <v>6</v>
      </c>
      <c r="FP8" s="5">
        <v>6</v>
      </c>
      <c r="FQ8" s="12">
        <f t="shared" si="84"/>
        <v>1</v>
      </c>
      <c r="FR8" s="12">
        <f t="shared" si="85"/>
        <v>1.4938271604938274</v>
      </c>
      <c r="FS8" s="3">
        <v>8</v>
      </c>
      <c r="FT8" s="5">
        <v>8</v>
      </c>
      <c r="FU8" s="12">
        <f t="shared" si="86"/>
        <v>1</v>
      </c>
      <c r="FV8" s="12">
        <f t="shared" si="87"/>
        <v>0.60493827160493807</v>
      </c>
      <c r="FW8" s="3">
        <v>7</v>
      </c>
      <c r="FX8" s="5">
        <v>7</v>
      </c>
      <c r="FY8" s="12">
        <f t="shared" si="88"/>
        <v>1</v>
      </c>
      <c r="FZ8" s="12">
        <f t="shared" si="89"/>
        <v>4.9382716049382762E-2</v>
      </c>
      <c r="GA8" s="4">
        <f t="shared" si="90"/>
        <v>45</v>
      </c>
      <c r="GB8" s="15">
        <f t="shared" si="91"/>
        <v>95.665784832451507</v>
      </c>
      <c r="GC8" s="15">
        <f t="shared" si="92"/>
        <v>7.2222222222222223</v>
      </c>
      <c r="GD8" s="15">
        <f t="shared" si="93"/>
        <v>1.88430817117334</v>
      </c>
      <c r="GE8" s="16">
        <f t="shared" si="94"/>
        <v>95.665784832451507</v>
      </c>
      <c r="GF8" s="17" t="s">
        <v>3</v>
      </c>
      <c r="GG8" s="24">
        <f t="shared" si="95"/>
        <v>1.88430817117334</v>
      </c>
      <c r="GH8" s="4" t="str">
        <f t="shared" si="96"/>
        <v>отлично</v>
      </c>
      <c r="GI8" s="64"/>
      <c r="GJ8" s="32"/>
      <c r="GK8" s="65"/>
      <c r="GL8" s="65"/>
      <c r="GM8" s="64"/>
      <c r="GN8" s="32"/>
      <c r="GO8" s="65"/>
      <c r="GP8" s="65"/>
      <c r="GQ8" s="64"/>
      <c r="GR8" s="32"/>
      <c r="GS8" s="65"/>
      <c r="GT8" s="65"/>
      <c r="GU8" s="64"/>
      <c r="GV8" s="32"/>
      <c r="GW8" s="65"/>
      <c r="GX8" s="65"/>
      <c r="GY8" s="64"/>
      <c r="GZ8" s="32"/>
      <c r="HA8" s="65"/>
      <c r="HB8" s="65"/>
      <c r="HC8" s="64"/>
      <c r="HD8" s="32"/>
      <c r="HE8" s="65"/>
      <c r="HF8" s="65"/>
      <c r="HG8" s="64"/>
      <c r="HH8" s="64"/>
      <c r="HI8" s="65"/>
      <c r="HJ8" s="65"/>
      <c r="HK8" s="64"/>
      <c r="HL8" s="32"/>
      <c r="HM8" s="65"/>
      <c r="HN8" s="65"/>
      <c r="HO8" s="64"/>
      <c r="HP8" s="32"/>
      <c r="HQ8" s="65"/>
      <c r="HR8" s="65"/>
      <c r="HS8" s="64"/>
      <c r="HT8" s="32"/>
      <c r="HU8" s="65"/>
      <c r="HV8" s="65"/>
      <c r="HW8" s="64"/>
      <c r="HX8" s="32"/>
      <c r="HY8" s="65"/>
      <c r="HZ8" s="65"/>
    </row>
    <row r="9" spans="1:234" ht="77.25" customHeight="1" thickBot="1" x14ac:dyDescent="0.3">
      <c r="A9" s="21">
        <v>7</v>
      </c>
      <c r="B9" s="31" t="s">
        <v>16</v>
      </c>
      <c r="C9" s="3">
        <v>8</v>
      </c>
      <c r="D9" s="5">
        <v>7</v>
      </c>
      <c r="E9" s="8">
        <f t="shared" si="0"/>
        <v>0.875</v>
      </c>
      <c r="F9" s="12">
        <f t="shared" si="1"/>
        <v>4.000000000000007E-2</v>
      </c>
      <c r="G9" s="3">
        <v>10</v>
      </c>
      <c r="H9" s="5">
        <v>9</v>
      </c>
      <c r="I9" s="12">
        <f t="shared" si="2"/>
        <v>0.9</v>
      </c>
      <c r="J9" s="12">
        <f t="shared" si="3"/>
        <v>3.2399999999999993</v>
      </c>
      <c r="K9" s="3">
        <v>7</v>
      </c>
      <c r="L9" s="5">
        <v>6</v>
      </c>
      <c r="M9" s="12">
        <f t="shared" si="4"/>
        <v>0.8571428571428571</v>
      </c>
      <c r="N9" s="12">
        <f t="shared" si="5"/>
        <v>1.4400000000000004</v>
      </c>
      <c r="O9" s="3">
        <v>8</v>
      </c>
      <c r="P9" s="5">
        <v>8</v>
      </c>
      <c r="Q9" s="12">
        <f t="shared" si="6"/>
        <v>1</v>
      </c>
      <c r="R9" s="12">
        <f t="shared" si="7"/>
        <v>0.63999999999999968</v>
      </c>
      <c r="S9" s="3">
        <v>5</v>
      </c>
      <c r="T9" s="26">
        <v>6</v>
      </c>
      <c r="U9" s="12">
        <f t="shared" si="8"/>
        <v>1.2</v>
      </c>
      <c r="V9" s="12">
        <f t="shared" si="9"/>
        <v>1.4400000000000004</v>
      </c>
      <c r="W9" s="3">
        <v>9</v>
      </c>
      <c r="X9" s="5">
        <v>9</v>
      </c>
      <c r="Y9" s="12">
        <f t="shared" si="10"/>
        <v>1</v>
      </c>
      <c r="Z9" s="12">
        <f t="shared" si="11"/>
        <v>3.2399999999999993</v>
      </c>
      <c r="AA9" s="3">
        <v>10</v>
      </c>
      <c r="AB9" s="5">
        <v>10</v>
      </c>
      <c r="AC9" s="12">
        <f t="shared" si="12"/>
        <v>1</v>
      </c>
      <c r="AD9" s="12">
        <f t="shared" si="13"/>
        <v>7.839999999999999</v>
      </c>
      <c r="AE9" s="3">
        <v>8</v>
      </c>
      <c r="AF9" s="5">
        <v>8</v>
      </c>
      <c r="AG9" s="12">
        <f t="shared" si="14"/>
        <v>1</v>
      </c>
      <c r="AH9" s="12">
        <f t="shared" si="15"/>
        <v>0.63999999999999968</v>
      </c>
      <c r="AI9" s="3">
        <v>7</v>
      </c>
      <c r="AJ9" s="5">
        <v>6</v>
      </c>
      <c r="AK9" s="12">
        <f t="shared" si="16"/>
        <v>0.8571428571428571</v>
      </c>
      <c r="AL9" s="12">
        <f t="shared" si="17"/>
        <v>1.4400000000000004</v>
      </c>
      <c r="AM9" s="3">
        <v>8</v>
      </c>
      <c r="AN9" s="5">
        <v>7</v>
      </c>
      <c r="AO9" s="12">
        <f t="shared" si="18"/>
        <v>0.875</v>
      </c>
      <c r="AP9" s="12">
        <f t="shared" si="19"/>
        <v>4.000000000000007E-2</v>
      </c>
      <c r="AQ9" s="3">
        <v>7</v>
      </c>
      <c r="AR9" s="5">
        <v>6</v>
      </c>
      <c r="AS9" s="12">
        <f t="shared" si="20"/>
        <v>0.8571428571428571</v>
      </c>
      <c r="AT9" s="12">
        <f t="shared" si="21"/>
        <v>1.4400000000000004</v>
      </c>
      <c r="AU9" s="3">
        <v>7</v>
      </c>
      <c r="AV9" s="5">
        <v>7</v>
      </c>
      <c r="AW9" s="12">
        <f t="shared" si="22"/>
        <v>1</v>
      </c>
      <c r="AX9" s="12">
        <f t="shared" si="23"/>
        <v>4.000000000000007E-2</v>
      </c>
      <c r="AY9" s="3">
        <v>8</v>
      </c>
      <c r="AZ9" s="5">
        <v>7</v>
      </c>
      <c r="BA9" s="12">
        <f t="shared" si="24"/>
        <v>0.875</v>
      </c>
      <c r="BB9" s="12">
        <f t="shared" si="25"/>
        <v>4.000000000000007E-2</v>
      </c>
      <c r="BC9" s="3">
        <v>10</v>
      </c>
      <c r="BD9" s="5">
        <v>10</v>
      </c>
      <c r="BE9" s="12">
        <f t="shared" si="26"/>
        <v>1</v>
      </c>
      <c r="BF9" s="12">
        <f t="shared" si="27"/>
        <v>7.839999999999999</v>
      </c>
      <c r="BG9" s="3">
        <v>9</v>
      </c>
      <c r="BH9" s="5">
        <v>8</v>
      </c>
      <c r="BI9" s="12">
        <f t="shared" si="28"/>
        <v>0.88888888888888884</v>
      </c>
      <c r="BJ9" s="12">
        <f t="shared" si="29"/>
        <v>0.63999999999999968</v>
      </c>
      <c r="BK9" s="3">
        <v>9</v>
      </c>
      <c r="BL9" s="5">
        <v>9</v>
      </c>
      <c r="BM9" s="12">
        <f t="shared" si="30"/>
        <v>1</v>
      </c>
      <c r="BN9" s="12">
        <f t="shared" si="31"/>
        <v>3.2399999999999993</v>
      </c>
      <c r="BO9" s="3">
        <v>7</v>
      </c>
      <c r="BP9" s="5">
        <v>6</v>
      </c>
      <c r="BQ9" s="12">
        <f t="shared" si="32"/>
        <v>0.8571428571428571</v>
      </c>
      <c r="BR9" s="12">
        <f t="shared" si="33"/>
        <v>1.4400000000000004</v>
      </c>
      <c r="BS9" s="3">
        <v>9</v>
      </c>
      <c r="BT9" s="5">
        <v>9</v>
      </c>
      <c r="BU9" s="12">
        <f t="shared" si="34"/>
        <v>1</v>
      </c>
      <c r="BV9" s="12">
        <f t="shared" si="35"/>
        <v>3.2399999999999993</v>
      </c>
      <c r="BW9" s="3">
        <v>10</v>
      </c>
      <c r="BX9" s="5">
        <v>10</v>
      </c>
      <c r="BY9" s="12">
        <f t="shared" si="36"/>
        <v>1</v>
      </c>
      <c r="BZ9" s="12">
        <f t="shared" si="37"/>
        <v>7.839999999999999</v>
      </c>
      <c r="CA9" s="3">
        <v>9</v>
      </c>
      <c r="CB9" s="5">
        <v>9</v>
      </c>
      <c r="CC9" s="12">
        <f t="shared" si="38"/>
        <v>1</v>
      </c>
      <c r="CD9" s="12">
        <f t="shared" si="39"/>
        <v>3.2399999999999993</v>
      </c>
      <c r="CE9" s="3">
        <v>8</v>
      </c>
      <c r="CF9" s="5">
        <v>8</v>
      </c>
      <c r="CG9" s="12">
        <f t="shared" si="40"/>
        <v>1</v>
      </c>
      <c r="CH9" s="12">
        <f t="shared" si="41"/>
        <v>0.63999999999999968</v>
      </c>
      <c r="CI9" s="3">
        <v>7</v>
      </c>
      <c r="CJ9" s="5">
        <v>7</v>
      </c>
      <c r="CK9" s="12">
        <f t="shared" si="42"/>
        <v>1</v>
      </c>
      <c r="CL9" s="12">
        <f t="shared" si="43"/>
        <v>4.000000000000007E-2</v>
      </c>
      <c r="CM9" s="3">
        <v>8</v>
      </c>
      <c r="CN9" s="5">
        <v>8</v>
      </c>
      <c r="CO9" s="12">
        <f t="shared" si="44"/>
        <v>1</v>
      </c>
      <c r="CP9" s="12">
        <f t="shared" si="45"/>
        <v>0.63999999999999968</v>
      </c>
      <c r="CQ9" s="3">
        <v>9</v>
      </c>
      <c r="CR9" s="5">
        <v>9</v>
      </c>
      <c r="CS9" s="12">
        <f t="shared" si="46"/>
        <v>1</v>
      </c>
      <c r="CT9" s="12">
        <f t="shared" si="47"/>
        <v>3.2399999999999993</v>
      </c>
      <c r="CU9" s="3">
        <v>1</v>
      </c>
      <c r="CV9" s="5">
        <v>1</v>
      </c>
      <c r="CW9" s="12">
        <f t="shared" si="48"/>
        <v>1</v>
      </c>
      <c r="CX9" s="12">
        <f t="shared" si="49"/>
        <v>38.440000000000005</v>
      </c>
      <c r="CY9" s="3">
        <v>6</v>
      </c>
      <c r="CZ9" s="5">
        <v>4</v>
      </c>
      <c r="DA9" s="12">
        <f t="shared" si="50"/>
        <v>0.66666666666666663</v>
      </c>
      <c r="DB9" s="12">
        <f t="shared" si="51"/>
        <v>10.240000000000002</v>
      </c>
      <c r="DC9" s="3">
        <v>6</v>
      </c>
      <c r="DD9" s="5">
        <v>4</v>
      </c>
      <c r="DE9" s="8">
        <f t="shared" si="52"/>
        <v>0.66666666666666663</v>
      </c>
      <c r="DF9" s="12">
        <f t="shared" si="53"/>
        <v>10.240000000000002</v>
      </c>
      <c r="DG9" s="3">
        <v>9</v>
      </c>
      <c r="DH9" s="5">
        <v>9</v>
      </c>
      <c r="DI9" s="12">
        <f t="shared" si="54"/>
        <v>1</v>
      </c>
      <c r="DJ9" s="12">
        <f t="shared" si="55"/>
        <v>3.2399999999999993</v>
      </c>
      <c r="DK9" s="3">
        <v>10</v>
      </c>
      <c r="DL9" s="5">
        <v>10</v>
      </c>
      <c r="DM9" s="12">
        <f t="shared" si="56"/>
        <v>1</v>
      </c>
      <c r="DN9" s="12">
        <f t="shared" si="57"/>
        <v>7.839999999999999</v>
      </c>
      <c r="DO9" s="3">
        <v>9</v>
      </c>
      <c r="DP9" s="5">
        <v>6</v>
      </c>
      <c r="DQ9" s="12">
        <f t="shared" si="58"/>
        <v>0.66666666666666663</v>
      </c>
      <c r="DR9" s="12">
        <f t="shared" si="59"/>
        <v>1.4400000000000004</v>
      </c>
      <c r="DS9" s="3">
        <v>8</v>
      </c>
      <c r="DT9" s="26">
        <v>4</v>
      </c>
      <c r="DU9" s="12">
        <f t="shared" si="60"/>
        <v>0.5</v>
      </c>
      <c r="DV9" s="12">
        <f t="shared" si="61"/>
        <v>10.240000000000002</v>
      </c>
      <c r="DW9" s="3">
        <v>4</v>
      </c>
      <c r="DX9" s="5">
        <v>4</v>
      </c>
      <c r="DY9" s="12">
        <f t="shared" si="62"/>
        <v>1</v>
      </c>
      <c r="DZ9" s="12">
        <f t="shared" si="63"/>
        <v>10.240000000000002</v>
      </c>
      <c r="EA9" s="3">
        <v>9</v>
      </c>
      <c r="EB9" s="5">
        <v>6</v>
      </c>
      <c r="EC9" s="12">
        <f t="shared" si="64"/>
        <v>0.66666666666666663</v>
      </c>
      <c r="ED9" s="12">
        <f t="shared" si="65"/>
        <v>1.4400000000000004</v>
      </c>
      <c r="EE9" s="3">
        <v>7</v>
      </c>
      <c r="EF9" s="5">
        <v>7</v>
      </c>
      <c r="EG9" s="12">
        <f t="shared" si="66"/>
        <v>1</v>
      </c>
      <c r="EH9" s="12">
        <f t="shared" si="67"/>
        <v>4.000000000000007E-2</v>
      </c>
      <c r="EI9" s="3">
        <v>8</v>
      </c>
      <c r="EJ9" s="5">
        <v>8</v>
      </c>
      <c r="EK9" s="12">
        <f t="shared" si="68"/>
        <v>1</v>
      </c>
      <c r="EL9" s="12">
        <f t="shared" si="69"/>
        <v>0.63999999999999968</v>
      </c>
      <c r="EM9" s="3">
        <v>7</v>
      </c>
      <c r="EN9" s="5">
        <v>7</v>
      </c>
      <c r="EO9" s="8">
        <f t="shared" si="70"/>
        <v>1</v>
      </c>
      <c r="EP9" s="12">
        <f t="shared" si="71"/>
        <v>4.000000000000007E-2</v>
      </c>
      <c r="EQ9" s="3">
        <v>9</v>
      </c>
      <c r="ER9" s="5">
        <v>8</v>
      </c>
      <c r="ES9" s="12">
        <f t="shared" si="72"/>
        <v>0.88888888888888884</v>
      </c>
      <c r="ET9" s="12">
        <f t="shared" si="73"/>
        <v>0.63999999999999968</v>
      </c>
      <c r="EU9" s="3">
        <v>9</v>
      </c>
      <c r="EV9" s="5">
        <v>9</v>
      </c>
      <c r="EW9" s="12">
        <f t="shared" si="74"/>
        <v>1</v>
      </c>
      <c r="EX9" s="12">
        <f t="shared" si="75"/>
        <v>3.2399999999999993</v>
      </c>
      <c r="EY9" s="3">
        <v>6</v>
      </c>
      <c r="EZ9" s="5">
        <v>6</v>
      </c>
      <c r="FA9" s="12">
        <f t="shared" si="76"/>
        <v>1</v>
      </c>
      <c r="FB9" s="12">
        <f t="shared" si="77"/>
        <v>1.4400000000000004</v>
      </c>
      <c r="FC9" s="3">
        <v>7</v>
      </c>
      <c r="FD9" s="26">
        <v>7</v>
      </c>
      <c r="FE9" s="12">
        <f t="shared" si="78"/>
        <v>1</v>
      </c>
      <c r="FF9" s="12">
        <f t="shared" si="79"/>
        <v>4.000000000000007E-2</v>
      </c>
      <c r="FG9" s="3">
        <v>8</v>
      </c>
      <c r="FH9" s="5">
        <v>8</v>
      </c>
      <c r="FI9" s="12">
        <f t="shared" si="80"/>
        <v>1</v>
      </c>
      <c r="FJ9" s="12">
        <f t="shared" si="81"/>
        <v>0.63999999999999968</v>
      </c>
      <c r="FK9" s="3">
        <v>6</v>
      </c>
      <c r="FL9" s="5">
        <v>6</v>
      </c>
      <c r="FM9" s="12">
        <f t="shared" si="82"/>
        <v>1</v>
      </c>
      <c r="FN9" s="12">
        <f t="shared" si="83"/>
        <v>1.4400000000000004</v>
      </c>
      <c r="FO9" s="3">
        <v>5</v>
      </c>
      <c r="FP9" s="5">
        <v>5</v>
      </c>
      <c r="FQ9" s="12">
        <f t="shared" si="84"/>
        <v>1</v>
      </c>
      <c r="FR9" s="12">
        <f t="shared" si="85"/>
        <v>4.8400000000000007</v>
      </c>
      <c r="FS9" s="3">
        <v>8</v>
      </c>
      <c r="FT9" s="5">
        <v>7</v>
      </c>
      <c r="FU9" s="12">
        <f t="shared" si="86"/>
        <v>0.875</v>
      </c>
      <c r="FV9" s="12">
        <f t="shared" si="87"/>
        <v>4.000000000000007E-2</v>
      </c>
      <c r="FW9" s="3">
        <v>9</v>
      </c>
      <c r="FX9" s="5">
        <v>9</v>
      </c>
      <c r="FY9" s="12">
        <f t="shared" si="88"/>
        <v>1</v>
      </c>
      <c r="FZ9" s="12">
        <f t="shared" si="89"/>
        <v>3.2399999999999993</v>
      </c>
      <c r="GA9" s="4">
        <f t="shared" si="90"/>
        <v>45</v>
      </c>
      <c r="GB9" s="15">
        <f t="shared" si="91"/>
        <v>93.273368606701951</v>
      </c>
      <c r="GC9" s="15">
        <f t="shared" si="92"/>
        <v>7.2</v>
      </c>
      <c r="GD9" s="15">
        <f t="shared" si="93"/>
        <v>1.904380914278093</v>
      </c>
      <c r="GE9" s="16">
        <f t="shared" si="94"/>
        <v>93.273368606701951</v>
      </c>
      <c r="GF9" s="17" t="s">
        <v>3</v>
      </c>
      <c r="GG9" s="24">
        <f t="shared" si="95"/>
        <v>1.904380914278093</v>
      </c>
      <c r="GH9" s="4" t="str">
        <f t="shared" si="96"/>
        <v>отлично</v>
      </c>
      <c r="GI9" s="64"/>
      <c r="GJ9" s="32"/>
      <c r="GK9" s="65"/>
      <c r="GL9" s="65"/>
      <c r="GM9" s="64"/>
      <c r="GN9" s="32"/>
      <c r="GO9" s="65"/>
      <c r="GP9" s="65"/>
      <c r="GQ9" s="64"/>
      <c r="GR9" s="32"/>
      <c r="GS9" s="65"/>
      <c r="GT9" s="65"/>
      <c r="GU9" s="64"/>
      <c r="GV9" s="32"/>
      <c r="GW9" s="65"/>
      <c r="GX9" s="65"/>
      <c r="GY9" s="64"/>
      <c r="GZ9" s="32"/>
      <c r="HA9" s="65"/>
      <c r="HB9" s="65"/>
      <c r="HC9" s="64"/>
      <c r="HD9" s="32"/>
      <c r="HE9" s="65"/>
      <c r="HF9" s="65"/>
      <c r="HG9" s="64"/>
      <c r="HH9" s="64"/>
      <c r="HI9" s="65"/>
      <c r="HJ9" s="65"/>
      <c r="HK9" s="64"/>
      <c r="HL9" s="32"/>
      <c r="HM9" s="65"/>
      <c r="HN9" s="65"/>
      <c r="HO9" s="64"/>
      <c r="HP9" s="32"/>
      <c r="HQ9" s="65"/>
      <c r="HR9" s="65"/>
      <c r="HS9" s="64"/>
      <c r="HT9" s="32"/>
      <c r="HU9" s="65"/>
      <c r="HV9" s="65"/>
      <c r="HW9" s="64"/>
      <c r="HX9" s="32"/>
      <c r="HY9" s="65"/>
      <c r="HZ9" s="65"/>
    </row>
    <row r="10" spans="1:234" ht="85.5" customHeight="1" thickBot="1" x14ac:dyDescent="0.3">
      <c r="A10" s="21">
        <v>8</v>
      </c>
      <c r="B10" s="31" t="s">
        <v>17</v>
      </c>
      <c r="C10" s="3">
        <v>8</v>
      </c>
      <c r="D10" s="5">
        <v>8</v>
      </c>
      <c r="E10" s="8">
        <f t="shared" si="0"/>
        <v>1</v>
      </c>
      <c r="F10" s="12">
        <f t="shared" si="1"/>
        <v>0.47456790123456821</v>
      </c>
      <c r="G10" s="3">
        <v>10</v>
      </c>
      <c r="H10" s="5">
        <v>10</v>
      </c>
      <c r="I10" s="12">
        <f t="shared" si="2"/>
        <v>1</v>
      </c>
      <c r="J10" s="12">
        <f t="shared" si="3"/>
        <v>7.2301234567901247</v>
      </c>
      <c r="K10" s="3">
        <v>7</v>
      </c>
      <c r="L10" s="5">
        <v>6</v>
      </c>
      <c r="M10" s="12">
        <f t="shared" si="4"/>
        <v>0.8571428571428571</v>
      </c>
      <c r="N10" s="12">
        <f t="shared" si="5"/>
        <v>1.7190123456790118</v>
      </c>
      <c r="O10" s="3">
        <v>10</v>
      </c>
      <c r="P10" s="5">
        <v>10</v>
      </c>
      <c r="Q10" s="12">
        <f t="shared" si="6"/>
        <v>1</v>
      </c>
      <c r="R10" s="12">
        <f t="shared" si="7"/>
        <v>7.2301234567901247</v>
      </c>
      <c r="S10" s="3">
        <v>10</v>
      </c>
      <c r="T10" s="26">
        <v>10</v>
      </c>
      <c r="U10" s="12">
        <f t="shared" si="8"/>
        <v>1</v>
      </c>
      <c r="V10" s="12">
        <f t="shared" si="9"/>
        <v>7.2301234567901247</v>
      </c>
      <c r="W10" s="3">
        <v>8</v>
      </c>
      <c r="X10" s="5">
        <v>7</v>
      </c>
      <c r="Y10" s="12">
        <f t="shared" si="10"/>
        <v>0.875</v>
      </c>
      <c r="Z10" s="12">
        <f t="shared" si="11"/>
        <v>9.6790123456789987E-2</v>
      </c>
      <c r="AA10" s="3">
        <v>10</v>
      </c>
      <c r="AB10" s="5">
        <v>10</v>
      </c>
      <c r="AC10" s="12">
        <f t="shared" si="12"/>
        <v>1</v>
      </c>
      <c r="AD10" s="12">
        <f t="shared" si="13"/>
        <v>7.2301234567901247</v>
      </c>
      <c r="AE10" s="3">
        <v>8</v>
      </c>
      <c r="AF10" s="5">
        <v>6</v>
      </c>
      <c r="AG10" s="12">
        <f t="shared" si="14"/>
        <v>0.75</v>
      </c>
      <c r="AH10" s="12">
        <f t="shared" si="15"/>
        <v>1.7190123456790118</v>
      </c>
      <c r="AI10" s="3">
        <v>7</v>
      </c>
      <c r="AJ10" s="5">
        <v>7</v>
      </c>
      <c r="AK10" s="12">
        <f t="shared" si="16"/>
        <v>1</v>
      </c>
      <c r="AL10" s="12">
        <f t="shared" si="17"/>
        <v>9.6790123456789987E-2</v>
      </c>
      <c r="AM10" s="3">
        <v>8</v>
      </c>
      <c r="AN10" s="5">
        <v>8</v>
      </c>
      <c r="AO10" s="12">
        <f t="shared" si="18"/>
        <v>1</v>
      </c>
      <c r="AP10" s="12">
        <f t="shared" si="19"/>
        <v>0.47456790123456821</v>
      </c>
      <c r="AQ10" s="3">
        <v>6</v>
      </c>
      <c r="AR10" s="5">
        <v>7</v>
      </c>
      <c r="AS10" s="12">
        <f t="shared" si="20"/>
        <v>1.1666666666666667</v>
      </c>
      <c r="AT10" s="12">
        <f t="shared" si="21"/>
        <v>9.6790123456789987E-2</v>
      </c>
      <c r="AU10" s="3">
        <v>8</v>
      </c>
      <c r="AV10" s="5">
        <v>6</v>
      </c>
      <c r="AW10" s="12">
        <f t="shared" si="22"/>
        <v>0.75</v>
      </c>
      <c r="AX10" s="12">
        <f t="shared" si="23"/>
        <v>1.7190123456790118</v>
      </c>
      <c r="AY10" s="3">
        <v>4</v>
      </c>
      <c r="AZ10" s="5">
        <v>4</v>
      </c>
      <c r="BA10" s="12">
        <f t="shared" si="24"/>
        <v>1</v>
      </c>
      <c r="BB10" s="12">
        <f t="shared" si="25"/>
        <v>10.963456790123455</v>
      </c>
      <c r="BC10" s="3">
        <v>8</v>
      </c>
      <c r="BD10" s="5">
        <v>8</v>
      </c>
      <c r="BE10" s="12">
        <f t="shared" si="26"/>
        <v>1</v>
      </c>
      <c r="BF10" s="12">
        <f t="shared" si="27"/>
        <v>0.47456790123456821</v>
      </c>
      <c r="BG10" s="3">
        <v>9</v>
      </c>
      <c r="BH10" s="5">
        <v>8</v>
      </c>
      <c r="BI10" s="12">
        <f t="shared" si="28"/>
        <v>0.88888888888888884</v>
      </c>
      <c r="BJ10" s="12">
        <f t="shared" si="29"/>
        <v>0.47456790123456821</v>
      </c>
      <c r="BK10" s="3">
        <v>7</v>
      </c>
      <c r="BL10" s="5">
        <v>7</v>
      </c>
      <c r="BM10" s="12">
        <f t="shared" si="30"/>
        <v>1</v>
      </c>
      <c r="BN10" s="12">
        <f t="shared" si="31"/>
        <v>9.6790123456789987E-2</v>
      </c>
      <c r="BO10" s="3">
        <v>8</v>
      </c>
      <c r="BP10" s="5">
        <v>6</v>
      </c>
      <c r="BQ10" s="12">
        <f t="shared" si="32"/>
        <v>0.75</v>
      </c>
      <c r="BR10" s="12">
        <f t="shared" si="33"/>
        <v>1.7190123456790118</v>
      </c>
      <c r="BS10" s="3">
        <v>8</v>
      </c>
      <c r="BT10" s="5">
        <v>8</v>
      </c>
      <c r="BU10" s="12">
        <f t="shared" si="34"/>
        <v>1</v>
      </c>
      <c r="BV10" s="12">
        <f t="shared" si="35"/>
        <v>0.47456790123456821</v>
      </c>
      <c r="BW10" s="3">
        <v>9</v>
      </c>
      <c r="BX10" s="5">
        <v>9</v>
      </c>
      <c r="BY10" s="12">
        <f t="shared" si="36"/>
        <v>1</v>
      </c>
      <c r="BZ10" s="12">
        <f t="shared" si="37"/>
        <v>2.8523456790123465</v>
      </c>
      <c r="CA10" s="3">
        <v>8</v>
      </c>
      <c r="CB10" s="5">
        <v>8</v>
      </c>
      <c r="CC10" s="12">
        <f t="shared" si="38"/>
        <v>1</v>
      </c>
      <c r="CD10" s="12">
        <f t="shared" si="39"/>
        <v>0.47456790123456821</v>
      </c>
      <c r="CE10" s="3">
        <v>9</v>
      </c>
      <c r="CF10" s="5">
        <v>9</v>
      </c>
      <c r="CG10" s="12">
        <f t="shared" si="40"/>
        <v>1</v>
      </c>
      <c r="CH10" s="12">
        <f t="shared" si="41"/>
        <v>2.8523456790123465</v>
      </c>
      <c r="CI10" s="3">
        <v>5</v>
      </c>
      <c r="CJ10" s="5">
        <v>5</v>
      </c>
      <c r="CK10" s="12">
        <f t="shared" si="42"/>
        <v>1</v>
      </c>
      <c r="CL10" s="12">
        <f t="shared" si="43"/>
        <v>5.3412345679012336</v>
      </c>
      <c r="CM10" s="3">
        <v>9</v>
      </c>
      <c r="CN10" s="5">
        <v>9</v>
      </c>
      <c r="CO10" s="12">
        <f t="shared" si="44"/>
        <v>1</v>
      </c>
      <c r="CP10" s="12">
        <f t="shared" si="45"/>
        <v>2.8523456790123465</v>
      </c>
      <c r="CQ10" s="3">
        <v>9</v>
      </c>
      <c r="CR10" s="5">
        <v>9</v>
      </c>
      <c r="CS10" s="12">
        <f t="shared" si="46"/>
        <v>1</v>
      </c>
      <c r="CT10" s="12">
        <f t="shared" si="47"/>
        <v>2.8523456790123465</v>
      </c>
      <c r="CU10" s="3">
        <v>1</v>
      </c>
      <c r="CV10" s="5">
        <v>1</v>
      </c>
      <c r="CW10" s="12">
        <f t="shared" si="48"/>
        <v>1</v>
      </c>
      <c r="CX10" s="12">
        <f t="shared" si="49"/>
        <v>39.830123456790119</v>
      </c>
      <c r="CY10" s="3">
        <v>8</v>
      </c>
      <c r="CZ10" s="5">
        <v>7</v>
      </c>
      <c r="DA10" s="12">
        <f t="shared" si="50"/>
        <v>0.875</v>
      </c>
      <c r="DB10" s="12">
        <f t="shared" si="51"/>
        <v>9.6790123456789987E-2</v>
      </c>
      <c r="DC10" s="3">
        <v>8</v>
      </c>
      <c r="DD10" s="5">
        <v>7</v>
      </c>
      <c r="DE10" s="8">
        <f t="shared" si="52"/>
        <v>0.875</v>
      </c>
      <c r="DF10" s="12">
        <f t="shared" si="53"/>
        <v>9.6790123456789987E-2</v>
      </c>
      <c r="DG10" s="3">
        <v>9</v>
      </c>
      <c r="DH10" s="5">
        <v>8</v>
      </c>
      <c r="DI10" s="12">
        <f t="shared" si="54"/>
        <v>0.88888888888888884</v>
      </c>
      <c r="DJ10" s="12">
        <f t="shared" si="55"/>
        <v>0.47456790123456821</v>
      </c>
      <c r="DK10" s="3">
        <v>10</v>
      </c>
      <c r="DL10" s="5">
        <v>7</v>
      </c>
      <c r="DM10" s="12">
        <f t="shared" si="56"/>
        <v>0.7</v>
      </c>
      <c r="DN10" s="12">
        <f t="shared" si="57"/>
        <v>9.6790123456789987E-2</v>
      </c>
      <c r="DO10" s="3">
        <v>9</v>
      </c>
      <c r="DP10" s="5">
        <v>5</v>
      </c>
      <c r="DQ10" s="12">
        <f t="shared" si="58"/>
        <v>0.55555555555555558</v>
      </c>
      <c r="DR10" s="12">
        <f t="shared" si="59"/>
        <v>5.3412345679012336</v>
      </c>
      <c r="DS10" s="3">
        <v>8</v>
      </c>
      <c r="DT10" s="26">
        <v>4</v>
      </c>
      <c r="DU10" s="12">
        <f t="shared" si="60"/>
        <v>0.5</v>
      </c>
      <c r="DV10" s="12">
        <f t="shared" si="61"/>
        <v>10.963456790123455</v>
      </c>
      <c r="DW10" s="3">
        <v>8</v>
      </c>
      <c r="DX10" s="5">
        <v>7</v>
      </c>
      <c r="DY10" s="12">
        <f t="shared" si="62"/>
        <v>0.875</v>
      </c>
      <c r="DZ10" s="12">
        <f t="shared" si="63"/>
        <v>9.6790123456789987E-2</v>
      </c>
      <c r="EA10" s="3">
        <v>9</v>
      </c>
      <c r="EB10" s="5">
        <v>5</v>
      </c>
      <c r="EC10" s="12">
        <f t="shared" si="64"/>
        <v>0.55555555555555558</v>
      </c>
      <c r="ED10" s="12">
        <f t="shared" si="65"/>
        <v>5.3412345679012336</v>
      </c>
      <c r="EE10" s="3">
        <v>8</v>
      </c>
      <c r="EF10" s="5">
        <v>7</v>
      </c>
      <c r="EG10" s="12">
        <f t="shared" si="66"/>
        <v>0.875</v>
      </c>
      <c r="EH10" s="12">
        <f t="shared" si="67"/>
        <v>9.6790123456789987E-2</v>
      </c>
      <c r="EI10" s="3">
        <v>8</v>
      </c>
      <c r="EJ10" s="5">
        <v>7</v>
      </c>
      <c r="EK10" s="12">
        <f t="shared" si="68"/>
        <v>0.875</v>
      </c>
      <c r="EL10" s="12">
        <f t="shared" si="69"/>
        <v>9.6790123456789987E-2</v>
      </c>
      <c r="EM10" s="3">
        <v>7</v>
      </c>
      <c r="EN10" s="5">
        <v>7</v>
      </c>
      <c r="EO10" s="8">
        <f t="shared" si="70"/>
        <v>1</v>
      </c>
      <c r="EP10" s="12">
        <f t="shared" si="71"/>
        <v>9.6790123456789987E-2</v>
      </c>
      <c r="EQ10" s="3">
        <v>9</v>
      </c>
      <c r="ER10" s="5">
        <v>9</v>
      </c>
      <c r="ES10" s="12">
        <f t="shared" si="72"/>
        <v>1</v>
      </c>
      <c r="ET10" s="12">
        <f t="shared" si="73"/>
        <v>2.8523456790123465</v>
      </c>
      <c r="EU10" s="3">
        <v>9</v>
      </c>
      <c r="EV10" s="5">
        <v>9</v>
      </c>
      <c r="EW10" s="12">
        <f t="shared" si="74"/>
        <v>1</v>
      </c>
      <c r="EX10" s="12">
        <f t="shared" si="75"/>
        <v>2.8523456790123465</v>
      </c>
      <c r="EY10" s="3">
        <v>8</v>
      </c>
      <c r="EZ10" s="5">
        <v>8</v>
      </c>
      <c r="FA10" s="12">
        <f t="shared" si="76"/>
        <v>1</v>
      </c>
      <c r="FB10" s="12">
        <f t="shared" si="77"/>
        <v>0.47456790123456821</v>
      </c>
      <c r="FC10" s="3">
        <v>8</v>
      </c>
      <c r="FD10" s="26">
        <v>8</v>
      </c>
      <c r="FE10" s="12">
        <f t="shared" si="78"/>
        <v>1</v>
      </c>
      <c r="FF10" s="12">
        <f t="shared" si="79"/>
        <v>0.47456790123456821</v>
      </c>
      <c r="FG10" s="3">
        <v>7</v>
      </c>
      <c r="FH10" s="5">
        <v>7</v>
      </c>
      <c r="FI10" s="12">
        <f t="shared" si="80"/>
        <v>1</v>
      </c>
      <c r="FJ10" s="12">
        <f t="shared" si="81"/>
        <v>9.6790123456789987E-2</v>
      </c>
      <c r="FK10" s="3">
        <v>6</v>
      </c>
      <c r="FL10" s="5">
        <v>6</v>
      </c>
      <c r="FM10" s="12">
        <f t="shared" si="82"/>
        <v>1</v>
      </c>
      <c r="FN10" s="12">
        <f t="shared" si="83"/>
        <v>1.7190123456790118</v>
      </c>
      <c r="FO10" s="3">
        <v>9</v>
      </c>
      <c r="FP10" s="5">
        <v>9</v>
      </c>
      <c r="FQ10" s="12">
        <f t="shared" si="84"/>
        <v>1</v>
      </c>
      <c r="FR10" s="12">
        <f t="shared" si="85"/>
        <v>2.8523456790123465</v>
      </c>
      <c r="FS10" s="3">
        <v>9</v>
      </c>
      <c r="FT10" s="5">
        <v>9</v>
      </c>
      <c r="FU10" s="12">
        <f t="shared" si="86"/>
        <v>1</v>
      </c>
      <c r="FV10" s="12">
        <f t="shared" si="87"/>
        <v>2.8523456790123465</v>
      </c>
      <c r="FW10" s="3">
        <v>9</v>
      </c>
      <c r="FX10" s="5">
        <v>7</v>
      </c>
      <c r="FY10" s="12">
        <f t="shared" si="88"/>
        <v>0.77777777777777779</v>
      </c>
      <c r="FZ10" s="12">
        <f t="shared" si="89"/>
        <v>9.6790123456789987E-2</v>
      </c>
      <c r="GA10" s="4">
        <f t="shared" si="90"/>
        <v>45</v>
      </c>
      <c r="GB10" s="15">
        <f t="shared" si="91"/>
        <v>91.978835978835988</v>
      </c>
      <c r="GC10" s="15">
        <f t="shared" si="92"/>
        <v>7.3111111111111109</v>
      </c>
      <c r="GD10" s="15">
        <f t="shared" si="93"/>
        <v>1.7866445548659364</v>
      </c>
      <c r="GE10" s="16">
        <f t="shared" si="94"/>
        <v>91.978835978835988</v>
      </c>
      <c r="GF10" s="17" t="s">
        <v>3</v>
      </c>
      <c r="GG10" s="24">
        <f t="shared" si="95"/>
        <v>1.7866445548659364</v>
      </c>
      <c r="GH10" s="4" t="str">
        <f t="shared" si="96"/>
        <v>отлично</v>
      </c>
      <c r="GI10" s="64"/>
      <c r="GJ10" s="32"/>
      <c r="GK10" s="65"/>
      <c r="GL10" s="65"/>
      <c r="GM10" s="64"/>
      <c r="GN10" s="32"/>
      <c r="GO10" s="65"/>
      <c r="GP10" s="65"/>
      <c r="GQ10" s="64"/>
      <c r="GR10" s="32"/>
      <c r="GS10" s="65"/>
      <c r="GT10" s="65"/>
      <c r="GU10" s="64"/>
      <c r="GV10" s="32"/>
      <c r="GW10" s="65"/>
      <c r="GX10" s="65"/>
      <c r="GY10" s="64"/>
      <c r="GZ10" s="32"/>
      <c r="HA10" s="65"/>
      <c r="HB10" s="65"/>
      <c r="HC10" s="64"/>
      <c r="HD10" s="32"/>
      <c r="HE10" s="65"/>
      <c r="HF10" s="65"/>
      <c r="HG10" s="64"/>
      <c r="HH10" s="64"/>
      <c r="HI10" s="65"/>
      <c r="HJ10" s="65"/>
      <c r="HK10" s="64"/>
      <c r="HL10" s="32"/>
      <c r="HM10" s="65"/>
      <c r="HN10" s="65"/>
      <c r="HO10" s="64"/>
      <c r="HP10" s="32"/>
      <c r="HQ10" s="65"/>
      <c r="HR10" s="65"/>
      <c r="HS10" s="64"/>
      <c r="HT10" s="32"/>
      <c r="HU10" s="65"/>
      <c r="HV10" s="65"/>
      <c r="HW10" s="64"/>
      <c r="HX10" s="32"/>
      <c r="HY10" s="65"/>
      <c r="HZ10" s="65"/>
    </row>
    <row r="11" spans="1:234" ht="48" customHeight="1" thickBot="1" x14ac:dyDescent="0.3">
      <c r="A11" s="21">
        <v>9</v>
      </c>
      <c r="B11" s="31" t="s">
        <v>18</v>
      </c>
      <c r="C11" s="3">
        <v>6</v>
      </c>
      <c r="D11" s="5">
        <v>6</v>
      </c>
      <c r="E11" s="8">
        <f t="shared" si="0"/>
        <v>1</v>
      </c>
      <c r="F11" s="12">
        <f t="shared" si="1"/>
        <v>3.0044444444444447</v>
      </c>
      <c r="G11" s="3">
        <v>8</v>
      </c>
      <c r="H11" s="5">
        <v>8</v>
      </c>
      <c r="I11" s="12">
        <f t="shared" si="2"/>
        <v>1</v>
      </c>
      <c r="J11" s="12">
        <f t="shared" si="3"/>
        <v>7.1111111111111083E-2</v>
      </c>
      <c r="K11" s="3">
        <v>8</v>
      </c>
      <c r="L11" s="5">
        <v>6</v>
      </c>
      <c r="M11" s="12">
        <f t="shared" si="4"/>
        <v>0.75</v>
      </c>
      <c r="N11" s="12">
        <f t="shared" si="5"/>
        <v>3.0044444444444447</v>
      </c>
      <c r="O11" s="3">
        <v>10</v>
      </c>
      <c r="P11" s="5">
        <v>10</v>
      </c>
      <c r="Q11" s="12">
        <f t="shared" si="6"/>
        <v>1</v>
      </c>
      <c r="R11" s="12">
        <f t="shared" si="7"/>
        <v>5.1377777777777771</v>
      </c>
      <c r="S11" s="3">
        <v>7</v>
      </c>
      <c r="T11" s="26">
        <v>6</v>
      </c>
      <c r="U11" s="12">
        <f t="shared" si="8"/>
        <v>0.8571428571428571</v>
      </c>
      <c r="V11" s="12">
        <f t="shared" si="9"/>
        <v>3.0044444444444447</v>
      </c>
      <c r="W11" s="3">
        <v>9</v>
      </c>
      <c r="X11" s="5">
        <v>9</v>
      </c>
      <c r="Y11" s="12">
        <f t="shared" si="10"/>
        <v>1</v>
      </c>
      <c r="Z11" s="12">
        <f t="shared" si="11"/>
        <v>1.6044444444444443</v>
      </c>
      <c r="AA11" s="3">
        <v>7</v>
      </c>
      <c r="AB11" s="5">
        <v>8</v>
      </c>
      <c r="AC11" s="12">
        <f t="shared" si="12"/>
        <v>1.1428571428571428</v>
      </c>
      <c r="AD11" s="12">
        <f t="shared" si="13"/>
        <v>7.1111111111111083E-2</v>
      </c>
      <c r="AE11" s="3">
        <v>7</v>
      </c>
      <c r="AF11" s="5">
        <v>8</v>
      </c>
      <c r="AG11" s="12">
        <f t="shared" si="14"/>
        <v>1.1428571428571428</v>
      </c>
      <c r="AH11" s="12">
        <f t="shared" si="15"/>
        <v>7.1111111111111083E-2</v>
      </c>
      <c r="AI11" s="3">
        <v>8</v>
      </c>
      <c r="AJ11" s="5">
        <v>9</v>
      </c>
      <c r="AK11" s="12">
        <f t="shared" si="16"/>
        <v>1.125</v>
      </c>
      <c r="AL11" s="12">
        <f t="shared" si="17"/>
        <v>1.6044444444444443</v>
      </c>
      <c r="AM11" s="3">
        <v>8</v>
      </c>
      <c r="AN11" s="5">
        <v>8</v>
      </c>
      <c r="AO11" s="12">
        <f t="shared" si="18"/>
        <v>1</v>
      </c>
      <c r="AP11" s="12">
        <f t="shared" si="19"/>
        <v>7.1111111111111083E-2</v>
      </c>
      <c r="AQ11" s="3">
        <v>8</v>
      </c>
      <c r="AR11" s="5">
        <v>7</v>
      </c>
      <c r="AS11" s="12">
        <f t="shared" si="20"/>
        <v>0.875</v>
      </c>
      <c r="AT11" s="12">
        <f t="shared" si="21"/>
        <v>0.53777777777777791</v>
      </c>
      <c r="AU11" s="3">
        <v>9</v>
      </c>
      <c r="AV11" s="5">
        <v>9</v>
      </c>
      <c r="AW11" s="12">
        <f t="shared" si="22"/>
        <v>1</v>
      </c>
      <c r="AX11" s="12">
        <f t="shared" si="23"/>
        <v>1.6044444444444443</v>
      </c>
      <c r="AY11" s="3">
        <v>9</v>
      </c>
      <c r="AZ11" s="5">
        <v>9</v>
      </c>
      <c r="BA11" s="12">
        <f t="shared" si="24"/>
        <v>1</v>
      </c>
      <c r="BB11" s="12">
        <f t="shared" si="25"/>
        <v>1.6044444444444443</v>
      </c>
      <c r="BC11" s="3">
        <v>9</v>
      </c>
      <c r="BD11" s="5">
        <v>9</v>
      </c>
      <c r="BE11" s="12">
        <f t="shared" si="26"/>
        <v>1</v>
      </c>
      <c r="BF11" s="12">
        <f t="shared" si="27"/>
        <v>1.6044444444444443</v>
      </c>
      <c r="BG11" s="3">
        <v>9</v>
      </c>
      <c r="BH11" s="5">
        <v>6</v>
      </c>
      <c r="BI11" s="12">
        <f t="shared" si="28"/>
        <v>0.66666666666666663</v>
      </c>
      <c r="BJ11" s="12">
        <f t="shared" si="29"/>
        <v>3.0044444444444447</v>
      </c>
      <c r="BK11" s="3">
        <v>9</v>
      </c>
      <c r="BL11" s="5">
        <v>9</v>
      </c>
      <c r="BM11" s="12">
        <f t="shared" si="30"/>
        <v>1</v>
      </c>
      <c r="BN11" s="12">
        <f t="shared" si="31"/>
        <v>1.6044444444444443</v>
      </c>
      <c r="BO11" s="3">
        <v>3</v>
      </c>
      <c r="BP11" s="5">
        <v>2</v>
      </c>
      <c r="BQ11" s="12">
        <f t="shared" si="32"/>
        <v>0.66666666666666663</v>
      </c>
      <c r="BR11" s="12">
        <f t="shared" si="33"/>
        <v>32.871111111111112</v>
      </c>
      <c r="BS11" s="3">
        <v>2</v>
      </c>
      <c r="BT11" s="5">
        <v>2</v>
      </c>
      <c r="BU11" s="12">
        <f t="shared" si="34"/>
        <v>1</v>
      </c>
      <c r="BV11" s="12">
        <f t="shared" si="35"/>
        <v>32.871111111111112</v>
      </c>
      <c r="BW11" s="3">
        <v>10</v>
      </c>
      <c r="BX11" s="5">
        <v>10</v>
      </c>
      <c r="BY11" s="12">
        <f t="shared" si="36"/>
        <v>1</v>
      </c>
      <c r="BZ11" s="12">
        <f t="shared" si="37"/>
        <v>5.1377777777777771</v>
      </c>
      <c r="CA11" s="67">
        <v>10</v>
      </c>
      <c r="CB11" s="5">
        <v>10</v>
      </c>
      <c r="CC11" s="12">
        <f t="shared" si="38"/>
        <v>1</v>
      </c>
      <c r="CD11" s="12">
        <f t="shared" si="39"/>
        <v>5.1377777777777771</v>
      </c>
      <c r="CE11" s="3">
        <v>10</v>
      </c>
      <c r="CF11" s="5">
        <v>10</v>
      </c>
      <c r="CG11" s="12">
        <f t="shared" si="40"/>
        <v>1</v>
      </c>
      <c r="CH11" s="12">
        <f t="shared" si="41"/>
        <v>5.1377777777777771</v>
      </c>
      <c r="CI11" s="3">
        <v>8</v>
      </c>
      <c r="CJ11" s="5">
        <v>7</v>
      </c>
      <c r="CK11" s="12">
        <f t="shared" si="42"/>
        <v>0.875</v>
      </c>
      <c r="CL11" s="12">
        <f t="shared" si="43"/>
        <v>0.53777777777777791</v>
      </c>
      <c r="CM11" s="3">
        <v>9</v>
      </c>
      <c r="CN11" s="5">
        <v>9</v>
      </c>
      <c r="CO11" s="12">
        <f t="shared" si="44"/>
        <v>1</v>
      </c>
      <c r="CP11" s="12">
        <f t="shared" si="45"/>
        <v>1.6044444444444443</v>
      </c>
      <c r="CQ11" s="3">
        <v>10</v>
      </c>
      <c r="CR11" s="5">
        <v>10</v>
      </c>
      <c r="CS11" s="12">
        <f t="shared" si="46"/>
        <v>1</v>
      </c>
      <c r="CT11" s="12">
        <f t="shared" si="47"/>
        <v>5.1377777777777771</v>
      </c>
      <c r="CU11" s="3">
        <v>10</v>
      </c>
      <c r="CV11" s="5">
        <v>10</v>
      </c>
      <c r="CW11" s="12">
        <f t="shared" si="48"/>
        <v>1</v>
      </c>
      <c r="CX11" s="12">
        <f t="shared" si="49"/>
        <v>5.1377777777777771</v>
      </c>
      <c r="CY11" s="3">
        <v>8</v>
      </c>
      <c r="CZ11" s="5">
        <v>6</v>
      </c>
      <c r="DA11" s="12">
        <f t="shared" si="50"/>
        <v>0.75</v>
      </c>
      <c r="DB11" s="12">
        <f t="shared" si="51"/>
        <v>3.0044444444444447</v>
      </c>
      <c r="DC11" s="3">
        <v>8</v>
      </c>
      <c r="DD11" s="5">
        <v>6</v>
      </c>
      <c r="DE11" s="8">
        <f t="shared" si="52"/>
        <v>0.75</v>
      </c>
      <c r="DF11" s="12">
        <f t="shared" si="53"/>
        <v>3.0044444444444447</v>
      </c>
      <c r="DG11" s="3">
        <v>9</v>
      </c>
      <c r="DH11" s="5">
        <v>9</v>
      </c>
      <c r="DI11" s="12">
        <f t="shared" si="54"/>
        <v>1</v>
      </c>
      <c r="DJ11" s="12">
        <f t="shared" si="55"/>
        <v>1.6044444444444443</v>
      </c>
      <c r="DK11" s="3">
        <v>10</v>
      </c>
      <c r="DL11" s="5">
        <v>10</v>
      </c>
      <c r="DM11" s="12">
        <f t="shared" si="56"/>
        <v>1</v>
      </c>
      <c r="DN11" s="12">
        <f t="shared" si="57"/>
        <v>5.1377777777777771</v>
      </c>
      <c r="DO11" s="3">
        <v>8</v>
      </c>
      <c r="DP11" s="5">
        <v>8</v>
      </c>
      <c r="DQ11" s="12">
        <f t="shared" si="58"/>
        <v>1</v>
      </c>
      <c r="DR11" s="12">
        <f t="shared" si="59"/>
        <v>7.1111111111111083E-2</v>
      </c>
      <c r="DS11" s="3">
        <v>10</v>
      </c>
      <c r="DT11" s="26">
        <v>10</v>
      </c>
      <c r="DU11" s="12">
        <f t="shared" si="60"/>
        <v>1</v>
      </c>
      <c r="DV11" s="12">
        <f t="shared" si="61"/>
        <v>5.1377777777777771</v>
      </c>
      <c r="DW11" s="3">
        <v>8</v>
      </c>
      <c r="DX11" s="5">
        <v>8</v>
      </c>
      <c r="DY11" s="12">
        <f t="shared" si="62"/>
        <v>1</v>
      </c>
      <c r="DZ11" s="12">
        <f t="shared" si="63"/>
        <v>7.1111111111111083E-2</v>
      </c>
      <c r="EA11" s="3">
        <v>10</v>
      </c>
      <c r="EB11" s="5">
        <v>10</v>
      </c>
      <c r="EC11" s="12">
        <f t="shared" si="64"/>
        <v>1</v>
      </c>
      <c r="ED11" s="12">
        <f t="shared" si="65"/>
        <v>5.1377777777777771</v>
      </c>
      <c r="EE11" s="3">
        <v>5</v>
      </c>
      <c r="EF11" s="5">
        <v>5</v>
      </c>
      <c r="EG11" s="12">
        <f t="shared" si="66"/>
        <v>1</v>
      </c>
      <c r="EH11" s="12">
        <f t="shared" si="67"/>
        <v>7.471111111111111</v>
      </c>
      <c r="EI11" s="3">
        <v>8</v>
      </c>
      <c r="EJ11" s="5">
        <v>7</v>
      </c>
      <c r="EK11" s="12">
        <f t="shared" si="68"/>
        <v>0.875</v>
      </c>
      <c r="EL11" s="12">
        <f t="shared" si="69"/>
        <v>0.53777777777777791</v>
      </c>
      <c r="EM11" s="3">
        <v>6</v>
      </c>
      <c r="EN11" s="5">
        <v>6</v>
      </c>
      <c r="EO11" s="8">
        <f t="shared" si="70"/>
        <v>1</v>
      </c>
      <c r="EP11" s="12">
        <f t="shared" si="71"/>
        <v>3.0044444444444447</v>
      </c>
      <c r="EQ11" s="3">
        <v>9</v>
      </c>
      <c r="ER11" s="5">
        <v>9</v>
      </c>
      <c r="ES11" s="12">
        <f t="shared" si="72"/>
        <v>1</v>
      </c>
      <c r="ET11" s="12">
        <f t="shared" si="73"/>
        <v>1.6044444444444443</v>
      </c>
      <c r="EU11" s="3">
        <v>8</v>
      </c>
      <c r="EV11" s="5">
        <v>7</v>
      </c>
      <c r="EW11" s="12">
        <f t="shared" si="74"/>
        <v>0.875</v>
      </c>
      <c r="EX11" s="12">
        <f t="shared" si="75"/>
        <v>0.53777777777777791</v>
      </c>
      <c r="EY11" s="3">
        <v>7</v>
      </c>
      <c r="EZ11" s="5">
        <v>7</v>
      </c>
      <c r="FA11" s="12">
        <f t="shared" si="76"/>
        <v>1</v>
      </c>
      <c r="FB11" s="12">
        <f t="shared" si="77"/>
        <v>0.53777777777777791</v>
      </c>
      <c r="FC11" s="3">
        <v>7</v>
      </c>
      <c r="FD11" s="26">
        <v>7</v>
      </c>
      <c r="FE11" s="12">
        <f t="shared" si="78"/>
        <v>1</v>
      </c>
      <c r="FF11" s="12">
        <f t="shared" si="79"/>
        <v>0.53777777777777791</v>
      </c>
      <c r="FG11" s="3">
        <v>8</v>
      </c>
      <c r="FH11" s="5">
        <v>8</v>
      </c>
      <c r="FI11" s="12">
        <f t="shared" si="80"/>
        <v>1</v>
      </c>
      <c r="FJ11" s="12">
        <f t="shared" si="81"/>
        <v>7.1111111111111083E-2</v>
      </c>
      <c r="FK11" s="3">
        <v>6</v>
      </c>
      <c r="FL11" s="5">
        <v>6</v>
      </c>
      <c r="FM11" s="12">
        <f t="shared" si="82"/>
        <v>1</v>
      </c>
      <c r="FN11" s="12">
        <f t="shared" si="83"/>
        <v>3.0044444444444447</v>
      </c>
      <c r="FO11" s="3">
        <v>7</v>
      </c>
      <c r="FP11" s="5">
        <v>7</v>
      </c>
      <c r="FQ11" s="12">
        <f t="shared" si="84"/>
        <v>1</v>
      </c>
      <c r="FR11" s="12">
        <f t="shared" si="85"/>
        <v>0.53777777777777791</v>
      </c>
      <c r="FS11" s="3">
        <v>8</v>
      </c>
      <c r="FT11" s="5">
        <v>7</v>
      </c>
      <c r="FU11" s="12">
        <f t="shared" si="86"/>
        <v>0.875</v>
      </c>
      <c r="FV11" s="12">
        <f t="shared" si="87"/>
        <v>0.53777777777777791</v>
      </c>
      <c r="FW11" s="3">
        <v>8</v>
      </c>
      <c r="FX11" s="5">
        <v>8</v>
      </c>
      <c r="FY11" s="12">
        <f t="shared" si="88"/>
        <v>1</v>
      </c>
      <c r="FZ11" s="12">
        <f t="shared" si="89"/>
        <v>7.1111111111111083E-2</v>
      </c>
      <c r="GA11" s="4">
        <f t="shared" si="90"/>
        <v>45</v>
      </c>
      <c r="GB11" s="15">
        <f t="shared" si="91"/>
        <v>96.058201058201064</v>
      </c>
      <c r="GC11" s="15">
        <f t="shared" si="92"/>
        <v>7.7333333333333334</v>
      </c>
      <c r="GD11" s="15">
        <f t="shared" si="93"/>
        <v>1.9020456823582812</v>
      </c>
      <c r="GE11" s="19">
        <f t="shared" si="94"/>
        <v>96.058201058201064</v>
      </c>
      <c r="GF11" s="20" t="s">
        <v>3</v>
      </c>
      <c r="GG11" s="25">
        <f t="shared" si="95"/>
        <v>1.9020456823582812</v>
      </c>
      <c r="GH11" s="4" t="str">
        <f t="shared" si="96"/>
        <v>отлично</v>
      </c>
      <c r="GI11" s="64"/>
      <c r="GJ11" s="32"/>
      <c r="GK11" s="65"/>
      <c r="GL11" s="65"/>
      <c r="GM11" s="64"/>
      <c r="GN11" s="32"/>
      <c r="GO11" s="65"/>
      <c r="GP11" s="65"/>
      <c r="GQ11" s="64"/>
      <c r="GR11" s="32"/>
      <c r="GS11" s="65"/>
      <c r="GT11" s="65"/>
      <c r="GU11" s="64"/>
      <c r="GV11" s="32"/>
      <c r="GW11" s="65"/>
      <c r="GX11" s="65"/>
      <c r="GY11" s="64"/>
      <c r="GZ11" s="32"/>
      <c r="HA11" s="65"/>
      <c r="HB11" s="65"/>
      <c r="HC11" s="64"/>
      <c r="HD11" s="32"/>
      <c r="HE11" s="65"/>
      <c r="HF11" s="65"/>
      <c r="HG11" s="64"/>
      <c r="HH11" s="64"/>
      <c r="HI11" s="65"/>
      <c r="HJ11" s="65"/>
      <c r="HK11" s="64"/>
      <c r="HL11" s="32"/>
      <c r="HM11" s="65"/>
      <c r="HN11" s="65"/>
      <c r="HO11" s="64"/>
      <c r="HP11" s="32"/>
      <c r="HQ11" s="65"/>
      <c r="HR11" s="65"/>
      <c r="HS11" s="64"/>
      <c r="HT11" s="32"/>
      <c r="HU11" s="65"/>
      <c r="HV11" s="65"/>
      <c r="HW11" s="64"/>
      <c r="HX11" s="32"/>
      <c r="HY11" s="65"/>
      <c r="HZ11" s="65"/>
    </row>
    <row r="12" spans="1:234" ht="15" hidden="1" customHeight="1" x14ac:dyDescent="0.25">
      <c r="B12" s="27" t="s">
        <v>7</v>
      </c>
      <c r="C12" s="13">
        <f>SUM(C3:C11)</f>
        <v>60</v>
      </c>
      <c r="D12" s="13">
        <f>SUM(D3:D11)</f>
        <v>49</v>
      </c>
      <c r="E12" s="8">
        <f t="shared" si="0"/>
        <v>0.81666666666666665</v>
      </c>
      <c r="F12" s="12" t="e">
        <f>POWER(D12-EK12,2)</f>
        <v>#REF!</v>
      </c>
      <c r="G12" s="13">
        <f>SUM(G3:G11)</f>
        <v>72</v>
      </c>
      <c r="H12" s="13">
        <f>SUM(H3:H11)</f>
        <v>70</v>
      </c>
      <c r="I12" s="12">
        <f t="shared" si="2"/>
        <v>0.97222222222222221</v>
      </c>
      <c r="J12" s="12" t="e">
        <f>POWER(H12-$EK12,2)</f>
        <v>#REF!</v>
      </c>
      <c r="K12" s="13"/>
      <c r="L12" s="13"/>
      <c r="M12" s="12" t="e">
        <f t="shared" si="4"/>
        <v>#DIV/0!</v>
      </c>
      <c r="N12" s="12" t="e">
        <f>POWER(L12-$EK12,2)</f>
        <v>#REF!</v>
      </c>
      <c r="O12" s="13"/>
      <c r="P12" s="13"/>
      <c r="Q12" s="12" t="e">
        <f t="shared" si="6"/>
        <v>#DIV/0!</v>
      </c>
      <c r="R12" s="12" t="e">
        <f>POWER(P12-$EK12,2)</f>
        <v>#REF!</v>
      </c>
      <c r="S12" s="3">
        <v>10</v>
      </c>
      <c r="T12" s="13"/>
      <c r="U12" s="12">
        <f t="shared" si="8"/>
        <v>0</v>
      </c>
      <c r="V12" s="12" t="e">
        <f>POWER(T12-$EK12,2)</f>
        <v>#REF!</v>
      </c>
      <c r="W12" s="3">
        <v>10</v>
      </c>
      <c r="Y12" s="12">
        <f t="shared" si="10"/>
        <v>0</v>
      </c>
      <c r="Z12" s="12" t="e">
        <f>POWER(X12-$EK12,2)</f>
        <v>#REF!</v>
      </c>
      <c r="AC12" s="12" t="e">
        <f t="shared" si="12"/>
        <v>#DIV/0!</v>
      </c>
      <c r="AD12" s="12" t="e">
        <f>POWER(AB12-$EK12,2)</f>
        <v>#REF!</v>
      </c>
      <c r="AE12" s="3">
        <v>10</v>
      </c>
      <c r="AG12" s="12">
        <f t="shared" si="14"/>
        <v>0</v>
      </c>
      <c r="AH12" s="12" t="e">
        <f>POWER(AF12-$EK12,2)</f>
        <v>#REF!</v>
      </c>
      <c r="AK12" s="12" t="e">
        <f t="shared" si="16"/>
        <v>#DIV/0!</v>
      </c>
      <c r="AL12" s="12" t="e">
        <f>POWER(AJ12-$EK12,2)</f>
        <v>#REF!</v>
      </c>
      <c r="AO12" s="12" t="e">
        <f t="shared" si="18"/>
        <v>#DIV/0!</v>
      </c>
      <c r="AP12" s="12" t="e">
        <f>POWER(AN12-$EK12,2)</f>
        <v>#REF!</v>
      </c>
      <c r="AS12" s="12" t="e">
        <f t="shared" si="20"/>
        <v>#DIV/0!</v>
      </c>
      <c r="AT12" s="12" t="e">
        <f>POWER(AR12-$EK12,2)</f>
        <v>#REF!</v>
      </c>
      <c r="DN12" s="12" t="e">
        <f>POWER(DL12-$EK12,2)</f>
        <v>#REF!</v>
      </c>
      <c r="EI12" s="4">
        <f>COUNT(EE12,#REF!,#REF!,#REF!,#REF!,#REF!,EA12,DW12,DS12,DO12,DK12,DG12,DC12,CY12,CU12,CQ12,CM12,CI12,CE12,CA12,BW12,BS12,BO12,BK12,BG12,BC12,AY12,AU12,AQ12,AM12,AI12,AE12,AA12,W12,S12,O12,K12,G12,C12)</f>
        <v>5</v>
      </c>
      <c r="EJ12" s="15" t="e">
        <f>(E12+I12+M12+Q12+U12+Y12+AC12+AG12+AK12+AO12+AS12+AW12+BA12+BE12+BI12+BM12+BQ12+BU12+BY12+CC12+CG12+CK12+CO12+CS12+CW12+DA12+DE12+DI12+DM12+DQ12+DU12+DY12+#REF!+#REF!+#REF!+#REF!+#REF!+EC12+EG12)*100/EI12</f>
        <v>#DIV/0!</v>
      </c>
      <c r="EK12" s="15" t="e">
        <f>AVERAGE(D12,H12,L12,P12,T12,X12,AB12,AF12,AJ12,AN12,AR12,AV12,AZ12,BD12,BH12,BL12,BP12,BT12,BX12,CB12,CF12,CJ12,CN12,CR12,CV12,CZ12,DD12,DH12,DL12,DP12,DT12,DX12,EB12,#REF!,#REF!,#REF!,#REF!,#REF!,EF12)</f>
        <v>#REF!</v>
      </c>
      <c r="EL12" s="15" t="e">
        <f>SQRT((F12+J12+N12+R12+V12+Z12+AD12+AH12+AL12+AP12+AT12+AX12+BB12+BF12+BJ12++BN12+BR12+BV12+BZ12+CD12+CH12+CL12+CP12+CT12+CX12+DB12+DF12+DJ12+DN12+DR12+DV12+DZ12+#REF!+#REF!+#REF!+#REF!+#REF!+ED12+EH12)/EI12)</f>
        <v>#REF!</v>
      </c>
      <c r="EM12" s="19" t="e">
        <f t="shared" ref="EM12:EM14" si="97">EJ12</f>
        <v>#DIV/0!</v>
      </c>
      <c r="EN12" s="17" t="s">
        <v>3</v>
      </c>
      <c r="EO12" s="25" t="e">
        <f t="shared" ref="EO12:EO14" si="98">EL12</f>
        <v>#REF!</v>
      </c>
      <c r="EP12" s="4" t="e">
        <f t="shared" ref="EP12:EP14" si="99">IF(EJ12&lt;40,"неудовлетворительно",IF((EJ12&gt;=40)*AND(EJ12&lt;60),"удовлетворительно",IF((EJ12&gt;=60)*AND(EJ12&lt;80),"хорошо","отлично")))</f>
        <v>#DIV/0!</v>
      </c>
    </row>
    <row r="13" spans="1:234" ht="15" hidden="1" customHeight="1" x14ac:dyDescent="0.25">
      <c r="B13" s="27" t="s">
        <v>8</v>
      </c>
      <c r="C13" s="14">
        <f>AVERAGE(C3:C11)</f>
        <v>6.666666666666667</v>
      </c>
      <c r="D13" s="14">
        <f>AVERAGE(D3:D11)</f>
        <v>5.4444444444444446</v>
      </c>
      <c r="E13" s="8">
        <f t="shared" si="0"/>
        <v>0.81666666666666665</v>
      </c>
      <c r="F13" s="12" t="e">
        <f>POWER(D13-EK13,2)</f>
        <v>#REF!</v>
      </c>
      <c r="G13" s="14"/>
      <c r="H13" s="14"/>
      <c r="I13" s="12" t="e">
        <f t="shared" si="2"/>
        <v>#DIV/0!</v>
      </c>
      <c r="J13" s="12" t="e">
        <f>POWER(H13-$EK13,2)</f>
        <v>#REF!</v>
      </c>
      <c r="K13" s="14"/>
      <c r="L13" s="14"/>
      <c r="M13" s="12" t="e">
        <f t="shared" si="4"/>
        <v>#DIV/0!</v>
      </c>
      <c r="N13" s="12" t="e">
        <f>POWER(L13-$EK13,2)</f>
        <v>#REF!</v>
      </c>
      <c r="O13" s="14"/>
      <c r="P13" s="14"/>
      <c r="Q13" s="12" t="e">
        <f t="shared" si="6"/>
        <v>#DIV/0!</v>
      </c>
      <c r="R13" s="12" t="e">
        <f>POWER(P13-$EK13,2)</f>
        <v>#REF!</v>
      </c>
      <c r="S13" s="3">
        <v>10</v>
      </c>
      <c r="T13" s="14"/>
      <c r="U13" s="12">
        <f t="shared" si="8"/>
        <v>0</v>
      </c>
      <c r="V13" s="12" t="e">
        <f>POWER(T13-$EK13,2)</f>
        <v>#REF!</v>
      </c>
      <c r="W13" s="3">
        <v>10</v>
      </c>
      <c r="Y13" s="12">
        <f t="shared" si="10"/>
        <v>0</v>
      </c>
      <c r="Z13" s="12" t="e">
        <f>POWER(X13-$EK13,2)</f>
        <v>#REF!</v>
      </c>
      <c r="AC13" s="12" t="e">
        <f t="shared" si="12"/>
        <v>#DIV/0!</v>
      </c>
      <c r="AD13" s="12" t="e">
        <f>POWER(AB13-$EK13,2)</f>
        <v>#REF!</v>
      </c>
      <c r="AE13" s="3">
        <v>10</v>
      </c>
      <c r="AG13" s="12">
        <f t="shared" si="14"/>
        <v>0</v>
      </c>
      <c r="AH13" s="12" t="e">
        <f>POWER(AF13-$EK13,2)</f>
        <v>#REF!</v>
      </c>
      <c r="AK13" s="12" t="e">
        <f t="shared" si="16"/>
        <v>#DIV/0!</v>
      </c>
      <c r="AL13" s="12" t="e">
        <f>POWER(AJ13-$EK13,2)</f>
        <v>#REF!</v>
      </c>
      <c r="AO13" s="12" t="e">
        <f t="shared" si="18"/>
        <v>#DIV/0!</v>
      </c>
      <c r="AP13" s="12" t="e">
        <f>POWER(AN13-$EK13,2)</f>
        <v>#REF!</v>
      </c>
      <c r="AS13" s="12" t="e">
        <f t="shared" si="20"/>
        <v>#DIV/0!</v>
      </c>
      <c r="AT13" s="12" t="e">
        <f>POWER(AR13-$EK13,2)</f>
        <v>#REF!</v>
      </c>
      <c r="DN13" s="12" t="e">
        <f>POWER(DL13-$EK13,2)</f>
        <v>#REF!</v>
      </c>
      <c r="EI13" s="4">
        <f>COUNT(EE13,#REF!,#REF!,#REF!,#REF!,#REF!,EA13,DW13,DS13,DO13,DK13,DG13,DC13,CY13,CU13,CQ13,CM13,CI13,CE13,CA13,BW13,BS13,BO13,BK13,BG13,BC13,AY13,AU13,AQ13,AM13,AI13,AE13,AA13,W13,S13,O13,K13,G13,C13)</f>
        <v>4</v>
      </c>
      <c r="EJ13" s="15" t="e">
        <f>(E13+I13+M13+Q13+U13+Y13+AC13+AG13+AK13+AO13+AS13+AW13+BA13+BE13+BI13+BM13+BQ13+BU13+BY13+CC13+CG13+CK13+CO13+CS13+CW13+DA13+DE13+DI13+DM13+DQ13+DU13+DY13+#REF!+#REF!+#REF!+#REF!+#REF!+EC13+EG13)*100/EI13</f>
        <v>#DIV/0!</v>
      </c>
      <c r="EK13" s="15" t="e">
        <f>AVERAGE(D13,H13,L13,P13,T13,X13,AB13,AF13,AJ13,AN13,AR13,AV13,AZ13,BD13,BH13,BL13,BP13,BT13,BX13,CB13,CF13,CJ13,CN13,CR13,CV13,CZ13,DD13,DH13,DL13,DP13,DT13,DX13,EB13,#REF!,#REF!,#REF!,#REF!,#REF!,EF13)</f>
        <v>#REF!</v>
      </c>
      <c r="EL13" s="15" t="e">
        <f>SQRT((F13+J13+N13+R13+V13+Z13+AD13+AH13+AL13+AP13+AT13+AX13+BB13+BF13+BJ13++BN13+BR13+BV13+BZ13+CD13+CH13+CL13+CP13+CT13+CX13+DB13+DF13+DJ13+DN13+DR13+DV13+DZ13+#REF!+#REF!+#REF!+#REF!+#REF!+ED13+EH13)/EI13)</f>
        <v>#REF!</v>
      </c>
      <c r="EM13" s="19" t="e">
        <f t="shared" si="97"/>
        <v>#DIV/0!</v>
      </c>
      <c r="EN13" s="17" t="s">
        <v>3</v>
      </c>
      <c r="EO13" s="25" t="e">
        <f t="shared" si="98"/>
        <v>#REF!</v>
      </c>
      <c r="EP13" s="4" t="e">
        <f t="shared" si="99"/>
        <v>#DIV/0!</v>
      </c>
    </row>
    <row r="14" spans="1:234" ht="15" hidden="1" customHeight="1" x14ac:dyDescent="0.25">
      <c r="B14" s="28" t="s">
        <v>9</v>
      </c>
      <c r="E14" s="8" t="e">
        <f t="shared" si="0"/>
        <v>#DIV/0!</v>
      </c>
      <c r="F14" s="12" t="e">
        <f>POWER(D14-EK14,2)</f>
        <v>#REF!</v>
      </c>
      <c r="I14" s="12" t="e">
        <f t="shared" si="2"/>
        <v>#DIV/0!</v>
      </c>
      <c r="J14" s="12" t="e">
        <f>POWER(H14-$EK14,2)</f>
        <v>#REF!</v>
      </c>
      <c r="M14" s="12" t="e">
        <f t="shared" si="4"/>
        <v>#DIV/0!</v>
      </c>
      <c r="N14" s="12" t="e">
        <f>POWER(L14-$EK14,2)</f>
        <v>#REF!</v>
      </c>
      <c r="Q14" s="12" t="e">
        <f t="shared" si="6"/>
        <v>#DIV/0!</v>
      </c>
      <c r="R14" s="12" t="e">
        <f>POWER(P14-$EK14,2)</f>
        <v>#REF!</v>
      </c>
      <c r="S14" s="3">
        <v>10</v>
      </c>
      <c r="U14" s="12">
        <f t="shared" si="8"/>
        <v>0</v>
      </c>
      <c r="V14" s="12" t="e">
        <f>POWER(T14-$EK14,2)</f>
        <v>#REF!</v>
      </c>
      <c r="W14" s="3">
        <v>10</v>
      </c>
      <c r="Y14" s="12">
        <f t="shared" si="10"/>
        <v>0</v>
      </c>
      <c r="Z14" s="12" t="e">
        <f>POWER(X14-$EK14,2)</f>
        <v>#REF!</v>
      </c>
      <c r="AC14" s="12" t="e">
        <f t="shared" si="12"/>
        <v>#DIV/0!</v>
      </c>
      <c r="AD14" s="12" t="e">
        <f>POWER(AB14-$EK14,2)</f>
        <v>#REF!</v>
      </c>
      <c r="AE14" s="3">
        <v>10</v>
      </c>
      <c r="AG14" s="12">
        <f t="shared" si="14"/>
        <v>0</v>
      </c>
      <c r="AH14" s="12" t="e">
        <f>POWER(AF14-$EK14,2)</f>
        <v>#REF!</v>
      </c>
      <c r="AK14" s="12" t="e">
        <f t="shared" si="16"/>
        <v>#DIV/0!</v>
      </c>
      <c r="AL14" s="12" t="e">
        <f>POWER(AJ14-$EK14,2)</f>
        <v>#REF!</v>
      </c>
      <c r="AO14" s="12" t="e">
        <f t="shared" si="18"/>
        <v>#DIV/0!</v>
      </c>
      <c r="AP14" s="12" t="e">
        <f>POWER(AN14-$EK14,2)</f>
        <v>#REF!</v>
      </c>
      <c r="AS14" s="12" t="e">
        <f t="shared" si="20"/>
        <v>#DIV/0!</v>
      </c>
      <c r="AT14" s="12" t="e">
        <f>POWER(AR14-$EK14,2)</f>
        <v>#REF!</v>
      </c>
      <c r="DN14" s="29" t="e">
        <f>POWER(DL14-$EK14,2)</f>
        <v>#REF!</v>
      </c>
      <c r="EI14" s="4">
        <f>COUNT(EE14,#REF!,#REF!,#REF!,#REF!,#REF!,EA14,DW14,DS14,DO14,DK14,DG14,DC14,CY14,CU14,CQ14,CM14,CI14,CE14,CA14,BW14,BS14,BO14,BK14,BG14,BC14,AY14,AU14,AQ14,AM14,AI14,AE14,AA14,W14,S14,O14,K14,G14,C14)</f>
        <v>3</v>
      </c>
      <c r="EJ14" s="15" t="e">
        <f>(E14+I14+M14+Q14+U14+Y14+AC14+AG14+AK14+AO14+AS14+AW14+BA14+BE14+BI14+BM14+BQ14+BU14+BY14+CC14+CG14+CK14+CO14+CS14+CW14+DA14+DE14+DI14+DM14+DQ14+DU14+DY14+#REF!+#REF!+#REF!+#REF!+#REF!+EC14+EG14)*100/EI14</f>
        <v>#DIV/0!</v>
      </c>
      <c r="EK14" s="15" t="e">
        <f>AVERAGE(D14,H14,L14,P14,T14,X14,AB14,AF14,AJ14,AN14,AR14,AV14,AZ14,BD14,BH14,BL14,BP14,BT14,BX14,CB14,CF14,CJ14,CN14,CR14,CV14,CZ14,DD14,DH14,DL14,DP14,DT14,DX14,EB14,#REF!,#REF!,#REF!,#REF!,#REF!,EF14)</f>
        <v>#REF!</v>
      </c>
      <c r="EL14" s="15" t="e">
        <f>SQRT((F14+J14+N14+R14+V14+Z14+AD14+AH14+AL14+AP14+AT14+AX14+BB14+BF14+BJ14++BN14+BR14+BV14+BZ14+CD14+CH14+CL14+CP14+CT14+CX14+DB14+DF14+DJ14+DN14+DR14+DV14+DZ14+#REF!+#REF!+#REF!+#REF!+#REF!+ED14+EH14)/EI14)</f>
        <v>#REF!</v>
      </c>
      <c r="EM14" s="19" t="e">
        <f t="shared" si="97"/>
        <v>#DIV/0!</v>
      </c>
      <c r="EN14" s="17" t="s">
        <v>3</v>
      </c>
      <c r="EO14" s="25" t="e">
        <f t="shared" si="98"/>
        <v>#REF!</v>
      </c>
      <c r="EP14" s="4" t="e">
        <f t="shared" si="99"/>
        <v>#DIV/0!</v>
      </c>
    </row>
    <row r="15" spans="1:234" ht="43.5" customHeight="1" x14ac:dyDescent="0.25">
      <c r="C15" s="66"/>
      <c r="D15" s="62"/>
      <c r="E15" s="62"/>
      <c r="F15" s="62"/>
      <c r="G15" s="66"/>
      <c r="H15" s="62"/>
      <c r="I15" s="62"/>
      <c r="J15" s="62"/>
      <c r="K15" s="66"/>
      <c r="L15" s="62"/>
      <c r="M15" s="62"/>
      <c r="N15" s="62"/>
      <c r="O15" s="62"/>
      <c r="P15" s="62"/>
      <c r="Q15" s="62"/>
      <c r="R15" s="62"/>
      <c r="S15" s="66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EM15" s="2"/>
      <c r="EO15" s="2"/>
      <c r="EP15" s="2"/>
      <c r="GE15" s="38">
        <f>AVERAGE(GE3:GE11)</f>
        <v>94.003919263178531</v>
      </c>
      <c r="GF15" s="39" t="s">
        <v>3</v>
      </c>
      <c r="GG15" s="40">
        <f>AVERAGE(GG3:GG11)</f>
        <v>2.0028232728117756</v>
      </c>
      <c r="GH15" s="41" t="str">
        <f>IF(GE15&lt;40,"неудовлетворительно",IF((GE15&gt;=40)*AND(GE15&lt;60),"удовлетворительно",IF((GE15&gt;=60)*AND(GE15&lt;80),"хорошо","отлично")))</f>
        <v>отлично</v>
      </c>
    </row>
    <row r="16" spans="1:234" x14ac:dyDescent="0.25">
      <c r="C16" s="66"/>
      <c r="D16" s="62"/>
      <c r="E16" s="62"/>
      <c r="F16" s="62"/>
      <c r="G16" s="66"/>
      <c r="H16" s="62"/>
      <c r="I16" s="62"/>
      <c r="J16" s="62"/>
      <c r="K16" s="66"/>
      <c r="L16" s="62"/>
      <c r="M16" s="62"/>
      <c r="N16" s="62"/>
      <c r="O16" s="62"/>
      <c r="P16" s="62"/>
      <c r="Q16" s="62"/>
      <c r="R16" s="62"/>
      <c r="S16" s="66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 spans="1:171" x14ac:dyDescent="0.25">
      <c r="C17" s="66"/>
      <c r="D17" s="62"/>
      <c r="E17" s="62"/>
      <c r="F17" s="62"/>
      <c r="G17" s="66"/>
      <c r="H17" s="62"/>
      <c r="I17" s="62"/>
      <c r="J17" s="62"/>
      <c r="K17" s="66"/>
      <c r="L17" s="62"/>
      <c r="M17" s="62"/>
      <c r="N17" s="62"/>
      <c r="O17" s="62"/>
      <c r="P17" s="62"/>
      <c r="Q17" s="62"/>
      <c r="R17" s="62"/>
      <c r="S17" s="66"/>
      <c r="T17" s="62"/>
      <c r="U17" s="6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7"/>
    </row>
    <row r="18" spans="1:171" ht="15.75" x14ac:dyDescent="0.25">
      <c r="C18" s="66"/>
      <c r="D18" s="62"/>
      <c r="E18" s="62"/>
      <c r="F18" s="62"/>
      <c r="G18" s="66"/>
      <c r="H18" s="62"/>
      <c r="I18" s="62"/>
      <c r="J18" s="62"/>
      <c r="K18" s="66"/>
      <c r="L18" s="62"/>
      <c r="M18" s="62"/>
      <c r="N18" s="62"/>
      <c r="O18" s="62"/>
      <c r="P18" s="62"/>
      <c r="Q18" s="62"/>
      <c r="R18" s="62"/>
      <c r="S18" s="66"/>
      <c r="T18" s="62"/>
      <c r="U18" s="62"/>
      <c r="V18" s="32"/>
      <c r="W18" s="32"/>
      <c r="X18" s="48"/>
      <c r="Y18" s="48"/>
      <c r="Z18" s="48"/>
      <c r="AA18" s="82"/>
      <c r="AB18" s="82"/>
      <c r="AC18" s="82"/>
      <c r="AD18" s="60"/>
      <c r="AE18" s="32"/>
      <c r="AF18" s="37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</row>
    <row r="19" spans="1:171" x14ac:dyDescent="0.25">
      <c r="C19" s="66"/>
      <c r="D19" s="62"/>
      <c r="E19" s="62"/>
      <c r="F19" s="62"/>
      <c r="G19" s="66"/>
      <c r="H19" s="62"/>
      <c r="I19" s="62"/>
      <c r="J19" s="62"/>
      <c r="K19" s="66"/>
      <c r="L19" s="62"/>
      <c r="M19" s="62"/>
      <c r="N19" s="62"/>
      <c r="O19" s="62"/>
      <c r="P19" s="62"/>
      <c r="Q19" s="62"/>
      <c r="R19" s="62"/>
      <c r="S19" s="66"/>
      <c r="T19" s="62"/>
      <c r="U19" s="62"/>
      <c r="V19" s="32"/>
      <c r="W19" s="32"/>
      <c r="X19" s="33"/>
      <c r="Y19" s="32"/>
      <c r="Z19" s="32"/>
      <c r="AA19" s="34"/>
      <c r="AB19" s="35"/>
      <c r="AC19" s="36"/>
      <c r="AD19" s="32"/>
      <c r="AE19" s="32"/>
      <c r="AF19" s="37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</row>
    <row r="20" spans="1:171" x14ac:dyDescent="0.25">
      <c r="C20" s="66"/>
      <c r="D20" s="62"/>
      <c r="E20" s="62"/>
      <c r="F20" s="62"/>
      <c r="G20" s="66"/>
      <c r="H20" s="62"/>
      <c r="I20" s="62"/>
      <c r="J20" s="62"/>
      <c r="K20" s="66"/>
      <c r="L20" s="62"/>
      <c r="M20" s="62"/>
      <c r="N20" s="62"/>
      <c r="O20" s="62"/>
      <c r="P20" s="62"/>
      <c r="Q20" s="62"/>
      <c r="R20" s="62"/>
      <c r="S20" s="66"/>
      <c r="T20" s="62"/>
      <c r="U20" s="62"/>
      <c r="V20" s="32"/>
      <c r="W20" s="32"/>
      <c r="X20" s="33"/>
      <c r="Y20" s="32"/>
      <c r="Z20" s="32"/>
      <c r="AA20" s="34"/>
      <c r="AB20" s="35"/>
      <c r="AC20" s="36"/>
      <c r="AD20" s="32"/>
      <c r="AE20" s="32"/>
      <c r="AF20" s="37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</row>
    <row r="21" spans="1:171" x14ac:dyDescent="0.25">
      <c r="C21" s="66"/>
      <c r="D21" s="62"/>
      <c r="E21" s="62"/>
      <c r="F21" s="62"/>
      <c r="G21" s="66"/>
      <c r="H21" s="62"/>
      <c r="I21" s="62"/>
      <c r="J21" s="62"/>
      <c r="K21" s="66"/>
      <c r="L21" s="62"/>
      <c r="M21" s="62"/>
      <c r="N21" s="62"/>
      <c r="O21" s="62"/>
      <c r="P21" s="62"/>
      <c r="Q21" s="62"/>
      <c r="R21" s="62"/>
      <c r="S21" s="66"/>
      <c r="T21" s="62"/>
      <c r="U21" s="62"/>
      <c r="V21" s="32"/>
      <c r="W21" s="32"/>
      <c r="X21" s="33"/>
      <c r="Y21" s="32"/>
      <c r="Z21" s="32"/>
      <c r="AA21" s="34"/>
      <c r="AB21" s="35"/>
      <c r="AC21" s="36"/>
      <c r="AD21" s="32"/>
      <c r="AE21" s="32"/>
      <c r="AF21" s="37"/>
      <c r="FC21" s="32"/>
      <c r="FD21" s="34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</row>
    <row r="22" spans="1:171" x14ac:dyDescent="0.25">
      <c r="C22" s="66"/>
      <c r="D22" s="62"/>
      <c r="E22" s="62"/>
      <c r="F22" s="62"/>
      <c r="G22" s="66"/>
      <c r="H22" s="62"/>
      <c r="I22" s="62"/>
      <c r="J22" s="62"/>
      <c r="K22" s="66"/>
      <c r="L22" s="62"/>
      <c r="M22" s="62"/>
      <c r="N22" s="62"/>
      <c r="O22" s="62"/>
      <c r="P22" s="62"/>
      <c r="Q22" s="62"/>
      <c r="R22" s="62"/>
      <c r="S22" s="66"/>
      <c r="T22" s="62"/>
      <c r="U22" s="62"/>
      <c r="V22" s="32"/>
      <c r="W22" s="32"/>
      <c r="X22" s="33"/>
      <c r="Y22" s="32"/>
      <c r="Z22" s="32"/>
      <c r="AA22" s="34"/>
      <c r="AB22" s="35"/>
      <c r="AC22" s="36"/>
      <c r="AD22" s="32"/>
      <c r="AE22" s="32"/>
      <c r="AF22" s="37"/>
      <c r="FC22" s="32"/>
      <c r="FD22" s="34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</row>
    <row r="23" spans="1:171" x14ac:dyDescent="0.25">
      <c r="C23" s="66"/>
      <c r="D23" s="62"/>
      <c r="E23" s="62"/>
      <c r="F23" s="62"/>
      <c r="G23" s="66"/>
      <c r="H23" s="62"/>
      <c r="I23" s="62"/>
      <c r="J23" s="62"/>
      <c r="K23" s="66"/>
      <c r="L23" s="62"/>
      <c r="M23" s="62"/>
      <c r="N23" s="62"/>
      <c r="O23" s="62"/>
      <c r="P23" s="62"/>
      <c r="Q23" s="62"/>
      <c r="R23" s="62"/>
      <c r="S23" s="66"/>
      <c r="T23" s="62"/>
      <c r="U23" s="62"/>
      <c r="V23" s="32"/>
      <c r="W23" s="32"/>
      <c r="X23" s="33"/>
      <c r="Y23" s="32"/>
      <c r="Z23" s="32"/>
      <c r="AA23" s="34"/>
      <c r="AB23" s="35"/>
      <c r="AC23" s="36"/>
      <c r="AD23" s="32"/>
      <c r="AE23" s="32"/>
      <c r="AF23" s="37"/>
      <c r="FC23" s="32"/>
      <c r="FD23" s="34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</row>
    <row r="24" spans="1:171" x14ac:dyDescent="0.25">
      <c r="C24" s="66"/>
      <c r="D24" s="62"/>
      <c r="E24" s="62"/>
      <c r="F24" s="62"/>
      <c r="G24" s="66"/>
      <c r="H24" s="62"/>
      <c r="I24" s="62"/>
      <c r="J24" s="62"/>
      <c r="K24" s="66"/>
      <c r="L24" s="62"/>
      <c r="M24" s="62"/>
      <c r="N24" s="62"/>
      <c r="O24" s="62"/>
      <c r="P24" s="62"/>
      <c r="Q24" s="62"/>
      <c r="R24" s="62"/>
      <c r="S24" s="66"/>
      <c r="T24" s="62"/>
      <c r="U24" s="62"/>
      <c r="V24" s="32"/>
      <c r="W24" s="32"/>
      <c r="X24" s="33"/>
      <c r="Y24" s="32"/>
      <c r="Z24" s="32"/>
      <c r="AA24" s="34"/>
      <c r="AB24" s="35"/>
      <c r="AC24" s="36"/>
      <c r="AD24" s="32"/>
      <c r="AE24" s="32"/>
      <c r="AF24" s="37"/>
      <c r="FC24" s="32"/>
      <c r="FD24" s="34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</row>
    <row r="25" spans="1:171" x14ac:dyDescent="0.25">
      <c r="C25" s="66"/>
      <c r="D25" s="62"/>
      <c r="E25" s="62"/>
      <c r="F25" s="62"/>
      <c r="G25" s="66"/>
      <c r="H25" s="62"/>
      <c r="I25" s="62"/>
      <c r="J25" s="62"/>
      <c r="K25" s="66"/>
      <c r="L25" s="62"/>
      <c r="M25" s="62"/>
      <c r="N25" s="62"/>
      <c r="O25" s="62"/>
      <c r="P25" s="62"/>
      <c r="Q25" s="62"/>
      <c r="R25" s="62"/>
      <c r="S25" s="66"/>
      <c r="T25" s="62"/>
      <c r="U25" s="62"/>
      <c r="V25" s="32"/>
      <c r="W25" s="32"/>
      <c r="X25" s="33"/>
      <c r="Y25" s="32"/>
      <c r="Z25" s="32"/>
      <c r="AA25" s="34"/>
      <c r="AB25" s="35"/>
      <c r="AC25" s="36"/>
      <c r="AD25" s="32"/>
      <c r="AE25" s="32"/>
      <c r="AF25" s="37"/>
      <c r="FC25" s="32"/>
      <c r="FD25" s="34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</row>
    <row r="26" spans="1:171" x14ac:dyDescent="0.25">
      <c r="C26" s="66"/>
      <c r="D26" s="62"/>
      <c r="E26" s="62"/>
      <c r="F26" s="62"/>
      <c r="G26" s="66"/>
      <c r="H26" s="62"/>
      <c r="I26" s="62"/>
      <c r="J26" s="62"/>
      <c r="K26" s="66"/>
      <c r="L26" s="62"/>
      <c r="M26" s="62"/>
      <c r="N26" s="62"/>
      <c r="O26" s="62"/>
      <c r="P26" s="62"/>
      <c r="Q26" s="62"/>
      <c r="R26" s="62"/>
      <c r="S26" s="66"/>
      <c r="T26" s="62"/>
      <c r="U26" s="62"/>
      <c r="V26" s="32"/>
      <c r="W26" s="32"/>
      <c r="X26" s="33"/>
      <c r="Y26" s="32"/>
      <c r="Z26" s="32"/>
      <c r="AA26" s="34"/>
      <c r="AB26" s="35"/>
      <c r="AC26" s="36"/>
      <c r="AD26" s="32"/>
      <c r="AE26" s="32"/>
      <c r="AF26" s="37"/>
      <c r="FC26" s="32"/>
      <c r="FD26" s="34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</row>
    <row r="27" spans="1:171" x14ac:dyDescent="0.25">
      <c r="C27" s="66"/>
      <c r="D27" s="62"/>
      <c r="E27" s="62"/>
      <c r="F27" s="62"/>
      <c r="G27" s="66"/>
      <c r="H27" s="62"/>
      <c r="I27" s="62"/>
      <c r="J27" s="62"/>
      <c r="K27" s="66"/>
      <c r="L27" s="62"/>
      <c r="M27" s="62"/>
      <c r="N27" s="62"/>
      <c r="O27" s="62"/>
      <c r="P27" s="62"/>
      <c r="Q27" s="62"/>
      <c r="R27" s="62"/>
      <c r="S27" s="66"/>
      <c r="T27" s="62"/>
      <c r="U27" s="62"/>
      <c r="V27" s="32"/>
      <c r="W27" s="32"/>
      <c r="X27" s="33"/>
      <c r="Y27" s="32"/>
      <c r="Z27" s="32"/>
      <c r="AA27" s="34"/>
      <c r="AB27" s="35"/>
      <c r="AC27" s="36"/>
      <c r="AD27" s="32"/>
      <c r="AE27" s="32"/>
      <c r="AF27" s="37"/>
      <c r="FC27" s="79"/>
      <c r="FD27" s="79"/>
      <c r="FE27" s="79"/>
      <c r="FF27" s="42"/>
      <c r="FG27" s="32"/>
      <c r="FH27" s="32"/>
      <c r="FI27" s="32"/>
      <c r="FJ27" s="32"/>
      <c r="FK27" s="32"/>
      <c r="FL27" s="32"/>
      <c r="FM27" s="32"/>
      <c r="FN27" s="32"/>
      <c r="FO27" s="32"/>
    </row>
    <row r="28" spans="1:171" ht="19.5" x14ac:dyDescent="0.35">
      <c r="A28" s="83"/>
      <c r="B28" s="84"/>
      <c r="C28" s="66"/>
      <c r="D28" s="62"/>
      <c r="E28" s="62"/>
      <c r="F28" s="62"/>
      <c r="G28" s="66"/>
      <c r="H28" s="62"/>
      <c r="I28" s="62"/>
      <c r="J28" s="62"/>
      <c r="K28" s="66"/>
      <c r="L28" s="62"/>
      <c r="M28" s="62"/>
      <c r="N28" s="62"/>
      <c r="O28" s="62"/>
      <c r="P28" s="62"/>
      <c r="Q28" s="62"/>
      <c r="R28" s="62"/>
      <c r="S28" s="66"/>
      <c r="T28" s="62"/>
      <c r="U28" s="62"/>
      <c r="V28" s="32"/>
      <c r="W28" s="32"/>
      <c r="X28" s="33"/>
      <c r="Y28" s="32"/>
      <c r="Z28" s="32"/>
      <c r="AA28" s="34"/>
      <c r="AB28" s="35"/>
      <c r="AC28" s="36"/>
      <c r="AD28" s="32"/>
      <c r="AE28" s="32"/>
      <c r="AF28" s="37"/>
      <c r="FC28" s="79"/>
      <c r="FD28" s="79"/>
      <c r="FE28" s="79"/>
      <c r="FF28" s="79"/>
      <c r="FG28" s="43"/>
      <c r="FH28" s="44"/>
      <c r="FI28" s="45"/>
      <c r="FJ28" s="46"/>
      <c r="FK28" s="32"/>
      <c r="FL28" s="32"/>
      <c r="FM28" s="32"/>
      <c r="FN28" s="32"/>
      <c r="FO28" s="32"/>
    </row>
    <row r="29" spans="1:171" x14ac:dyDescent="0.25">
      <c r="C29" s="66"/>
      <c r="D29" s="62"/>
      <c r="E29" s="62"/>
      <c r="F29" s="62"/>
      <c r="G29" s="66"/>
      <c r="H29" s="62"/>
      <c r="I29" s="62"/>
      <c r="J29" s="62"/>
      <c r="K29" s="66"/>
      <c r="L29" s="62"/>
      <c r="M29" s="62"/>
      <c r="N29" s="62"/>
      <c r="O29" s="62"/>
      <c r="P29" s="62"/>
      <c r="Q29" s="62"/>
      <c r="R29" s="62"/>
      <c r="S29" s="66"/>
      <c r="T29" s="62"/>
      <c r="U29" s="62"/>
      <c r="V29" s="32"/>
      <c r="W29" s="32"/>
      <c r="X29" s="34"/>
      <c r="Y29" s="32"/>
      <c r="Z29" s="32"/>
      <c r="AA29" s="32"/>
      <c r="AB29" s="32"/>
      <c r="AC29" s="32"/>
      <c r="AD29" s="32"/>
      <c r="AE29" s="32"/>
      <c r="AF29" s="37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</row>
    <row r="30" spans="1:171" x14ac:dyDescent="0.25">
      <c r="C30" s="66"/>
      <c r="D30" s="62"/>
      <c r="E30" s="62"/>
      <c r="F30" s="62"/>
      <c r="G30" s="66"/>
      <c r="H30" s="62"/>
      <c r="I30" s="62"/>
      <c r="J30" s="62"/>
      <c r="K30" s="66"/>
      <c r="L30" s="62"/>
      <c r="M30" s="62"/>
      <c r="N30" s="62"/>
      <c r="O30" s="62"/>
      <c r="P30" s="62"/>
      <c r="Q30" s="62"/>
      <c r="R30" s="62"/>
      <c r="S30" s="66"/>
      <c r="T30" s="62"/>
      <c r="U30" s="62"/>
      <c r="V30" s="32"/>
      <c r="W30" s="32"/>
      <c r="X30" s="34"/>
      <c r="Y30" s="32"/>
      <c r="Z30" s="32"/>
      <c r="AA30" s="32"/>
      <c r="AB30" s="32"/>
      <c r="AC30" s="32"/>
      <c r="AD30" s="32"/>
      <c r="AE30" s="32"/>
      <c r="AF30" s="37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</row>
    <row r="31" spans="1:171" x14ac:dyDescent="0.25">
      <c r="C31" s="66"/>
      <c r="D31" s="62"/>
      <c r="E31" s="62"/>
      <c r="F31" s="62"/>
      <c r="G31" s="66"/>
      <c r="H31" s="62"/>
      <c r="I31" s="62"/>
      <c r="J31" s="62"/>
      <c r="K31" s="66"/>
      <c r="L31" s="62"/>
      <c r="M31" s="62"/>
      <c r="N31" s="62"/>
      <c r="O31" s="62"/>
      <c r="P31" s="62"/>
      <c r="Q31" s="62"/>
      <c r="R31" s="62"/>
      <c r="S31" s="66"/>
      <c r="T31" s="62"/>
      <c r="U31" s="62"/>
      <c r="V31" s="32"/>
      <c r="W31" s="79"/>
      <c r="X31" s="79"/>
      <c r="Y31" s="79"/>
      <c r="Z31" s="34"/>
      <c r="AA31" s="32"/>
      <c r="AB31" s="32"/>
      <c r="AC31" s="32"/>
      <c r="AD31" s="32"/>
      <c r="AE31" s="32"/>
      <c r="AF31" s="37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</row>
    <row r="32" spans="1:171" x14ac:dyDescent="0.25">
      <c r="C32" s="66"/>
      <c r="D32" s="62"/>
      <c r="E32" s="62"/>
      <c r="F32" s="62"/>
      <c r="G32" s="66"/>
      <c r="H32" s="62"/>
      <c r="I32" s="62"/>
      <c r="J32" s="62"/>
      <c r="K32" s="66"/>
      <c r="L32" s="62"/>
      <c r="M32" s="62"/>
      <c r="N32" s="62"/>
      <c r="O32" s="62"/>
      <c r="P32" s="62"/>
      <c r="Q32" s="62"/>
      <c r="R32" s="62"/>
      <c r="S32" s="66"/>
      <c r="T32" s="62"/>
      <c r="U32" s="62"/>
      <c r="V32" s="32"/>
      <c r="W32" s="79"/>
      <c r="X32" s="79"/>
      <c r="Y32" s="79"/>
      <c r="Z32" s="79"/>
      <c r="AA32" s="43"/>
      <c r="AB32" s="44"/>
      <c r="AC32" s="45"/>
      <c r="AD32" s="46"/>
      <c r="AE32" s="32"/>
      <c r="AF32" s="37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</row>
    <row r="33" spans="3:31" x14ac:dyDescent="0.25">
      <c r="C33" s="66"/>
      <c r="D33" s="62"/>
      <c r="E33" s="62"/>
      <c r="F33" s="62"/>
      <c r="G33" s="66"/>
      <c r="H33" s="62"/>
      <c r="I33" s="62"/>
      <c r="J33" s="62"/>
      <c r="K33" s="66"/>
      <c r="L33" s="62"/>
      <c r="M33" s="62"/>
      <c r="N33" s="62"/>
      <c r="O33" s="62"/>
      <c r="P33" s="62"/>
      <c r="Q33" s="62"/>
      <c r="R33" s="62"/>
      <c r="S33" s="66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 spans="3:31" x14ac:dyDescent="0.25">
      <c r="C34" s="66"/>
      <c r="D34" s="62"/>
      <c r="E34" s="62"/>
      <c r="F34" s="62"/>
      <c r="G34" s="66"/>
      <c r="H34" s="62"/>
      <c r="I34" s="62"/>
      <c r="J34" s="62"/>
      <c r="K34" s="66"/>
      <c r="L34" s="62"/>
      <c r="M34" s="62"/>
      <c r="N34" s="62"/>
      <c r="O34" s="62"/>
      <c r="P34" s="62"/>
      <c r="Q34" s="62"/>
      <c r="R34" s="62"/>
      <c r="S34" s="66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 spans="3:31" x14ac:dyDescent="0.25">
      <c r="C35" s="66"/>
      <c r="D35" s="62"/>
      <c r="E35" s="62"/>
      <c r="F35" s="62"/>
      <c r="G35" s="66"/>
      <c r="H35" s="62"/>
      <c r="I35" s="62"/>
      <c r="J35" s="62"/>
      <c r="K35" s="66"/>
      <c r="L35" s="62"/>
      <c r="M35" s="62"/>
      <c r="N35" s="62"/>
      <c r="O35" s="62"/>
      <c r="P35" s="62"/>
      <c r="Q35" s="62"/>
      <c r="R35" s="62"/>
      <c r="S35" s="66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 spans="3:31" x14ac:dyDescent="0.25">
      <c r="C36" s="66"/>
      <c r="D36" s="62"/>
      <c r="E36" s="62"/>
      <c r="F36" s="62"/>
      <c r="G36" s="66"/>
      <c r="H36" s="62"/>
      <c r="I36" s="62"/>
      <c r="J36" s="62"/>
      <c r="K36" s="66"/>
      <c r="L36" s="62"/>
      <c r="M36" s="62"/>
      <c r="N36" s="62"/>
      <c r="O36" s="62"/>
      <c r="P36" s="62"/>
      <c r="Q36" s="62"/>
      <c r="R36" s="62"/>
      <c r="S36" s="66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 spans="3:31" x14ac:dyDescent="0.25">
      <c r="C37" s="66"/>
      <c r="D37" s="62"/>
      <c r="E37" s="62"/>
      <c r="F37" s="62"/>
      <c r="G37" s="66"/>
      <c r="H37" s="62"/>
      <c r="I37" s="62"/>
      <c r="J37" s="62"/>
      <c r="K37" s="66"/>
      <c r="L37" s="62"/>
      <c r="M37" s="62"/>
      <c r="N37" s="62"/>
      <c r="O37" s="62"/>
      <c r="P37" s="62"/>
      <c r="Q37" s="62"/>
      <c r="R37" s="62"/>
      <c r="S37" s="66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 spans="3:31" x14ac:dyDescent="0.25">
      <c r="C38" s="66"/>
      <c r="D38" s="62"/>
      <c r="E38" s="62"/>
      <c r="F38" s="62"/>
      <c r="G38" s="66"/>
      <c r="H38" s="62"/>
      <c r="I38" s="62"/>
      <c r="J38" s="62"/>
      <c r="K38" s="66"/>
      <c r="L38" s="62"/>
      <c r="M38" s="62"/>
      <c r="N38" s="62"/>
      <c r="O38" s="62"/>
      <c r="P38" s="62"/>
      <c r="Q38" s="62"/>
      <c r="R38" s="62"/>
      <c r="S38" s="66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 spans="3:31" x14ac:dyDescent="0.25">
      <c r="C39" s="66"/>
      <c r="D39" s="62"/>
      <c r="E39" s="62"/>
      <c r="F39" s="62"/>
      <c r="G39" s="66"/>
      <c r="H39" s="62"/>
      <c r="I39" s="62"/>
      <c r="J39" s="62"/>
      <c r="K39" s="66"/>
      <c r="L39" s="62"/>
      <c r="M39" s="62"/>
      <c r="N39" s="62"/>
      <c r="O39" s="62"/>
      <c r="P39" s="62"/>
      <c r="Q39" s="62"/>
      <c r="R39" s="62"/>
      <c r="S39" s="66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 spans="3:31" x14ac:dyDescent="0.25">
      <c r="C40" s="66"/>
      <c r="D40" s="62"/>
      <c r="E40" s="62"/>
      <c r="F40" s="62"/>
      <c r="G40" s="66"/>
      <c r="H40" s="62"/>
      <c r="I40" s="62"/>
      <c r="J40" s="62"/>
      <c r="K40" s="66"/>
      <c r="L40" s="62"/>
      <c r="M40" s="62"/>
      <c r="N40" s="62"/>
      <c r="O40" s="62"/>
      <c r="P40" s="62"/>
      <c r="Q40" s="62"/>
      <c r="R40" s="62"/>
      <c r="S40" s="66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</sheetData>
  <mergeCells count="8">
    <mergeCell ref="W31:Y31"/>
    <mergeCell ref="W32:Z32"/>
    <mergeCell ref="A1:AI1"/>
    <mergeCell ref="GE2:GG2"/>
    <mergeCell ref="AA18:AC18"/>
    <mergeCell ref="FC27:FE27"/>
    <mergeCell ref="A28:B28"/>
    <mergeCell ref="FC28:FF2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V874"/>
  <sheetViews>
    <sheetView topLeftCell="AQ1" zoomScale="70" zoomScaleNormal="70" workbookViewId="0">
      <selection activeCell="BU3" sqref="BU3:BU11"/>
    </sheetView>
  </sheetViews>
  <sheetFormatPr defaultRowHeight="15" x14ac:dyDescent="0.25"/>
  <cols>
    <col min="1" max="1" width="6.5703125" customWidth="1"/>
    <col min="2" max="2" width="39.28515625" customWidth="1"/>
    <col min="3" max="3" width="4" style="1" customWidth="1"/>
    <col min="4" max="4" width="5.28515625" style="6" customWidth="1"/>
    <col min="5" max="5" width="7.28515625" customWidth="1"/>
    <col min="6" max="6" width="8.140625" customWidth="1"/>
    <col min="7" max="7" width="4" style="1" customWidth="1"/>
    <col min="8" max="8" width="5.28515625" style="6" customWidth="1"/>
    <col min="9" max="9" width="7.28515625" style="2" customWidth="1"/>
    <col min="10" max="10" width="8.42578125" style="2" customWidth="1"/>
    <col min="11" max="11" width="4" style="1" customWidth="1"/>
    <col min="12" max="12" width="5.28515625" style="6" customWidth="1"/>
    <col min="13" max="13" width="7.85546875" style="2" customWidth="1"/>
    <col min="14" max="14" width="9" style="2" customWidth="1"/>
    <col min="15" max="15" width="4.28515625" style="2" customWidth="1"/>
    <col min="16" max="16" width="4.5703125" style="2" customWidth="1"/>
    <col min="17" max="17" width="7.7109375" style="2" customWidth="1"/>
    <col min="18" max="18" width="8.28515625" style="2" customWidth="1"/>
    <col min="19" max="19" width="4" style="1" customWidth="1"/>
    <col min="20" max="20" width="5.28515625" style="6" customWidth="1"/>
    <col min="21" max="21" width="8" style="2" customWidth="1"/>
    <col min="22" max="22" width="8.140625" style="2" customWidth="1"/>
    <col min="23" max="23" width="3.85546875" customWidth="1"/>
    <col min="24" max="24" width="4.28515625" style="11" customWidth="1"/>
    <col min="25" max="25" width="8" style="11" customWidth="1"/>
    <col min="26" max="26" width="8.28515625" customWidth="1"/>
    <col min="27" max="27" width="4.28515625" style="2" customWidth="1"/>
    <col min="28" max="28" width="5" style="2" customWidth="1"/>
    <col min="29" max="30" width="8.42578125" style="2" customWidth="1"/>
    <col min="31" max="31" width="4" customWidth="1"/>
    <col min="32" max="32" width="5.42578125" customWidth="1"/>
    <col min="33" max="33" width="8" customWidth="1"/>
    <col min="34" max="34" width="7.140625" customWidth="1"/>
    <col min="35" max="35" width="5" customWidth="1"/>
    <col min="36" max="36" width="4.42578125" customWidth="1"/>
    <col min="37" max="37" width="10.85546875" customWidth="1"/>
    <col min="38" max="38" width="10.42578125" customWidth="1"/>
    <col min="39" max="40" width="4.7109375" customWidth="1"/>
    <col min="41" max="41" width="7.85546875" customWidth="1"/>
    <col min="42" max="42" width="7.5703125" customWidth="1"/>
    <col min="43" max="43" width="4" customWidth="1"/>
    <col min="44" max="44" width="5.5703125" customWidth="1"/>
    <col min="45" max="45" width="8.42578125" customWidth="1"/>
    <col min="46" max="46" width="8.5703125" customWidth="1"/>
    <col min="47" max="47" width="4.140625" customWidth="1"/>
    <col min="48" max="48" width="4.7109375" customWidth="1"/>
    <col min="49" max="49" width="7.5703125" customWidth="1"/>
    <col min="50" max="50" width="8.42578125" customWidth="1"/>
    <col min="51" max="51" width="4.7109375" customWidth="1"/>
    <col min="52" max="52" width="4.85546875" customWidth="1"/>
    <col min="53" max="53" width="7.28515625" customWidth="1"/>
    <col min="54" max="54" width="9.42578125" customWidth="1"/>
    <col min="55" max="55" width="4.42578125" customWidth="1"/>
    <col min="56" max="56" width="4.85546875" customWidth="1"/>
    <col min="57" max="57" width="7.5703125" customWidth="1"/>
    <col min="58" max="58" width="8" customWidth="1"/>
    <col min="59" max="59" width="4.5703125" customWidth="1"/>
    <col min="60" max="60" width="4.85546875" customWidth="1"/>
    <col min="61" max="61" width="7.5703125" customWidth="1"/>
    <col min="62" max="62" width="8.140625" customWidth="1"/>
    <col min="63" max="63" width="4.7109375" customWidth="1"/>
    <col min="64" max="64" width="4.85546875" customWidth="1"/>
    <col min="65" max="65" width="7.7109375" customWidth="1"/>
    <col min="66" max="66" width="8.28515625" customWidth="1"/>
    <col min="67" max="67" width="4.85546875" customWidth="1"/>
    <col min="68" max="68" width="15.140625" customWidth="1"/>
    <col min="69" max="70" width="7.140625" customWidth="1"/>
    <col min="71" max="71" width="14.140625" customWidth="1"/>
    <col min="72" max="72" width="8.140625" customWidth="1"/>
    <col min="73" max="73" width="11" customWidth="1"/>
  </cols>
  <sheetData>
    <row r="1" spans="1:74" ht="33.75" customHeight="1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spans="1:74" ht="70.5" customHeight="1" thickBot="1" x14ac:dyDescent="0.3">
      <c r="A2" s="23" t="s">
        <v>4</v>
      </c>
      <c r="B2" s="73" t="s">
        <v>5</v>
      </c>
      <c r="C2" s="3" t="s">
        <v>0</v>
      </c>
      <c r="D2" s="9" t="s">
        <v>2</v>
      </c>
      <c r="E2" s="7" t="s">
        <v>1</v>
      </c>
      <c r="F2" s="7" t="s">
        <v>6</v>
      </c>
      <c r="G2" s="3" t="s">
        <v>0</v>
      </c>
      <c r="H2" s="9" t="s">
        <v>2</v>
      </c>
      <c r="I2" s="7" t="s">
        <v>1</v>
      </c>
      <c r="J2" s="7" t="s">
        <v>6</v>
      </c>
      <c r="K2" s="3" t="s">
        <v>0</v>
      </c>
      <c r="L2" s="9" t="s">
        <v>2</v>
      </c>
      <c r="M2" s="7" t="s">
        <v>1</v>
      </c>
      <c r="N2" s="7" t="s">
        <v>6</v>
      </c>
      <c r="O2" s="3" t="s">
        <v>0</v>
      </c>
      <c r="P2" s="9" t="s">
        <v>2</v>
      </c>
      <c r="Q2" s="7" t="s">
        <v>1</v>
      </c>
      <c r="R2" s="7" t="s">
        <v>6</v>
      </c>
      <c r="S2" s="3" t="s">
        <v>0</v>
      </c>
      <c r="T2" s="9" t="s">
        <v>2</v>
      </c>
      <c r="U2" s="7" t="s">
        <v>1</v>
      </c>
      <c r="V2" s="7" t="s">
        <v>6</v>
      </c>
      <c r="W2" s="3" t="s">
        <v>0</v>
      </c>
      <c r="X2" s="9" t="s">
        <v>2</v>
      </c>
      <c r="Y2" s="7" t="s">
        <v>1</v>
      </c>
      <c r="Z2" s="7" t="s">
        <v>6</v>
      </c>
      <c r="AA2" s="3" t="s">
        <v>0</v>
      </c>
      <c r="AB2" s="9" t="s">
        <v>2</v>
      </c>
      <c r="AC2" s="7" t="s">
        <v>1</v>
      </c>
      <c r="AD2" s="7" t="s">
        <v>6</v>
      </c>
      <c r="AE2" s="3" t="s">
        <v>0</v>
      </c>
      <c r="AF2" s="9" t="s">
        <v>2</v>
      </c>
      <c r="AG2" s="7" t="s">
        <v>1</v>
      </c>
      <c r="AH2" s="7" t="s">
        <v>6</v>
      </c>
      <c r="AI2" s="3" t="s">
        <v>0</v>
      </c>
      <c r="AJ2" s="9" t="s">
        <v>2</v>
      </c>
      <c r="AK2" s="7" t="s">
        <v>1</v>
      </c>
      <c r="AL2" s="7" t="s">
        <v>6</v>
      </c>
      <c r="AM2" s="3" t="s">
        <v>0</v>
      </c>
      <c r="AN2" s="9" t="s">
        <v>2</v>
      </c>
      <c r="AO2" s="7" t="s">
        <v>1</v>
      </c>
      <c r="AP2" s="7" t="s">
        <v>6</v>
      </c>
      <c r="AQ2" s="3" t="s">
        <v>0</v>
      </c>
      <c r="AR2" s="9" t="s">
        <v>2</v>
      </c>
      <c r="AS2" s="7" t="s">
        <v>1</v>
      </c>
      <c r="AT2" s="7" t="s">
        <v>6</v>
      </c>
      <c r="AU2" s="3" t="s">
        <v>0</v>
      </c>
      <c r="AV2" s="9" t="s">
        <v>2</v>
      </c>
      <c r="AW2" s="7" t="s">
        <v>1</v>
      </c>
      <c r="AX2" s="7" t="s">
        <v>6</v>
      </c>
      <c r="AY2" s="3" t="s">
        <v>0</v>
      </c>
      <c r="AZ2" s="9" t="s">
        <v>2</v>
      </c>
      <c r="BA2" s="7" t="s">
        <v>1</v>
      </c>
      <c r="BB2" s="7" t="s">
        <v>6</v>
      </c>
      <c r="BC2" s="3" t="s">
        <v>0</v>
      </c>
      <c r="BD2" s="9" t="s">
        <v>2</v>
      </c>
      <c r="BE2" s="7" t="s">
        <v>1</v>
      </c>
      <c r="BF2" s="7" t="s">
        <v>6</v>
      </c>
      <c r="BG2" s="3" t="s">
        <v>0</v>
      </c>
      <c r="BH2" s="9" t="s">
        <v>2</v>
      </c>
      <c r="BI2" s="7" t="s">
        <v>1</v>
      </c>
      <c r="BJ2" s="7" t="s">
        <v>6</v>
      </c>
      <c r="BK2" s="3" t="s">
        <v>0</v>
      </c>
      <c r="BL2" s="9" t="s">
        <v>2</v>
      </c>
      <c r="BM2" s="7" t="s">
        <v>1</v>
      </c>
      <c r="BN2" s="7" t="s">
        <v>6</v>
      </c>
      <c r="BO2" s="49" t="s">
        <v>19</v>
      </c>
      <c r="BP2" s="10" t="s">
        <v>20</v>
      </c>
      <c r="BQ2" s="10" t="s">
        <v>21</v>
      </c>
      <c r="BR2" s="10" t="s">
        <v>22</v>
      </c>
      <c r="BS2" s="81" t="s">
        <v>23</v>
      </c>
      <c r="BT2" s="81"/>
      <c r="BU2" s="81"/>
      <c r="BV2" s="22" t="s">
        <v>24</v>
      </c>
    </row>
    <row r="3" spans="1:74" ht="72" customHeight="1" thickBot="1" x14ac:dyDescent="0.3">
      <c r="A3" s="21">
        <v>1</v>
      </c>
      <c r="B3" s="30" t="s">
        <v>13</v>
      </c>
      <c r="C3" s="3">
        <v>10</v>
      </c>
      <c r="D3" s="3">
        <v>10</v>
      </c>
      <c r="E3" s="12">
        <f>D3/C3</f>
        <v>1</v>
      </c>
      <c r="F3" s="12">
        <f t="shared" ref="F3:F11" si="0">POWER(D3-$BQ3,2)</f>
        <v>7.9723183391003447</v>
      </c>
      <c r="G3" s="3">
        <v>9</v>
      </c>
      <c r="H3" s="5">
        <v>9</v>
      </c>
      <c r="I3" s="12">
        <f>H3/G3</f>
        <v>1</v>
      </c>
      <c r="J3" s="12">
        <f t="shared" ref="J3:J11" si="1">POWER(H3-$BQ3,2)</f>
        <v>3.3252595155709335</v>
      </c>
      <c r="K3" s="3">
        <v>8</v>
      </c>
      <c r="L3" s="5">
        <v>8</v>
      </c>
      <c r="M3" s="12">
        <f>L3/K3</f>
        <v>1</v>
      </c>
      <c r="N3" s="12">
        <f t="shared" ref="N3:N11" si="2">POWER(L3-$BQ3,2)</f>
        <v>0.67820069204152211</v>
      </c>
      <c r="O3" s="3">
        <v>10</v>
      </c>
      <c r="P3" s="5">
        <v>10</v>
      </c>
      <c r="Q3" s="12">
        <f>P3/O3</f>
        <v>1</v>
      </c>
      <c r="R3" s="12">
        <f t="shared" ref="R3:R11" si="3">POWER(P3-$BQ3,2)</f>
        <v>7.9723183391003447</v>
      </c>
      <c r="S3" s="3">
        <v>9</v>
      </c>
      <c r="T3" s="3">
        <v>9</v>
      </c>
      <c r="U3" s="12">
        <f>T3/S3</f>
        <v>1</v>
      </c>
      <c r="V3" s="12">
        <f t="shared" ref="V3:V11" si="4">POWER(T3-$BQ3,2)</f>
        <v>3.3252595155709335</v>
      </c>
      <c r="W3" s="3">
        <v>8</v>
      </c>
      <c r="X3" s="5">
        <v>8</v>
      </c>
      <c r="Y3" s="12">
        <f>X3/W3</f>
        <v>1</v>
      </c>
      <c r="Z3" s="12">
        <f t="shared" ref="Z3:Z11" si="5">POWER(X3-$BQ3,2)</f>
        <v>0.67820069204152211</v>
      </c>
      <c r="AA3" s="3">
        <v>9</v>
      </c>
      <c r="AB3" s="3">
        <v>9</v>
      </c>
      <c r="AC3" s="12">
        <f>AB3/AA3</f>
        <v>1</v>
      </c>
      <c r="AD3" s="12">
        <f t="shared" ref="AD3:AD11" si="6">POWER(AB3-$BQ3,2)</f>
        <v>3.3252595155709335</v>
      </c>
      <c r="AE3" s="3">
        <v>9</v>
      </c>
      <c r="AF3" s="5">
        <v>9</v>
      </c>
      <c r="AG3" s="12">
        <f>AF3/AE3</f>
        <v>1</v>
      </c>
      <c r="AH3" s="12">
        <f t="shared" ref="AH3:AH11" si="7">POWER(AF3-$BQ3,2)</f>
        <v>3.3252595155709335</v>
      </c>
      <c r="AI3" s="3">
        <v>10</v>
      </c>
      <c r="AJ3" s="3">
        <v>10</v>
      </c>
      <c r="AK3" s="12">
        <f>AJ3/AI3</f>
        <v>1</v>
      </c>
      <c r="AL3" s="12">
        <f t="shared" ref="AL3:AL11" si="8">POWER(AJ3-$BQ3,2)</f>
        <v>7.9723183391003447</v>
      </c>
      <c r="AM3" s="3">
        <v>8</v>
      </c>
      <c r="AN3" s="3">
        <v>7</v>
      </c>
      <c r="AO3" s="12">
        <f>AN3/AM3</f>
        <v>0.875</v>
      </c>
      <c r="AP3" s="12">
        <f t="shared" ref="AP3:AP11" si="9">POWER(AN3-$BQ3,2)</f>
        <v>3.1141868512110819E-2</v>
      </c>
      <c r="AQ3" s="3">
        <v>8</v>
      </c>
      <c r="AR3" s="5">
        <v>7</v>
      </c>
      <c r="AS3" s="12">
        <f>AR3/AQ3</f>
        <v>0.875</v>
      </c>
      <c r="AT3" s="12">
        <f t="shared" ref="AT3:AT11" si="10">POWER(AR3-$BQ3,2)</f>
        <v>3.1141868512110819E-2</v>
      </c>
      <c r="AU3" s="3">
        <v>3</v>
      </c>
      <c r="AV3" s="3">
        <v>3</v>
      </c>
      <c r="AW3" s="12">
        <f>AV3/AU3</f>
        <v>1</v>
      </c>
      <c r="AX3" s="12">
        <f t="shared" ref="AX3:AX11" si="11">POWER(AV3-$BQ3,2)</f>
        <v>17.442906574394467</v>
      </c>
      <c r="AY3" s="3">
        <v>8</v>
      </c>
      <c r="AZ3" s="3">
        <v>8</v>
      </c>
      <c r="BA3" s="12">
        <f>AZ3/AY3</f>
        <v>1</v>
      </c>
      <c r="BB3" s="12">
        <f t="shared" ref="BB3:BB11" si="12">POWER(AZ3-$BQ3,2)</f>
        <v>0.67820069204152211</v>
      </c>
      <c r="BC3" s="3">
        <v>3</v>
      </c>
      <c r="BD3" s="3">
        <v>3</v>
      </c>
      <c r="BE3" s="12">
        <f>BD3/BC3</f>
        <v>1</v>
      </c>
      <c r="BF3" s="12">
        <f t="shared" ref="BF3:BF11" si="13">POWER(BD3-$BQ3,2)</f>
        <v>17.442906574394467</v>
      </c>
      <c r="BG3" s="3">
        <v>6</v>
      </c>
      <c r="BH3" s="3">
        <v>6</v>
      </c>
      <c r="BI3" s="12">
        <f>BH3/BG3</f>
        <v>1</v>
      </c>
      <c r="BJ3" s="12">
        <f t="shared" ref="BJ3:BJ14" si="14">POWER(BH3-$BQ3,2)</f>
        <v>1.3840830449826995</v>
      </c>
      <c r="BK3" s="3">
        <v>6</v>
      </c>
      <c r="BL3" s="3">
        <v>6</v>
      </c>
      <c r="BM3" s="12">
        <f>BL3/BK3</f>
        <v>1</v>
      </c>
      <c r="BN3" s="12">
        <f t="shared" ref="BN3:BN11" si="15">POWER(BL3-$BQ3,2)</f>
        <v>1.3840830449826995</v>
      </c>
      <c r="BO3" s="4">
        <f>COUNT(C3,G3,K3,O3,S3,W3,AA3,AE3,AI3,AM3,AQ3,AU3,AY3,BC3,BG3,BK3,#REF!,#REF!,#REF!,#REF!,#REF!,#REF!,#REF!,#REF!,#REF!,#REF!,#REF!,#REF!,#REF!,#REF!,#REF!,#REF!,#REF!,#REF!,#REF!,#REF!,#REF!,#REF!,#REF!,#REF!,#REF!,#REF!,#REF!,#REF!,#REF!)</f>
        <v>16</v>
      </c>
      <c r="BP3" s="15">
        <f>(E3+I3+M3+Q3+U3+Y3+AC3+AG3+AK3+AO3+AS3+AW3+BA3+BE3+BI3+BM3)*100/BO3</f>
        <v>98.4375</v>
      </c>
      <c r="BQ3" s="15">
        <f>AVERAGE(D3,H3,L3,P3,T3,X3,AB3,AF3,AJ3,AN3,AR3,AV3,AZ3,BD3,BH3,BL3,)</f>
        <v>7.1764705882352944</v>
      </c>
      <c r="BR3" s="15">
        <f>SQRT((F3+J3+N3+R3+V3+Z3+AD3+AH3+AL3+AP3+AT3+AX3+BB3+BF3+BJ3+BN3)/BO3)</f>
        <v>2.1932974338237834</v>
      </c>
      <c r="BS3" s="16">
        <f>BP3</f>
        <v>98.4375</v>
      </c>
      <c r="BT3" s="17" t="s">
        <v>3</v>
      </c>
      <c r="BU3" s="24">
        <f>BR3</f>
        <v>2.1932974338237834</v>
      </c>
      <c r="BV3" s="4" t="str">
        <f>IF(BP3&lt;40,"неудовлетворительно",IF((BP3&gt;=40)*AND(BP3&lt;60),"удовлетворительно",IF((BP3&gt;=60)*AND(BP3&lt;80),"хорошо","отлично")))</f>
        <v>отлично</v>
      </c>
    </row>
    <row r="4" spans="1:74" ht="39.75" customHeight="1" thickBot="1" x14ac:dyDescent="0.3">
      <c r="A4" s="21">
        <v>2</v>
      </c>
      <c r="B4" s="31" t="s">
        <v>14</v>
      </c>
      <c r="C4" s="3">
        <v>10</v>
      </c>
      <c r="D4" s="3">
        <v>10</v>
      </c>
      <c r="E4" s="12">
        <f t="shared" ref="E4:E14" si="16">D4/C4</f>
        <v>1</v>
      </c>
      <c r="F4" s="12">
        <f t="shared" si="0"/>
        <v>6.6989619377162617</v>
      </c>
      <c r="G4" s="3">
        <v>9</v>
      </c>
      <c r="H4" s="5">
        <v>9</v>
      </c>
      <c r="I4" s="12">
        <f t="shared" ref="I4:I14" si="17">H4/G4</f>
        <v>1</v>
      </c>
      <c r="J4" s="12">
        <f t="shared" si="1"/>
        <v>2.5224913494809678</v>
      </c>
      <c r="K4" s="3">
        <v>8</v>
      </c>
      <c r="L4" s="5">
        <v>8</v>
      </c>
      <c r="M4" s="12">
        <f t="shared" ref="M4:M14" si="18">L4/K4</f>
        <v>1</v>
      </c>
      <c r="N4" s="12">
        <f t="shared" si="2"/>
        <v>0.34602076124567438</v>
      </c>
      <c r="O4" s="3">
        <v>10</v>
      </c>
      <c r="P4" s="5">
        <v>10</v>
      </c>
      <c r="Q4" s="12">
        <f t="shared" ref="Q4:Q14" si="19">P4/O4</f>
        <v>1</v>
      </c>
      <c r="R4" s="12">
        <f t="shared" si="3"/>
        <v>6.6989619377162617</v>
      </c>
      <c r="S4" s="3">
        <v>9</v>
      </c>
      <c r="T4" s="3">
        <v>9</v>
      </c>
      <c r="U4" s="12">
        <f t="shared" ref="U4:U14" si="20">T4/S4</f>
        <v>1</v>
      </c>
      <c r="V4" s="12">
        <f t="shared" si="4"/>
        <v>2.5224913494809678</v>
      </c>
      <c r="W4" s="3">
        <v>8</v>
      </c>
      <c r="X4" s="5">
        <v>8</v>
      </c>
      <c r="Y4" s="12">
        <f t="shared" ref="Y4:Y14" si="21">X4/W4</f>
        <v>1</v>
      </c>
      <c r="Z4" s="12">
        <f t="shared" si="5"/>
        <v>0.34602076124567438</v>
      </c>
      <c r="AA4" s="3">
        <v>9</v>
      </c>
      <c r="AB4" s="3">
        <v>9</v>
      </c>
      <c r="AC4" s="12">
        <f t="shared" ref="AC4:AC14" si="22">AB4/AA4</f>
        <v>1</v>
      </c>
      <c r="AD4" s="12">
        <f t="shared" si="6"/>
        <v>2.5224913494809678</v>
      </c>
      <c r="AE4" s="3">
        <v>9</v>
      </c>
      <c r="AF4" s="5">
        <v>9</v>
      </c>
      <c r="AG4" s="12">
        <f t="shared" ref="AG4:AG14" si="23">AF4/AE4</f>
        <v>1</v>
      </c>
      <c r="AH4" s="12">
        <f t="shared" si="7"/>
        <v>2.5224913494809678</v>
      </c>
      <c r="AI4" s="3">
        <v>10</v>
      </c>
      <c r="AJ4" s="3">
        <v>10</v>
      </c>
      <c r="AK4" s="12">
        <f t="shared" ref="AK4:AK14" si="24">AJ4/AI4</f>
        <v>1</v>
      </c>
      <c r="AL4" s="12">
        <f t="shared" si="8"/>
        <v>6.6989619377162617</v>
      </c>
      <c r="AM4" s="3">
        <v>10</v>
      </c>
      <c r="AN4" s="3">
        <v>10</v>
      </c>
      <c r="AO4" s="12">
        <f t="shared" ref="AO4:AO14" si="25">AN4/AM4</f>
        <v>1</v>
      </c>
      <c r="AP4" s="12">
        <f t="shared" si="9"/>
        <v>6.6989619377162617</v>
      </c>
      <c r="AQ4" s="3">
        <v>9</v>
      </c>
      <c r="AR4" s="5">
        <v>8</v>
      </c>
      <c r="AS4" s="12">
        <f t="shared" ref="AS4:AS14" si="26">AR4/AQ4</f>
        <v>0.88888888888888884</v>
      </c>
      <c r="AT4" s="12">
        <f t="shared" si="10"/>
        <v>0.34602076124567438</v>
      </c>
      <c r="AU4" s="3">
        <v>3</v>
      </c>
      <c r="AV4" s="3">
        <v>3</v>
      </c>
      <c r="AW4" s="12">
        <f t="shared" ref="AW4:AW11" si="27">AV4/AU4</f>
        <v>1</v>
      </c>
      <c r="AX4" s="12">
        <f t="shared" si="11"/>
        <v>19.463667820069208</v>
      </c>
      <c r="AY4" s="3">
        <v>8</v>
      </c>
      <c r="AZ4" s="3">
        <v>8</v>
      </c>
      <c r="BA4" s="12">
        <f t="shared" ref="BA4:BA11" si="28">AZ4/AY4</f>
        <v>1</v>
      </c>
      <c r="BB4" s="12">
        <f t="shared" si="12"/>
        <v>0.34602076124567438</v>
      </c>
      <c r="BC4" s="3">
        <v>3</v>
      </c>
      <c r="BD4" s="3">
        <v>3</v>
      </c>
      <c r="BE4" s="12">
        <f t="shared" ref="BE4:BE11" si="29">BD4/BC4</f>
        <v>1</v>
      </c>
      <c r="BF4" s="12">
        <f t="shared" si="13"/>
        <v>19.463667820069208</v>
      </c>
      <c r="BG4" s="3">
        <v>6</v>
      </c>
      <c r="BH4" s="3">
        <v>6</v>
      </c>
      <c r="BI4" s="12">
        <f t="shared" ref="BI4:BI11" si="30">BH4/BG4</f>
        <v>1</v>
      </c>
      <c r="BJ4" s="12">
        <f t="shared" si="14"/>
        <v>1.9930795847750873</v>
      </c>
      <c r="BK4" s="3">
        <v>6</v>
      </c>
      <c r="BL4" s="3">
        <v>6</v>
      </c>
      <c r="BM4" s="12">
        <f t="shared" ref="BM4:BM11" si="31">BL4/BK4</f>
        <v>1</v>
      </c>
      <c r="BN4" s="12">
        <f t="shared" si="15"/>
        <v>1.9930795847750873</v>
      </c>
      <c r="BO4" s="4">
        <f>COUNT(C4,G4,K4,O4,S4,W4,AA4,AE4,AI4,AM4,AQ4,AU4,AY4,BC4,BG4,BK4,#REF!,#REF!,#REF!,#REF!,#REF!,#REF!,#REF!,#REF!,#REF!,#REF!,#REF!,#REF!,#REF!,#REF!,#REF!,#REF!,#REF!,#REF!,#REF!,#REF!,#REF!,#REF!,#REF!,#REF!,#REF!,#REF!,#REF!,#REF!,#REF!)</f>
        <v>16</v>
      </c>
      <c r="BP4" s="15">
        <f t="shared" ref="BP4:BP11" si="32">(E4+I4+M4+Q4+U4+Y4+AC4+AG4+AK4+AO4+AS4+AW4+BA4+BE4+BI4+BM4)*100/BO4</f>
        <v>99.305555555555557</v>
      </c>
      <c r="BQ4" s="15">
        <f t="shared" ref="BQ4:BQ11" si="33">AVERAGE(D4,H4,L4,P4,T4,X4,AB4,AF4,AJ4,AN4,AR4,AV4,AZ4,BD4,BH4,BL4,)</f>
        <v>7.4117647058823533</v>
      </c>
      <c r="BR4" s="15">
        <f t="shared" ref="BR4:BR11" si="34">SQRT((F4+J4+N4+R4+V4+Z4+AD4+AH4+AL4+AP4+AT4+AX4+BB4+BF4+BJ4+BN4)/BO4)</f>
        <v>2.2525456571879432</v>
      </c>
      <c r="BS4" s="16">
        <f t="shared" ref="BS4:BS11" si="35">BP4</f>
        <v>99.305555555555557</v>
      </c>
      <c r="BT4" s="17" t="s">
        <v>3</v>
      </c>
      <c r="BU4" s="24">
        <f t="shared" ref="BU4:BU11" si="36">BR4</f>
        <v>2.2525456571879432</v>
      </c>
      <c r="BV4" s="4" t="str">
        <f t="shared" ref="BV4:BV11" si="37">IF(BP4&lt;40,"неудовлетворительно",IF((BP4&gt;=40)*AND(BP4&lt;60),"удовлетворительно",IF((BP4&gt;=60)*AND(BP4&lt;80),"хорошо","отлично")))</f>
        <v>отлично</v>
      </c>
    </row>
    <row r="5" spans="1:74" ht="52.5" customHeight="1" thickBot="1" x14ac:dyDescent="0.3">
      <c r="A5" s="21">
        <v>3</v>
      </c>
      <c r="B5" s="31" t="s">
        <v>15</v>
      </c>
      <c r="C5" s="3">
        <v>10</v>
      </c>
      <c r="D5" s="3">
        <v>10</v>
      </c>
      <c r="E5" s="12">
        <f t="shared" si="16"/>
        <v>1</v>
      </c>
      <c r="F5" s="12">
        <f t="shared" si="0"/>
        <v>6.6989619377162617</v>
      </c>
      <c r="G5" s="3">
        <v>9</v>
      </c>
      <c r="H5" s="5">
        <v>9</v>
      </c>
      <c r="I5" s="12">
        <f t="shared" si="17"/>
        <v>1</v>
      </c>
      <c r="J5" s="12">
        <f t="shared" si="1"/>
        <v>2.5224913494809678</v>
      </c>
      <c r="K5" s="3">
        <v>8</v>
      </c>
      <c r="L5" s="5">
        <v>8</v>
      </c>
      <c r="M5" s="12">
        <f t="shared" si="18"/>
        <v>1</v>
      </c>
      <c r="N5" s="12">
        <f t="shared" si="2"/>
        <v>0.34602076124567438</v>
      </c>
      <c r="O5" s="3">
        <v>10</v>
      </c>
      <c r="P5" s="5">
        <v>10</v>
      </c>
      <c r="Q5" s="12">
        <f t="shared" si="19"/>
        <v>1</v>
      </c>
      <c r="R5" s="12">
        <f t="shared" si="3"/>
        <v>6.6989619377162617</v>
      </c>
      <c r="S5" s="3">
        <v>9</v>
      </c>
      <c r="T5" s="3">
        <v>9</v>
      </c>
      <c r="U5" s="12">
        <f t="shared" si="20"/>
        <v>1</v>
      </c>
      <c r="V5" s="12">
        <f t="shared" si="4"/>
        <v>2.5224913494809678</v>
      </c>
      <c r="W5" s="3">
        <v>8</v>
      </c>
      <c r="X5" s="5">
        <v>8</v>
      </c>
      <c r="Y5" s="12">
        <f t="shared" si="21"/>
        <v>1</v>
      </c>
      <c r="Z5" s="12">
        <f t="shared" si="5"/>
        <v>0.34602076124567438</v>
      </c>
      <c r="AA5" s="3">
        <v>9</v>
      </c>
      <c r="AB5" s="3">
        <v>9</v>
      </c>
      <c r="AC5" s="12">
        <f t="shared" si="22"/>
        <v>1</v>
      </c>
      <c r="AD5" s="12">
        <f t="shared" si="6"/>
        <v>2.5224913494809678</v>
      </c>
      <c r="AE5" s="3">
        <v>9</v>
      </c>
      <c r="AF5" s="5">
        <v>9</v>
      </c>
      <c r="AG5" s="12">
        <f t="shared" si="23"/>
        <v>1</v>
      </c>
      <c r="AH5" s="12">
        <f t="shared" si="7"/>
        <v>2.5224913494809678</v>
      </c>
      <c r="AI5" s="3">
        <v>10</v>
      </c>
      <c r="AJ5" s="3">
        <v>10</v>
      </c>
      <c r="AK5" s="12">
        <f t="shared" si="24"/>
        <v>1</v>
      </c>
      <c r="AL5" s="12">
        <f t="shared" si="8"/>
        <v>6.6989619377162617</v>
      </c>
      <c r="AM5" s="3">
        <v>10</v>
      </c>
      <c r="AN5" s="3">
        <v>10</v>
      </c>
      <c r="AO5" s="12">
        <f t="shared" si="25"/>
        <v>1</v>
      </c>
      <c r="AP5" s="12">
        <f t="shared" si="9"/>
        <v>6.6989619377162617</v>
      </c>
      <c r="AQ5" s="3">
        <v>6</v>
      </c>
      <c r="AR5" s="5">
        <v>6</v>
      </c>
      <c r="AS5" s="12">
        <f t="shared" si="26"/>
        <v>1</v>
      </c>
      <c r="AT5" s="12">
        <f t="shared" si="10"/>
        <v>1.9930795847750873</v>
      </c>
      <c r="AU5" s="3">
        <v>3</v>
      </c>
      <c r="AV5" s="3">
        <v>3</v>
      </c>
      <c r="AW5" s="12">
        <f t="shared" si="27"/>
        <v>1</v>
      </c>
      <c r="AX5" s="12">
        <f t="shared" si="11"/>
        <v>19.463667820069208</v>
      </c>
      <c r="AY5" s="3">
        <v>7</v>
      </c>
      <c r="AZ5" s="3">
        <v>7</v>
      </c>
      <c r="BA5" s="12">
        <f t="shared" si="28"/>
        <v>1</v>
      </c>
      <c r="BB5" s="12">
        <f t="shared" si="12"/>
        <v>0.16955017301038089</v>
      </c>
      <c r="BC5" s="3">
        <v>3</v>
      </c>
      <c r="BD5" s="3">
        <v>3</v>
      </c>
      <c r="BE5" s="12">
        <f t="shared" si="29"/>
        <v>1</v>
      </c>
      <c r="BF5" s="12">
        <f t="shared" si="13"/>
        <v>19.463667820069208</v>
      </c>
      <c r="BG5" s="3">
        <v>6</v>
      </c>
      <c r="BH5" s="3">
        <v>6</v>
      </c>
      <c r="BI5" s="12">
        <f t="shared" si="30"/>
        <v>1</v>
      </c>
      <c r="BJ5" s="12">
        <f t="shared" si="14"/>
        <v>1.9930795847750873</v>
      </c>
      <c r="BK5" s="3">
        <v>10</v>
      </c>
      <c r="BL5" s="3">
        <v>9</v>
      </c>
      <c r="BM5" s="12">
        <f t="shared" si="31"/>
        <v>0.9</v>
      </c>
      <c r="BN5" s="12">
        <f t="shared" si="15"/>
        <v>2.5224913494809678</v>
      </c>
      <c r="BO5" s="4">
        <f>COUNT(C5,G5,K5,O5,S5,W5,AA5,AE5,AI5,AM5,AQ5,AU5,AY5,BC5,BG5,BK5,#REF!,#REF!,#REF!,#REF!,#REF!,#REF!,#REF!,#REF!,#REF!,#REF!,#REF!,#REF!,#REF!,#REF!,#REF!,#REF!,#REF!,#REF!,#REF!,#REF!,#REF!,#REF!,#REF!,#REF!,#REF!,#REF!,#REF!,#REF!,#REF!)</f>
        <v>16</v>
      </c>
      <c r="BP5" s="15">
        <f t="shared" si="32"/>
        <v>99.375</v>
      </c>
      <c r="BQ5" s="15">
        <f t="shared" si="33"/>
        <v>7.4117647058823533</v>
      </c>
      <c r="BR5" s="15">
        <f t="shared" si="34"/>
        <v>2.2801232286252127</v>
      </c>
      <c r="BS5" s="16">
        <f t="shared" si="35"/>
        <v>99.375</v>
      </c>
      <c r="BT5" s="17" t="s">
        <v>3</v>
      </c>
      <c r="BU5" s="24">
        <f t="shared" si="36"/>
        <v>2.2801232286252127</v>
      </c>
      <c r="BV5" s="4" t="str">
        <f t="shared" si="37"/>
        <v>отлично</v>
      </c>
    </row>
    <row r="6" spans="1:74" ht="30.75" customHeight="1" thickBot="1" x14ac:dyDescent="0.3">
      <c r="A6" s="21">
        <v>4</v>
      </c>
      <c r="B6" s="31" t="s">
        <v>10</v>
      </c>
      <c r="C6" s="3">
        <v>10</v>
      </c>
      <c r="D6" s="3">
        <v>10</v>
      </c>
      <c r="E6" s="8">
        <f t="shared" si="16"/>
        <v>1</v>
      </c>
      <c r="F6" s="12">
        <f t="shared" si="0"/>
        <v>15.072664359861594</v>
      </c>
      <c r="G6" s="3">
        <v>9</v>
      </c>
      <c r="H6" s="5">
        <v>9</v>
      </c>
      <c r="I6" s="12">
        <f t="shared" si="17"/>
        <v>1</v>
      </c>
      <c r="J6" s="12">
        <f t="shared" si="1"/>
        <v>8.3079584775086524</v>
      </c>
      <c r="K6" s="3">
        <v>8</v>
      </c>
      <c r="L6" s="5">
        <v>8</v>
      </c>
      <c r="M6" s="12">
        <f t="shared" si="18"/>
        <v>1</v>
      </c>
      <c r="N6" s="12">
        <f t="shared" si="2"/>
        <v>3.5432525951557108</v>
      </c>
      <c r="O6" s="3">
        <v>10</v>
      </c>
      <c r="P6" s="5">
        <v>10</v>
      </c>
      <c r="Q6" s="12">
        <f t="shared" si="19"/>
        <v>1</v>
      </c>
      <c r="R6" s="12">
        <f t="shared" si="3"/>
        <v>15.072664359861594</v>
      </c>
      <c r="S6" s="3">
        <v>9</v>
      </c>
      <c r="T6" s="3">
        <v>9</v>
      </c>
      <c r="U6" s="12">
        <f t="shared" si="20"/>
        <v>1</v>
      </c>
      <c r="V6" s="12">
        <f t="shared" si="4"/>
        <v>8.3079584775086524</v>
      </c>
      <c r="W6" s="3">
        <v>8</v>
      </c>
      <c r="X6" s="5">
        <v>8</v>
      </c>
      <c r="Y6" s="12">
        <f t="shared" si="21"/>
        <v>1</v>
      </c>
      <c r="Z6" s="12">
        <f t="shared" si="5"/>
        <v>3.5432525951557108</v>
      </c>
      <c r="AA6" s="3">
        <v>9</v>
      </c>
      <c r="AB6" s="3">
        <v>9</v>
      </c>
      <c r="AC6" s="12">
        <f t="shared" si="22"/>
        <v>1</v>
      </c>
      <c r="AD6" s="12">
        <f t="shared" si="6"/>
        <v>8.3079584775086524</v>
      </c>
      <c r="AE6" s="3">
        <v>9</v>
      </c>
      <c r="AF6" s="5">
        <v>9</v>
      </c>
      <c r="AG6" s="12">
        <f t="shared" si="23"/>
        <v>1</v>
      </c>
      <c r="AH6" s="12">
        <f t="shared" si="7"/>
        <v>8.3079584775086524</v>
      </c>
      <c r="AI6" s="3">
        <v>1</v>
      </c>
      <c r="AJ6" s="3">
        <v>1</v>
      </c>
      <c r="AK6" s="12">
        <f t="shared" si="24"/>
        <v>1</v>
      </c>
      <c r="AL6" s="12">
        <f t="shared" si="8"/>
        <v>26.190311418685116</v>
      </c>
      <c r="AM6" s="3">
        <v>3</v>
      </c>
      <c r="AN6" s="3">
        <v>2</v>
      </c>
      <c r="AO6" s="12">
        <f t="shared" si="25"/>
        <v>0.66666666666666663</v>
      </c>
      <c r="AP6" s="12">
        <f t="shared" si="9"/>
        <v>16.955017301038058</v>
      </c>
      <c r="AQ6" s="3">
        <v>7</v>
      </c>
      <c r="AR6" s="5">
        <v>6</v>
      </c>
      <c r="AS6" s="12">
        <f t="shared" si="26"/>
        <v>0.8571428571428571</v>
      </c>
      <c r="AT6" s="12">
        <f t="shared" si="10"/>
        <v>1.3840830449826891E-2</v>
      </c>
      <c r="AU6" s="3">
        <v>3</v>
      </c>
      <c r="AV6" s="3">
        <v>3</v>
      </c>
      <c r="AW6" s="12">
        <f t="shared" si="27"/>
        <v>1</v>
      </c>
      <c r="AX6" s="12">
        <f t="shared" si="11"/>
        <v>9.7197231833910003</v>
      </c>
      <c r="AY6" s="3">
        <v>9</v>
      </c>
      <c r="AZ6" s="3">
        <v>9</v>
      </c>
      <c r="BA6" s="12">
        <f t="shared" si="28"/>
        <v>1</v>
      </c>
      <c r="BB6" s="12">
        <f t="shared" si="12"/>
        <v>8.3079584775086524</v>
      </c>
      <c r="BC6" s="3">
        <v>3</v>
      </c>
      <c r="BD6" s="3">
        <v>3</v>
      </c>
      <c r="BE6" s="12">
        <f t="shared" si="29"/>
        <v>1</v>
      </c>
      <c r="BF6" s="12">
        <f t="shared" si="13"/>
        <v>9.7197231833910003</v>
      </c>
      <c r="BG6" s="3">
        <v>6</v>
      </c>
      <c r="BH6" s="3">
        <v>6</v>
      </c>
      <c r="BI6" s="12">
        <f t="shared" si="30"/>
        <v>1</v>
      </c>
      <c r="BJ6" s="12">
        <f t="shared" si="14"/>
        <v>1.3840830449826891E-2</v>
      </c>
      <c r="BK6" s="3">
        <v>2</v>
      </c>
      <c r="BL6" s="3">
        <v>2</v>
      </c>
      <c r="BM6" s="12">
        <f t="shared" si="31"/>
        <v>1</v>
      </c>
      <c r="BN6" s="12">
        <f t="shared" si="15"/>
        <v>16.955017301038058</v>
      </c>
      <c r="BO6" s="4">
        <f>COUNT(C6,G6,K6,O6,S6,W6,AA6,AE6,AI6,AM6,AQ6,AU6,AY6,BC6,BG6,BK6,#REF!,#REF!,#REF!,#REF!,#REF!,#REF!,#REF!,#REF!,#REF!,#REF!,#REF!,#REF!,#REF!,#REF!,#REF!,#REF!,#REF!,#REF!,#REF!,#REF!,#REF!,#REF!,#REF!,#REF!,#REF!,#REF!,#REF!,#REF!,#REF!)</f>
        <v>16</v>
      </c>
      <c r="BP6" s="15">
        <f>(E6+I6+M6+Q6+U6+Y6+AC6+AG6+AK6+AO6+AS6+AW6+BA6+BE6+BI6+BM6)*100/BO6</f>
        <v>97.023809523809518</v>
      </c>
      <c r="BQ6" s="15">
        <f t="shared" si="33"/>
        <v>6.117647058823529</v>
      </c>
      <c r="BR6" s="15">
        <f t="shared" si="34"/>
        <v>3.1458216369696324</v>
      </c>
      <c r="BS6" s="16">
        <f t="shared" si="35"/>
        <v>97.023809523809518</v>
      </c>
      <c r="BT6" s="17" t="s">
        <v>3</v>
      </c>
      <c r="BU6" s="24">
        <f t="shared" si="36"/>
        <v>3.1458216369696324</v>
      </c>
      <c r="BV6" s="4" t="str">
        <f t="shared" si="37"/>
        <v>отлично</v>
      </c>
    </row>
    <row r="7" spans="1:74" ht="54" customHeight="1" thickBot="1" x14ac:dyDescent="0.3">
      <c r="A7" s="21">
        <v>5</v>
      </c>
      <c r="B7" s="31" t="s">
        <v>11</v>
      </c>
      <c r="C7" s="3">
        <v>10</v>
      </c>
      <c r="D7" s="3">
        <v>10</v>
      </c>
      <c r="E7" s="8">
        <f t="shared" si="16"/>
        <v>1</v>
      </c>
      <c r="F7" s="12">
        <f t="shared" si="0"/>
        <v>11.242214532871969</v>
      </c>
      <c r="G7" s="3">
        <v>9</v>
      </c>
      <c r="H7" s="5">
        <v>9</v>
      </c>
      <c r="I7" s="12">
        <f t="shared" si="17"/>
        <v>1</v>
      </c>
      <c r="J7" s="12">
        <f t="shared" si="1"/>
        <v>5.5363321799307945</v>
      </c>
      <c r="K7" s="3">
        <v>8</v>
      </c>
      <c r="L7" s="5">
        <v>8</v>
      </c>
      <c r="M7" s="12">
        <f t="shared" si="18"/>
        <v>1</v>
      </c>
      <c r="N7" s="12">
        <f t="shared" si="2"/>
        <v>1.8304498269896183</v>
      </c>
      <c r="O7" s="3">
        <v>10</v>
      </c>
      <c r="P7" s="5">
        <v>10</v>
      </c>
      <c r="Q7" s="12">
        <f t="shared" si="19"/>
        <v>1</v>
      </c>
      <c r="R7" s="12">
        <f t="shared" si="3"/>
        <v>11.242214532871969</v>
      </c>
      <c r="S7" s="3">
        <v>9</v>
      </c>
      <c r="T7" s="3">
        <v>9</v>
      </c>
      <c r="U7" s="12">
        <f t="shared" si="20"/>
        <v>1</v>
      </c>
      <c r="V7" s="12">
        <f t="shared" si="4"/>
        <v>5.5363321799307945</v>
      </c>
      <c r="W7" s="3">
        <v>8</v>
      </c>
      <c r="X7" s="5">
        <v>8</v>
      </c>
      <c r="Y7" s="12">
        <f t="shared" si="21"/>
        <v>1</v>
      </c>
      <c r="Z7" s="12">
        <f t="shared" si="5"/>
        <v>1.8304498269896183</v>
      </c>
      <c r="AA7" s="3">
        <v>9</v>
      </c>
      <c r="AB7" s="3">
        <v>9</v>
      </c>
      <c r="AC7" s="12">
        <f t="shared" si="22"/>
        <v>1</v>
      </c>
      <c r="AD7" s="12">
        <f t="shared" si="6"/>
        <v>5.5363321799307945</v>
      </c>
      <c r="AE7" s="3">
        <v>9</v>
      </c>
      <c r="AF7" s="5">
        <v>9</v>
      </c>
      <c r="AG7" s="12">
        <f t="shared" si="23"/>
        <v>1</v>
      </c>
      <c r="AH7" s="12">
        <f t="shared" si="7"/>
        <v>5.5363321799307945</v>
      </c>
      <c r="AI7" s="3">
        <v>6</v>
      </c>
      <c r="AJ7" s="3">
        <v>6</v>
      </c>
      <c r="AK7" s="12">
        <f t="shared" si="24"/>
        <v>1</v>
      </c>
      <c r="AL7" s="12">
        <f t="shared" si="8"/>
        <v>0.41868512110726691</v>
      </c>
      <c r="AM7" s="3">
        <v>9</v>
      </c>
      <c r="AN7" s="3">
        <v>7</v>
      </c>
      <c r="AO7" s="12">
        <f t="shared" si="25"/>
        <v>0.77777777777777779</v>
      </c>
      <c r="AP7" s="12">
        <f t="shared" si="9"/>
        <v>0.12456747404844265</v>
      </c>
      <c r="AQ7" s="3">
        <v>8</v>
      </c>
      <c r="AR7" s="5">
        <v>7</v>
      </c>
      <c r="AS7" s="12">
        <f t="shared" si="26"/>
        <v>0.875</v>
      </c>
      <c r="AT7" s="12">
        <f t="shared" si="10"/>
        <v>0.12456747404844265</v>
      </c>
      <c r="AU7" s="3">
        <v>3</v>
      </c>
      <c r="AV7" s="3">
        <v>3</v>
      </c>
      <c r="AW7" s="12">
        <f t="shared" si="27"/>
        <v>1</v>
      </c>
      <c r="AX7" s="12">
        <f t="shared" si="11"/>
        <v>13.301038062283739</v>
      </c>
      <c r="AY7" s="3">
        <v>8</v>
      </c>
      <c r="AZ7" s="3">
        <v>8</v>
      </c>
      <c r="BA7" s="12">
        <f t="shared" si="28"/>
        <v>1</v>
      </c>
      <c r="BB7" s="12">
        <f t="shared" si="12"/>
        <v>1.8304498269896183</v>
      </c>
      <c r="BC7" s="3">
        <v>3</v>
      </c>
      <c r="BD7" s="3">
        <v>3</v>
      </c>
      <c r="BE7" s="12">
        <f t="shared" si="29"/>
        <v>1</v>
      </c>
      <c r="BF7" s="12">
        <f t="shared" si="13"/>
        <v>13.301038062283739</v>
      </c>
      <c r="BG7" s="3">
        <v>6</v>
      </c>
      <c r="BH7" s="3">
        <v>6</v>
      </c>
      <c r="BI7" s="12">
        <f t="shared" si="30"/>
        <v>1</v>
      </c>
      <c r="BJ7" s="12">
        <f t="shared" si="14"/>
        <v>0.41868512110726691</v>
      </c>
      <c r="BK7" s="3">
        <v>1</v>
      </c>
      <c r="BL7" s="3">
        <v>1</v>
      </c>
      <c r="BM7" s="12">
        <f t="shared" si="31"/>
        <v>1</v>
      </c>
      <c r="BN7" s="12">
        <f t="shared" si="15"/>
        <v>31.889273356401389</v>
      </c>
      <c r="BO7" s="4">
        <f>COUNT(C7,G7,K7,O7,S7,W7,AA7,AE7,AI7,AM7,AQ7,AU7,AY7,BC7,BG7,BK7,#REF!,#REF!,#REF!,#REF!,#REF!,#REF!,#REF!,#REF!,#REF!,#REF!,#REF!,#REF!,#REF!,#REF!,#REF!,#REF!,#REF!,#REF!,#REF!,#REF!,#REF!,#REF!,#REF!,#REF!,#REF!,#REF!,#REF!,#REF!,#REF!)</f>
        <v>16</v>
      </c>
      <c r="BP7" s="15">
        <f t="shared" si="32"/>
        <v>97.829861111111114</v>
      </c>
      <c r="BQ7" s="15">
        <f t="shared" si="33"/>
        <v>6.6470588235294121</v>
      </c>
      <c r="BR7" s="15">
        <f t="shared" si="34"/>
        <v>2.6184318057011273</v>
      </c>
      <c r="BS7" s="16">
        <f t="shared" si="35"/>
        <v>97.829861111111114</v>
      </c>
      <c r="BT7" s="17" t="s">
        <v>3</v>
      </c>
      <c r="BU7" s="24">
        <f t="shared" si="36"/>
        <v>2.6184318057011273</v>
      </c>
      <c r="BV7" s="4" t="str">
        <f t="shared" si="37"/>
        <v>отлично</v>
      </c>
    </row>
    <row r="8" spans="1:74" ht="48.75" customHeight="1" thickBot="1" x14ac:dyDescent="0.3">
      <c r="A8" s="21">
        <v>6</v>
      </c>
      <c r="B8" s="31" t="s">
        <v>12</v>
      </c>
      <c r="C8" s="3">
        <v>10</v>
      </c>
      <c r="D8" s="3">
        <v>10</v>
      </c>
      <c r="E8" s="8">
        <f t="shared" si="16"/>
        <v>1</v>
      </c>
      <c r="F8" s="12">
        <f t="shared" si="0"/>
        <v>7.3217993079584787</v>
      </c>
      <c r="G8" s="3">
        <v>9</v>
      </c>
      <c r="H8" s="5">
        <v>9</v>
      </c>
      <c r="I8" s="12">
        <f t="shared" si="17"/>
        <v>1</v>
      </c>
      <c r="J8" s="12">
        <f t="shared" si="1"/>
        <v>2.910034602076125</v>
      </c>
      <c r="K8" s="3">
        <v>8</v>
      </c>
      <c r="L8" s="5">
        <v>8</v>
      </c>
      <c r="M8" s="12">
        <f t="shared" si="18"/>
        <v>1</v>
      </c>
      <c r="N8" s="12">
        <f t="shared" si="2"/>
        <v>0.49826989619377182</v>
      </c>
      <c r="O8" s="3">
        <v>10</v>
      </c>
      <c r="P8" s="5">
        <v>10</v>
      </c>
      <c r="Q8" s="12">
        <f t="shared" si="19"/>
        <v>1</v>
      </c>
      <c r="R8" s="12">
        <f t="shared" si="3"/>
        <v>7.3217993079584787</v>
      </c>
      <c r="S8" s="3">
        <v>9</v>
      </c>
      <c r="T8" s="3">
        <v>9</v>
      </c>
      <c r="U8" s="12">
        <f t="shared" si="20"/>
        <v>1</v>
      </c>
      <c r="V8" s="12">
        <f t="shared" si="4"/>
        <v>2.910034602076125</v>
      </c>
      <c r="W8" s="3">
        <v>8</v>
      </c>
      <c r="X8" s="5">
        <v>8</v>
      </c>
      <c r="Y8" s="12">
        <f t="shared" si="21"/>
        <v>1</v>
      </c>
      <c r="Z8" s="12">
        <f t="shared" si="5"/>
        <v>0.49826989619377182</v>
      </c>
      <c r="AA8" s="3">
        <v>9</v>
      </c>
      <c r="AB8" s="3">
        <v>9</v>
      </c>
      <c r="AC8" s="12">
        <f t="shared" si="22"/>
        <v>1</v>
      </c>
      <c r="AD8" s="12">
        <f t="shared" si="6"/>
        <v>2.910034602076125</v>
      </c>
      <c r="AE8" s="3">
        <v>9</v>
      </c>
      <c r="AF8" s="5">
        <v>9</v>
      </c>
      <c r="AG8" s="12">
        <f t="shared" si="23"/>
        <v>1</v>
      </c>
      <c r="AH8" s="12">
        <f t="shared" si="7"/>
        <v>2.910034602076125</v>
      </c>
      <c r="AI8" s="3">
        <v>10</v>
      </c>
      <c r="AJ8" s="3">
        <v>10</v>
      </c>
      <c r="AK8" s="12">
        <f t="shared" si="24"/>
        <v>1</v>
      </c>
      <c r="AL8" s="12">
        <f t="shared" si="8"/>
        <v>7.3217993079584787</v>
      </c>
      <c r="AM8" s="3">
        <v>10</v>
      </c>
      <c r="AN8" s="3">
        <v>10</v>
      </c>
      <c r="AO8" s="12">
        <f t="shared" si="25"/>
        <v>1</v>
      </c>
      <c r="AP8" s="12">
        <f t="shared" si="9"/>
        <v>7.3217993079584787</v>
      </c>
      <c r="AQ8" s="3">
        <v>6</v>
      </c>
      <c r="AR8" s="5">
        <v>5</v>
      </c>
      <c r="AS8" s="12">
        <f t="shared" si="26"/>
        <v>0.83333333333333337</v>
      </c>
      <c r="AT8" s="12">
        <f t="shared" si="10"/>
        <v>5.2629757785467124</v>
      </c>
      <c r="AU8" s="3">
        <v>3</v>
      </c>
      <c r="AV8" s="3">
        <v>3</v>
      </c>
      <c r="AW8" s="12">
        <f t="shared" si="27"/>
        <v>1</v>
      </c>
      <c r="AX8" s="12">
        <f t="shared" si="11"/>
        <v>18.439446366782004</v>
      </c>
      <c r="AY8" s="3">
        <v>10</v>
      </c>
      <c r="AZ8" s="3">
        <v>10</v>
      </c>
      <c r="BA8" s="12">
        <f t="shared" si="28"/>
        <v>1</v>
      </c>
      <c r="BB8" s="12">
        <f t="shared" si="12"/>
        <v>7.3217993079584787</v>
      </c>
      <c r="BC8" s="3">
        <v>3</v>
      </c>
      <c r="BD8" s="3">
        <v>3</v>
      </c>
      <c r="BE8" s="12">
        <f t="shared" si="29"/>
        <v>1</v>
      </c>
      <c r="BF8" s="12">
        <f t="shared" si="13"/>
        <v>18.439446366782004</v>
      </c>
      <c r="BG8" s="3">
        <v>6</v>
      </c>
      <c r="BH8" s="3">
        <v>6</v>
      </c>
      <c r="BI8" s="12">
        <f t="shared" si="30"/>
        <v>1</v>
      </c>
      <c r="BJ8" s="12">
        <f t="shared" si="14"/>
        <v>1.6747404844290654</v>
      </c>
      <c r="BK8" s="3">
        <v>5</v>
      </c>
      <c r="BL8" s="3">
        <v>5</v>
      </c>
      <c r="BM8" s="12">
        <f t="shared" si="31"/>
        <v>1</v>
      </c>
      <c r="BN8" s="12">
        <f t="shared" si="15"/>
        <v>5.2629757785467124</v>
      </c>
      <c r="BO8" s="4">
        <f>COUNT(C8,G8,K8,O8,S8,W8,AA8,AE8,AI8,AM8,AQ8,AU8,AY8,BC8,BG8,BK8,#REF!,#REF!,#REF!,#REF!,#REF!,#REF!,#REF!,#REF!,#REF!,#REF!,#REF!,#REF!,#REF!,#REF!,#REF!,#REF!,#REF!,#REF!,#REF!,#REF!,#REF!,#REF!,#REF!,#REF!,#REF!,#REF!,#REF!,#REF!,#REF!)</f>
        <v>16</v>
      </c>
      <c r="BP8" s="15">
        <f t="shared" si="32"/>
        <v>98.958333333333343</v>
      </c>
      <c r="BQ8" s="15">
        <f t="shared" si="33"/>
        <v>7.2941176470588234</v>
      </c>
      <c r="BR8" s="15">
        <f t="shared" si="34"/>
        <v>2.4789773536124091</v>
      </c>
      <c r="BS8" s="16">
        <f t="shared" si="35"/>
        <v>98.958333333333343</v>
      </c>
      <c r="BT8" s="17" t="s">
        <v>3</v>
      </c>
      <c r="BU8" s="24">
        <f t="shared" si="36"/>
        <v>2.4789773536124091</v>
      </c>
      <c r="BV8" s="4" t="str">
        <f t="shared" si="37"/>
        <v>отлично</v>
      </c>
    </row>
    <row r="9" spans="1:74" ht="77.25" customHeight="1" thickBot="1" x14ac:dyDescent="0.3">
      <c r="A9" s="21">
        <v>7</v>
      </c>
      <c r="B9" s="31" t="s">
        <v>16</v>
      </c>
      <c r="C9" s="3">
        <v>10</v>
      </c>
      <c r="D9" s="3">
        <v>10</v>
      </c>
      <c r="E9" s="8">
        <f t="shared" si="16"/>
        <v>1</v>
      </c>
      <c r="F9" s="12">
        <f t="shared" si="0"/>
        <v>9.7197231833910003</v>
      </c>
      <c r="G9" s="3">
        <v>9</v>
      </c>
      <c r="H9" s="5">
        <v>9</v>
      </c>
      <c r="I9" s="12">
        <f t="shared" si="17"/>
        <v>1</v>
      </c>
      <c r="J9" s="12">
        <f t="shared" si="1"/>
        <v>4.4844290657439432</v>
      </c>
      <c r="K9" s="3">
        <v>8</v>
      </c>
      <c r="L9" s="5">
        <v>8</v>
      </c>
      <c r="M9" s="12">
        <f t="shared" si="18"/>
        <v>1</v>
      </c>
      <c r="N9" s="12">
        <f t="shared" si="2"/>
        <v>1.249134948096885</v>
      </c>
      <c r="O9" s="3">
        <v>10</v>
      </c>
      <c r="P9" s="5">
        <v>10</v>
      </c>
      <c r="Q9" s="12">
        <f t="shared" si="19"/>
        <v>1</v>
      </c>
      <c r="R9" s="12">
        <f t="shared" si="3"/>
        <v>9.7197231833910003</v>
      </c>
      <c r="S9" s="3">
        <v>9</v>
      </c>
      <c r="T9" s="3">
        <v>9</v>
      </c>
      <c r="U9" s="12">
        <f t="shared" si="20"/>
        <v>1</v>
      </c>
      <c r="V9" s="12">
        <f t="shared" si="4"/>
        <v>4.4844290657439432</v>
      </c>
      <c r="W9" s="3">
        <v>8</v>
      </c>
      <c r="X9" s="5">
        <v>8</v>
      </c>
      <c r="Y9" s="12">
        <f t="shared" si="21"/>
        <v>1</v>
      </c>
      <c r="Z9" s="12">
        <f t="shared" si="5"/>
        <v>1.249134948096885</v>
      </c>
      <c r="AA9" s="3">
        <v>9</v>
      </c>
      <c r="AB9" s="3">
        <v>9</v>
      </c>
      <c r="AC9" s="12">
        <f t="shared" si="22"/>
        <v>1</v>
      </c>
      <c r="AD9" s="12">
        <f t="shared" si="6"/>
        <v>4.4844290657439432</v>
      </c>
      <c r="AE9" s="3">
        <v>9</v>
      </c>
      <c r="AF9" s="5">
        <v>9</v>
      </c>
      <c r="AG9" s="12">
        <f t="shared" si="23"/>
        <v>1</v>
      </c>
      <c r="AH9" s="12">
        <f t="shared" si="7"/>
        <v>4.4844290657439432</v>
      </c>
      <c r="AI9" s="3">
        <v>9</v>
      </c>
      <c r="AJ9" s="3">
        <v>9</v>
      </c>
      <c r="AK9" s="12">
        <f t="shared" si="24"/>
        <v>1</v>
      </c>
      <c r="AL9" s="12">
        <f t="shared" si="8"/>
        <v>4.4844290657439432</v>
      </c>
      <c r="AM9" s="3">
        <v>6</v>
      </c>
      <c r="AN9" s="3">
        <v>6</v>
      </c>
      <c r="AO9" s="12">
        <f t="shared" si="25"/>
        <v>1</v>
      </c>
      <c r="AP9" s="12">
        <f t="shared" si="9"/>
        <v>0.77854671280276888</v>
      </c>
      <c r="AQ9" s="3">
        <v>7</v>
      </c>
      <c r="AR9" s="5">
        <v>7</v>
      </c>
      <c r="AS9" s="12">
        <f t="shared" si="26"/>
        <v>1</v>
      </c>
      <c r="AT9" s="12">
        <f t="shared" si="10"/>
        <v>1.3840830449826891E-2</v>
      </c>
      <c r="AU9" s="3">
        <v>3</v>
      </c>
      <c r="AV9" s="3">
        <v>3</v>
      </c>
      <c r="AW9" s="12">
        <f t="shared" si="27"/>
        <v>1</v>
      </c>
      <c r="AX9" s="12">
        <f t="shared" si="11"/>
        <v>15.072664359861594</v>
      </c>
      <c r="AY9" s="3">
        <v>6</v>
      </c>
      <c r="AZ9" s="3">
        <v>6</v>
      </c>
      <c r="BA9" s="12">
        <f t="shared" si="28"/>
        <v>1</v>
      </c>
      <c r="BB9" s="12">
        <f t="shared" si="12"/>
        <v>0.77854671280276888</v>
      </c>
      <c r="BC9" s="3">
        <v>3</v>
      </c>
      <c r="BD9" s="3">
        <v>3</v>
      </c>
      <c r="BE9" s="12">
        <f t="shared" si="29"/>
        <v>1</v>
      </c>
      <c r="BF9" s="12">
        <f t="shared" si="13"/>
        <v>15.072664359861594</v>
      </c>
      <c r="BG9" s="3">
        <v>6</v>
      </c>
      <c r="BH9" s="3">
        <v>6</v>
      </c>
      <c r="BI9" s="12">
        <f t="shared" si="30"/>
        <v>1</v>
      </c>
      <c r="BJ9" s="12">
        <f t="shared" si="14"/>
        <v>0.77854671280276888</v>
      </c>
      <c r="BK9" s="3">
        <v>6</v>
      </c>
      <c r="BL9" s="3">
        <v>5</v>
      </c>
      <c r="BM9" s="12">
        <f t="shared" si="31"/>
        <v>0.83333333333333337</v>
      </c>
      <c r="BN9" s="12">
        <f t="shared" si="15"/>
        <v>3.5432525951557108</v>
      </c>
      <c r="BO9" s="4">
        <f>COUNT(C9,G9,K9,O9,S9,W9,AA9,AE9,AI9,AM9,AQ9,AU9,AY9,BC9,BG9,BK9,#REF!,#REF!,#REF!,#REF!,#REF!,#REF!,#REF!,#REF!,#REF!,#REF!,#REF!,#REF!,#REF!,#REF!,#REF!,#REF!,#REF!,#REF!,#REF!,#REF!,#REF!,#REF!,#REF!,#REF!,#REF!,#REF!,#REF!,#REF!,#REF!)</f>
        <v>16</v>
      </c>
      <c r="BP9" s="15">
        <f t="shared" si="32"/>
        <v>98.958333333333343</v>
      </c>
      <c r="BQ9" s="15">
        <f t="shared" si="33"/>
        <v>6.882352941176471</v>
      </c>
      <c r="BR9" s="15">
        <f t="shared" si="34"/>
        <v>2.2416222345021768</v>
      </c>
      <c r="BS9" s="16">
        <f t="shared" si="35"/>
        <v>98.958333333333343</v>
      </c>
      <c r="BT9" s="17" t="s">
        <v>3</v>
      </c>
      <c r="BU9" s="24">
        <f t="shared" si="36"/>
        <v>2.2416222345021768</v>
      </c>
      <c r="BV9" s="4" t="str">
        <f t="shared" si="37"/>
        <v>отлично</v>
      </c>
    </row>
    <row r="10" spans="1:74" ht="85.5" customHeight="1" thickBot="1" x14ac:dyDescent="0.3">
      <c r="A10" s="21">
        <v>8</v>
      </c>
      <c r="B10" s="31" t="s">
        <v>17</v>
      </c>
      <c r="C10" s="3">
        <v>10</v>
      </c>
      <c r="D10" s="3">
        <v>10</v>
      </c>
      <c r="E10" s="8">
        <f t="shared" si="16"/>
        <v>1</v>
      </c>
      <c r="F10" s="12">
        <f t="shared" si="0"/>
        <v>6.6989619377162617</v>
      </c>
      <c r="G10" s="3">
        <v>9</v>
      </c>
      <c r="H10" s="5">
        <v>9</v>
      </c>
      <c r="I10" s="12">
        <f t="shared" si="17"/>
        <v>1</v>
      </c>
      <c r="J10" s="12">
        <f t="shared" si="1"/>
        <v>2.5224913494809678</v>
      </c>
      <c r="K10" s="3">
        <v>8</v>
      </c>
      <c r="L10" s="5">
        <v>8</v>
      </c>
      <c r="M10" s="12">
        <f t="shared" si="18"/>
        <v>1</v>
      </c>
      <c r="N10" s="12">
        <f t="shared" si="2"/>
        <v>0.34602076124567438</v>
      </c>
      <c r="O10" s="3">
        <v>10</v>
      </c>
      <c r="P10" s="5">
        <v>10</v>
      </c>
      <c r="Q10" s="12">
        <f t="shared" si="19"/>
        <v>1</v>
      </c>
      <c r="R10" s="12">
        <f t="shared" si="3"/>
        <v>6.6989619377162617</v>
      </c>
      <c r="S10" s="3">
        <v>9</v>
      </c>
      <c r="T10" s="3">
        <v>9</v>
      </c>
      <c r="U10" s="12">
        <f t="shared" si="20"/>
        <v>1</v>
      </c>
      <c r="V10" s="12">
        <f t="shared" si="4"/>
        <v>2.5224913494809678</v>
      </c>
      <c r="W10" s="3">
        <v>8</v>
      </c>
      <c r="X10" s="5">
        <v>8</v>
      </c>
      <c r="Y10" s="12">
        <f t="shared" si="21"/>
        <v>1</v>
      </c>
      <c r="Z10" s="12">
        <f t="shared" si="5"/>
        <v>0.34602076124567438</v>
      </c>
      <c r="AA10" s="3">
        <v>9</v>
      </c>
      <c r="AB10" s="3">
        <v>9</v>
      </c>
      <c r="AC10" s="12">
        <f t="shared" si="22"/>
        <v>1</v>
      </c>
      <c r="AD10" s="12">
        <f t="shared" si="6"/>
        <v>2.5224913494809678</v>
      </c>
      <c r="AE10" s="3">
        <v>9</v>
      </c>
      <c r="AF10" s="5">
        <v>9</v>
      </c>
      <c r="AG10" s="12">
        <f t="shared" si="23"/>
        <v>1</v>
      </c>
      <c r="AH10" s="12">
        <f t="shared" si="7"/>
        <v>2.5224913494809678</v>
      </c>
      <c r="AI10" s="3">
        <v>10</v>
      </c>
      <c r="AJ10" s="3">
        <v>10</v>
      </c>
      <c r="AK10" s="12">
        <f t="shared" si="24"/>
        <v>1</v>
      </c>
      <c r="AL10" s="12">
        <f t="shared" si="8"/>
        <v>6.6989619377162617</v>
      </c>
      <c r="AM10" s="3">
        <v>9</v>
      </c>
      <c r="AN10" s="3">
        <v>9</v>
      </c>
      <c r="AO10" s="12">
        <f t="shared" si="25"/>
        <v>1</v>
      </c>
      <c r="AP10" s="12">
        <f t="shared" si="9"/>
        <v>2.5224913494809678</v>
      </c>
      <c r="AQ10" s="3">
        <v>8</v>
      </c>
      <c r="AR10" s="5">
        <v>7</v>
      </c>
      <c r="AS10" s="12">
        <f t="shared" si="26"/>
        <v>0.875</v>
      </c>
      <c r="AT10" s="12">
        <f t="shared" si="10"/>
        <v>0.16955017301038089</v>
      </c>
      <c r="AU10" s="3">
        <v>3</v>
      </c>
      <c r="AV10" s="3">
        <v>3</v>
      </c>
      <c r="AW10" s="12">
        <f t="shared" si="27"/>
        <v>1</v>
      </c>
      <c r="AX10" s="12">
        <f t="shared" si="11"/>
        <v>19.463667820069208</v>
      </c>
      <c r="AY10" s="3">
        <v>7</v>
      </c>
      <c r="AZ10" s="3">
        <v>7</v>
      </c>
      <c r="BA10" s="12">
        <f t="shared" si="28"/>
        <v>1</v>
      </c>
      <c r="BB10" s="12">
        <f t="shared" si="12"/>
        <v>0.16955017301038089</v>
      </c>
      <c r="BC10" s="3">
        <v>3</v>
      </c>
      <c r="BD10" s="3">
        <v>3</v>
      </c>
      <c r="BE10" s="12">
        <f t="shared" si="29"/>
        <v>1</v>
      </c>
      <c r="BF10" s="12">
        <f t="shared" si="13"/>
        <v>19.463667820069208</v>
      </c>
      <c r="BG10" s="3">
        <v>6</v>
      </c>
      <c r="BH10" s="3">
        <v>6</v>
      </c>
      <c r="BI10" s="12">
        <f t="shared" si="30"/>
        <v>1</v>
      </c>
      <c r="BJ10" s="12">
        <f t="shared" si="14"/>
        <v>1.9930795847750873</v>
      </c>
      <c r="BK10" s="3">
        <v>9</v>
      </c>
      <c r="BL10" s="3">
        <v>9</v>
      </c>
      <c r="BM10" s="12">
        <f t="shared" si="31"/>
        <v>1</v>
      </c>
      <c r="BN10" s="12">
        <f t="shared" si="15"/>
        <v>2.5224913494809678</v>
      </c>
      <c r="BO10" s="4">
        <f>COUNT(C10,G10,K10,O10,S10,W10,AA10,AE10,AI10,AM10,AQ10,AU10,AY10,BC10,BG10,BK10,#REF!,#REF!,#REF!,#REF!,#REF!,#REF!,#REF!,#REF!,#REF!,#REF!,#REF!,#REF!,#REF!,#REF!,#REF!,#REF!,#REF!,#REF!,#REF!,#REF!,#REF!,#REF!,#REF!,#REF!,#REF!,#REF!,#REF!,#REF!,#REF!)</f>
        <v>16</v>
      </c>
      <c r="BP10" s="15">
        <f t="shared" si="32"/>
        <v>99.21875</v>
      </c>
      <c r="BQ10" s="15">
        <f t="shared" si="33"/>
        <v>7.4117647058823533</v>
      </c>
      <c r="BR10" s="15">
        <f t="shared" si="34"/>
        <v>2.1963519612567253</v>
      </c>
      <c r="BS10" s="16">
        <f t="shared" si="35"/>
        <v>99.21875</v>
      </c>
      <c r="BT10" s="17" t="s">
        <v>3</v>
      </c>
      <c r="BU10" s="24">
        <f t="shared" si="36"/>
        <v>2.1963519612567253</v>
      </c>
      <c r="BV10" s="4" t="str">
        <f t="shared" si="37"/>
        <v>отлично</v>
      </c>
    </row>
    <row r="11" spans="1:74" ht="48" customHeight="1" thickBot="1" x14ac:dyDescent="0.3">
      <c r="A11" s="21">
        <v>9</v>
      </c>
      <c r="B11" s="31" t="s">
        <v>18</v>
      </c>
      <c r="C11" s="3">
        <v>10</v>
      </c>
      <c r="D11" s="3">
        <v>10</v>
      </c>
      <c r="E11" s="8">
        <f t="shared" si="16"/>
        <v>1</v>
      </c>
      <c r="F11" s="12">
        <f t="shared" si="0"/>
        <v>4.7370242214532885</v>
      </c>
      <c r="G11" s="3">
        <v>10</v>
      </c>
      <c r="H11" s="5">
        <v>10</v>
      </c>
      <c r="I11" s="12">
        <f t="shared" si="17"/>
        <v>1</v>
      </c>
      <c r="J11" s="12">
        <f t="shared" si="1"/>
        <v>4.7370242214532885</v>
      </c>
      <c r="K11" s="3">
        <v>10</v>
      </c>
      <c r="L11" s="5">
        <v>10</v>
      </c>
      <c r="M11" s="12">
        <f t="shared" si="18"/>
        <v>1</v>
      </c>
      <c r="N11" s="12">
        <f t="shared" si="2"/>
        <v>4.7370242214532885</v>
      </c>
      <c r="O11" s="3">
        <v>10</v>
      </c>
      <c r="P11" s="5">
        <v>10</v>
      </c>
      <c r="Q11" s="12">
        <f t="shared" si="19"/>
        <v>1</v>
      </c>
      <c r="R11" s="12">
        <f t="shared" si="3"/>
        <v>4.7370242214532885</v>
      </c>
      <c r="S11" s="3">
        <v>10</v>
      </c>
      <c r="T11" s="3">
        <v>10</v>
      </c>
      <c r="U11" s="12">
        <f t="shared" si="20"/>
        <v>1</v>
      </c>
      <c r="V11" s="12">
        <f t="shared" si="4"/>
        <v>4.7370242214532885</v>
      </c>
      <c r="W11" s="3">
        <v>8</v>
      </c>
      <c r="X11" s="3">
        <v>8</v>
      </c>
      <c r="Y11" s="12">
        <f t="shared" si="21"/>
        <v>1</v>
      </c>
      <c r="Z11" s="12">
        <f t="shared" si="5"/>
        <v>3.1141868512110819E-2</v>
      </c>
      <c r="AA11" s="3">
        <v>9</v>
      </c>
      <c r="AB11" s="3">
        <v>9</v>
      </c>
      <c r="AC11" s="12">
        <f t="shared" si="22"/>
        <v>1</v>
      </c>
      <c r="AD11" s="12">
        <f t="shared" si="6"/>
        <v>1.3840830449826995</v>
      </c>
      <c r="AE11" s="3">
        <v>9</v>
      </c>
      <c r="AF11" s="5">
        <v>9</v>
      </c>
      <c r="AG11" s="12">
        <f t="shared" si="23"/>
        <v>1</v>
      </c>
      <c r="AH11" s="12">
        <f t="shared" si="7"/>
        <v>1.3840830449826995</v>
      </c>
      <c r="AI11" s="3">
        <v>9</v>
      </c>
      <c r="AJ11" s="3">
        <v>9</v>
      </c>
      <c r="AK11" s="12">
        <f t="shared" si="24"/>
        <v>1</v>
      </c>
      <c r="AL11" s="12">
        <f t="shared" si="8"/>
        <v>1.3840830449826995</v>
      </c>
      <c r="AM11" s="3">
        <v>10</v>
      </c>
      <c r="AN11" s="3">
        <v>10</v>
      </c>
      <c r="AO11" s="12">
        <f t="shared" si="25"/>
        <v>1</v>
      </c>
      <c r="AP11" s="12">
        <f t="shared" si="9"/>
        <v>4.7370242214532885</v>
      </c>
      <c r="AQ11" s="3">
        <v>9</v>
      </c>
      <c r="AR11" s="5">
        <v>8</v>
      </c>
      <c r="AS11" s="12">
        <f t="shared" si="26"/>
        <v>0.88888888888888884</v>
      </c>
      <c r="AT11" s="12">
        <f t="shared" si="10"/>
        <v>3.1141868512110819E-2</v>
      </c>
      <c r="AU11" s="3">
        <v>3</v>
      </c>
      <c r="AV11" s="3">
        <v>3</v>
      </c>
      <c r="AW11" s="12">
        <f t="shared" si="27"/>
        <v>1</v>
      </c>
      <c r="AX11" s="12">
        <f t="shared" si="11"/>
        <v>23.266435986159166</v>
      </c>
      <c r="AY11" s="3">
        <v>9</v>
      </c>
      <c r="AZ11" s="3">
        <v>9</v>
      </c>
      <c r="BA11" s="12">
        <f t="shared" si="28"/>
        <v>1</v>
      </c>
      <c r="BB11" s="12">
        <f t="shared" si="12"/>
        <v>1.3840830449826995</v>
      </c>
      <c r="BC11" s="3">
        <v>3</v>
      </c>
      <c r="BD11" s="3">
        <v>3</v>
      </c>
      <c r="BE11" s="12">
        <f t="shared" si="29"/>
        <v>1</v>
      </c>
      <c r="BF11" s="12">
        <f t="shared" si="13"/>
        <v>23.266435986159166</v>
      </c>
      <c r="BG11" s="3">
        <v>6</v>
      </c>
      <c r="BH11" s="3">
        <v>6</v>
      </c>
      <c r="BI11" s="12">
        <f t="shared" si="30"/>
        <v>1</v>
      </c>
      <c r="BJ11" s="12">
        <f t="shared" si="14"/>
        <v>3.3252595155709335</v>
      </c>
      <c r="BK11" s="3">
        <v>9</v>
      </c>
      <c r="BL11" s="3">
        <v>9</v>
      </c>
      <c r="BM11" s="12">
        <f t="shared" si="31"/>
        <v>1</v>
      </c>
      <c r="BN11" s="12">
        <f t="shared" si="15"/>
        <v>1.3840830449826995</v>
      </c>
      <c r="BO11" s="4">
        <f>COUNT(C11,G11,K11,O11,S11,W11,AA11,AE11,AI11,AM11,AQ11,AU11,AY11,BC11,BG11,BK11,#REF!,#REF!,#REF!,#REF!,#REF!,#REF!,#REF!,#REF!,#REF!,#REF!,#REF!,#REF!,#REF!,#REF!,#REF!,#REF!,#REF!,#REF!,#REF!,#REF!,#REF!,#REF!,#REF!,#REF!,#REF!,#REF!,#REF!,#REF!,#REF!)</f>
        <v>16</v>
      </c>
      <c r="BP11" s="15">
        <f t="shared" si="32"/>
        <v>99.305555555555557</v>
      </c>
      <c r="BQ11" s="15">
        <f t="shared" si="33"/>
        <v>7.8235294117647056</v>
      </c>
      <c r="BR11" s="15">
        <f t="shared" si="34"/>
        <v>2.3084488268443746</v>
      </c>
      <c r="BS11" s="19">
        <f t="shared" si="35"/>
        <v>99.305555555555557</v>
      </c>
      <c r="BT11" s="20" t="s">
        <v>3</v>
      </c>
      <c r="BU11" s="25">
        <f t="shared" si="36"/>
        <v>2.3084488268443746</v>
      </c>
      <c r="BV11" s="4" t="str">
        <f t="shared" si="37"/>
        <v>отлично</v>
      </c>
    </row>
    <row r="12" spans="1:74" ht="15" hidden="1" customHeight="1" x14ac:dyDescent="0.25">
      <c r="B12" s="27" t="s">
        <v>7</v>
      </c>
      <c r="C12" s="13">
        <f>SUM(C3:C11)</f>
        <v>90</v>
      </c>
      <c r="D12" s="13">
        <f>SUM(D3:D11)</f>
        <v>90</v>
      </c>
      <c r="E12" s="8">
        <f t="shared" si="16"/>
        <v>1</v>
      </c>
      <c r="F12" s="12" t="e">
        <f>POWER(D12-#REF!,2)</f>
        <v>#REF!</v>
      </c>
      <c r="G12" s="13">
        <f>SUM(G3:G11)</f>
        <v>82</v>
      </c>
      <c r="H12" s="13">
        <f>SUM(H3:H11)</f>
        <v>82</v>
      </c>
      <c r="I12" s="12">
        <f t="shared" si="17"/>
        <v>1</v>
      </c>
      <c r="J12" s="12" t="e">
        <f>POWER(H12-#REF!,2)</f>
        <v>#REF!</v>
      </c>
      <c r="K12" s="13"/>
      <c r="L12" s="13"/>
      <c r="M12" s="12" t="e">
        <f t="shared" si="18"/>
        <v>#DIV/0!</v>
      </c>
      <c r="N12" s="12" t="e">
        <f>POWER(L12-#REF!,2)</f>
        <v>#REF!</v>
      </c>
      <c r="O12" s="13"/>
      <c r="P12" s="5">
        <v>10</v>
      </c>
      <c r="Q12" s="12" t="e">
        <f t="shared" si="19"/>
        <v>#DIV/0!</v>
      </c>
      <c r="R12" s="12" t="e">
        <f>POWER(P12-#REF!,2)</f>
        <v>#REF!</v>
      </c>
      <c r="S12" s="3">
        <v>10</v>
      </c>
      <c r="T12" s="13"/>
      <c r="U12" s="12">
        <f t="shared" si="20"/>
        <v>0</v>
      </c>
      <c r="V12" s="12" t="e">
        <f>POWER(T12-#REF!,2)</f>
        <v>#REF!</v>
      </c>
      <c r="W12" s="3">
        <v>10</v>
      </c>
      <c r="Y12" s="12">
        <f t="shared" si="21"/>
        <v>0</v>
      </c>
      <c r="Z12" s="12" t="e">
        <f>POWER(X12-#REF!,2)</f>
        <v>#REF!</v>
      </c>
      <c r="AC12" s="12" t="e">
        <f t="shared" si="22"/>
        <v>#DIV/0!</v>
      </c>
      <c r="AD12" s="12" t="e">
        <f>POWER(AB12-#REF!,2)</f>
        <v>#REF!</v>
      </c>
      <c r="AE12" s="3">
        <v>10</v>
      </c>
      <c r="AG12" s="12">
        <f t="shared" si="23"/>
        <v>0</v>
      </c>
      <c r="AH12" s="12" t="e">
        <f>POWER(AF12-#REF!,2)</f>
        <v>#REF!</v>
      </c>
      <c r="AK12" s="12" t="e">
        <f t="shared" si="24"/>
        <v>#DIV/0!</v>
      </c>
      <c r="AL12" s="12" t="e">
        <f>POWER(AJ12-#REF!,2)</f>
        <v>#REF!</v>
      </c>
      <c r="AO12" s="12" t="e">
        <f t="shared" si="25"/>
        <v>#DIV/0!</v>
      </c>
      <c r="AP12" s="12" t="e">
        <f>POWER(AN12-#REF!,2)</f>
        <v>#REF!</v>
      </c>
      <c r="AS12" s="12" t="e">
        <f t="shared" si="26"/>
        <v>#DIV/0!</v>
      </c>
      <c r="AT12" s="12" t="e">
        <f>POWER(AR12-#REF!,2)</f>
        <v>#REF!</v>
      </c>
      <c r="BJ12" s="12" t="e">
        <f t="shared" si="14"/>
        <v>#REF!</v>
      </c>
      <c r="BO12" s="18"/>
      <c r="BP12" s="15" t="e">
        <f>(E12+I12+M12+Q12+U12+Y12+AC12+AG12+AK12+AO12+AS12+AW12+BA12+BE12+BI12+BM12+#REF!+#REF!+#REF!+#REF!+#REF!+#REF!+#REF!+#REF!+#REF!+#REF!+#REF!+#REF!+#REF!+#REF!+#REF!+#REF!+#REF!+#REF!+#REF!+#REF!+#REF!+#REF!+#REF!+#REF!+#REF!)*100/BO12</f>
        <v>#DIV/0!</v>
      </c>
      <c r="BQ12" s="15" t="e">
        <f>AVERAGE(D12,H12,L12,P12,T12,X12,AB12,AF12,AJ12,AN12,AR12,AV12,AZ12,BD12,BH12,BL12,#REF!,#REF!,#REF!,#REF!,#REF!,#REF!,#REF!,#REF!,#REF!,#REF!,#REF!,#REF!,#REF!,#REF!,#REF!,#REF!,#REF!,#REF!,#REF!,#REF!,#REF!,#REF!,#REF!,#REF!,#REF!,#REF!,#REF!,#REF!,#REF!)</f>
        <v>#REF!</v>
      </c>
      <c r="BR12" s="18"/>
      <c r="BS12" s="18"/>
      <c r="BT12" s="18"/>
      <c r="BU12" s="18"/>
    </row>
    <row r="13" spans="1:74" ht="15" hidden="1" customHeight="1" x14ac:dyDescent="0.25">
      <c r="B13" s="27" t="s">
        <v>8</v>
      </c>
      <c r="C13" s="14">
        <f>AVERAGE(C3:C11)</f>
        <v>10</v>
      </c>
      <c r="D13" s="14">
        <f>AVERAGE(D3:D11)</f>
        <v>10</v>
      </c>
      <c r="E13" s="8">
        <f t="shared" si="16"/>
        <v>1</v>
      </c>
      <c r="F13" s="12" t="e">
        <f>POWER(D13-#REF!,2)</f>
        <v>#REF!</v>
      </c>
      <c r="G13" s="14"/>
      <c r="H13" s="14"/>
      <c r="I13" s="12" t="e">
        <f t="shared" si="17"/>
        <v>#DIV/0!</v>
      </c>
      <c r="J13" s="12" t="e">
        <f>POWER(H13-#REF!,2)</f>
        <v>#REF!</v>
      </c>
      <c r="K13" s="14"/>
      <c r="L13" s="14"/>
      <c r="M13" s="12" t="e">
        <f t="shared" si="18"/>
        <v>#DIV/0!</v>
      </c>
      <c r="N13" s="12" t="e">
        <f>POWER(L13-#REF!,2)</f>
        <v>#REF!</v>
      </c>
      <c r="O13" s="14"/>
      <c r="P13" s="5">
        <v>10</v>
      </c>
      <c r="Q13" s="12" t="e">
        <f t="shared" si="19"/>
        <v>#DIV/0!</v>
      </c>
      <c r="R13" s="12" t="e">
        <f>POWER(P13-#REF!,2)</f>
        <v>#REF!</v>
      </c>
      <c r="S13" s="3">
        <v>10</v>
      </c>
      <c r="T13" s="14"/>
      <c r="U13" s="12">
        <f t="shared" si="20"/>
        <v>0</v>
      </c>
      <c r="V13" s="12" t="e">
        <f>POWER(T13-#REF!,2)</f>
        <v>#REF!</v>
      </c>
      <c r="W13" s="3">
        <v>10</v>
      </c>
      <c r="Y13" s="12">
        <f t="shared" si="21"/>
        <v>0</v>
      </c>
      <c r="Z13" s="12" t="e">
        <f>POWER(X13-#REF!,2)</f>
        <v>#REF!</v>
      </c>
      <c r="AC13" s="12" t="e">
        <f t="shared" si="22"/>
        <v>#DIV/0!</v>
      </c>
      <c r="AD13" s="12" t="e">
        <f>POWER(AB13-#REF!,2)</f>
        <v>#REF!</v>
      </c>
      <c r="AE13" s="3">
        <v>10</v>
      </c>
      <c r="AG13" s="12">
        <f t="shared" si="23"/>
        <v>0</v>
      </c>
      <c r="AH13" s="12" t="e">
        <f>POWER(AF13-#REF!,2)</f>
        <v>#REF!</v>
      </c>
      <c r="AK13" s="12" t="e">
        <f t="shared" si="24"/>
        <v>#DIV/0!</v>
      </c>
      <c r="AL13" s="12" t="e">
        <f>POWER(AJ13-#REF!,2)</f>
        <v>#REF!</v>
      </c>
      <c r="AO13" s="12" t="e">
        <f t="shared" si="25"/>
        <v>#DIV/0!</v>
      </c>
      <c r="AP13" s="12" t="e">
        <f>POWER(AN13-#REF!,2)</f>
        <v>#REF!</v>
      </c>
      <c r="AS13" s="12" t="e">
        <f t="shared" si="26"/>
        <v>#DIV/0!</v>
      </c>
      <c r="AT13" s="12" t="e">
        <f>POWER(AR13-#REF!,2)</f>
        <v>#REF!</v>
      </c>
      <c r="BJ13" s="12" t="e">
        <f t="shared" si="14"/>
        <v>#REF!</v>
      </c>
      <c r="BO13" s="18"/>
      <c r="BP13" s="15" t="e">
        <f>(E13+I13+M13+Q13+U13+Y13+AC13+AG13+AK13+AO13+AS13+AW13+BA13+BE13+BI13+BM13+#REF!+#REF!+#REF!+#REF!+#REF!+#REF!+#REF!+#REF!+#REF!+#REF!+#REF!+#REF!+#REF!+#REF!+#REF!+#REF!+#REF!+#REF!+#REF!+#REF!+#REF!+#REF!+#REF!+#REF!+#REF!)*100/BO13</f>
        <v>#DIV/0!</v>
      </c>
      <c r="BQ13" s="15" t="e">
        <f>AVERAGE(D13,H13,L13,P13,T13,X13,AB13,AF13,AJ13,AN13,AR13,AV13,AZ13,BD13,BH13,BL13,#REF!,#REF!,#REF!,#REF!,#REF!,#REF!,#REF!,#REF!,#REF!,#REF!,#REF!,#REF!,#REF!,#REF!,#REF!,#REF!,#REF!,#REF!,#REF!,#REF!,#REF!,#REF!,#REF!,#REF!,#REF!,#REF!,#REF!,#REF!,#REF!)</f>
        <v>#REF!</v>
      </c>
      <c r="BR13" s="18"/>
      <c r="BS13" s="18"/>
      <c r="BT13" s="18"/>
      <c r="BU13" s="18"/>
    </row>
    <row r="14" spans="1:74" ht="15" hidden="1" customHeight="1" x14ac:dyDescent="0.25">
      <c r="B14" s="28" t="s">
        <v>9</v>
      </c>
      <c r="E14" s="8" t="e">
        <f t="shared" si="16"/>
        <v>#DIV/0!</v>
      </c>
      <c r="F14" s="12" t="e">
        <f>POWER(D14-#REF!,2)</f>
        <v>#REF!</v>
      </c>
      <c r="I14" s="12" t="e">
        <f t="shared" si="17"/>
        <v>#DIV/0!</v>
      </c>
      <c r="J14" s="12" t="e">
        <f>POWER(H14-#REF!,2)</f>
        <v>#REF!</v>
      </c>
      <c r="M14" s="12" t="e">
        <f t="shared" si="18"/>
        <v>#DIV/0!</v>
      </c>
      <c r="N14" s="12" t="e">
        <f>POWER(L14-#REF!,2)</f>
        <v>#REF!</v>
      </c>
      <c r="P14" s="5">
        <v>10</v>
      </c>
      <c r="Q14" s="12" t="e">
        <f t="shared" si="19"/>
        <v>#DIV/0!</v>
      </c>
      <c r="R14" s="12" t="e">
        <f>POWER(P14-#REF!,2)</f>
        <v>#REF!</v>
      </c>
      <c r="S14" s="3">
        <v>10</v>
      </c>
      <c r="U14" s="12">
        <f t="shared" si="20"/>
        <v>0</v>
      </c>
      <c r="V14" s="12" t="e">
        <f>POWER(T14-#REF!,2)</f>
        <v>#REF!</v>
      </c>
      <c r="W14" s="47">
        <v>10</v>
      </c>
      <c r="Y14" s="29">
        <f t="shared" si="21"/>
        <v>0</v>
      </c>
      <c r="Z14" s="29" t="e">
        <f>POWER(X14-#REF!,2)</f>
        <v>#REF!</v>
      </c>
      <c r="AC14" s="29" t="e">
        <f t="shared" si="22"/>
        <v>#DIV/0!</v>
      </c>
      <c r="AD14" s="12" t="e">
        <f>POWER(AB14-#REF!,2)</f>
        <v>#REF!</v>
      </c>
      <c r="AE14" s="3">
        <v>10</v>
      </c>
      <c r="AG14" s="12">
        <f t="shared" si="23"/>
        <v>0</v>
      </c>
      <c r="AH14" s="12" t="e">
        <f>POWER(AF14-#REF!,2)</f>
        <v>#REF!</v>
      </c>
      <c r="AK14" s="12" t="e">
        <f t="shared" si="24"/>
        <v>#DIV/0!</v>
      </c>
      <c r="AL14" s="12" t="e">
        <f>POWER(AJ14-#REF!,2)</f>
        <v>#REF!</v>
      </c>
      <c r="AO14" s="12" t="e">
        <f t="shared" si="25"/>
        <v>#DIV/0!</v>
      </c>
      <c r="AP14" s="12" t="e">
        <f>POWER(AN14-#REF!,2)</f>
        <v>#REF!</v>
      </c>
      <c r="AS14" s="12" t="e">
        <f t="shared" si="26"/>
        <v>#DIV/0!</v>
      </c>
      <c r="AT14" s="12" t="e">
        <f>POWER(AR14-#REF!,2)</f>
        <v>#REF!</v>
      </c>
      <c r="BJ14" s="12" t="e">
        <f t="shared" si="14"/>
        <v>#REF!</v>
      </c>
      <c r="BO14" s="18"/>
      <c r="BP14" s="15" t="e">
        <f>(E14+I14+M14+Q14+U14+Y14+AC14+AG14+AK14+AO14+AS14+AW14+BA14+BE14+BI14+BM14+#REF!+#REF!+#REF!+#REF!+#REF!+#REF!+#REF!+#REF!+#REF!+#REF!+#REF!+#REF!+#REF!+#REF!+#REF!+#REF!+#REF!+#REF!+#REF!+#REF!+#REF!+#REF!+#REF!+#REF!+#REF!)*100/BO14</f>
        <v>#DIV/0!</v>
      </c>
      <c r="BQ14" s="15" t="e">
        <f>AVERAGE(D14,H14,L14,P14,T14,X14,AB14,AF14,AJ14,AN14,AR14,AV14,AZ14,BD14,BH14,BL14,#REF!,#REF!,#REF!,#REF!,#REF!,#REF!,#REF!,#REF!,#REF!,#REF!,#REF!,#REF!,#REF!,#REF!,#REF!,#REF!,#REF!,#REF!,#REF!,#REF!,#REF!,#REF!,#REF!,#REF!,#REF!,#REF!,#REF!,#REF!,#REF!)</f>
        <v>#REF!</v>
      </c>
      <c r="BR14" s="18"/>
      <c r="BS14" s="18"/>
      <c r="BT14" s="18"/>
      <c r="BU14" s="18"/>
    </row>
    <row r="15" spans="1:74" ht="43.5" customHeight="1" x14ac:dyDescent="0.25">
      <c r="W15" s="32"/>
      <c r="X15" s="32"/>
      <c r="Y15" s="32"/>
      <c r="Z15" s="32"/>
      <c r="AA15" s="32"/>
      <c r="AB15" s="32"/>
      <c r="AC15" s="32"/>
      <c r="BO15" s="2"/>
      <c r="BP15" s="2"/>
      <c r="BQ15" s="2"/>
      <c r="BR15" s="2"/>
      <c r="BS15" s="2"/>
      <c r="BT15" s="2"/>
      <c r="BU15" s="2"/>
    </row>
    <row r="16" spans="1:74" x14ac:dyDescent="0.25">
      <c r="W16" s="32"/>
      <c r="X16" s="32"/>
      <c r="Y16" s="32"/>
      <c r="Z16" s="32"/>
      <c r="AA16" s="32"/>
      <c r="AB16" s="32"/>
      <c r="AC16" s="32"/>
      <c r="BS16" s="38">
        <f>AVERAGE(BS3:BS11)</f>
        <v>98.71252204585538</v>
      </c>
      <c r="BT16" s="39" t="s">
        <v>3</v>
      </c>
      <c r="BU16" s="40">
        <f>AVERAGE(BU3:BU11)</f>
        <v>2.412846682058154</v>
      </c>
      <c r="BV16" s="41" t="str">
        <f>IF(BS16&lt;40,"неудовлетворительно",IF((BS16&gt;=40)*AND(BS16&lt;60),"удовлетворительно",IF((BS16&gt;=60)*AND(BS16&lt;80),"хорошо","отлично")))</f>
        <v>отлично</v>
      </c>
    </row>
    <row r="17" spans="1:73" x14ac:dyDescent="0.25"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pans="1:73" ht="15.75" x14ac:dyDescent="0.25">
      <c r="V18" s="32"/>
      <c r="W18" s="32"/>
      <c r="X18" s="48"/>
      <c r="Y18" s="48"/>
      <c r="Z18" s="48"/>
      <c r="AA18" s="82"/>
      <c r="AB18" s="82"/>
      <c r="AC18" s="82"/>
      <c r="AD18" s="74"/>
      <c r="AE18" s="32"/>
    </row>
    <row r="19" spans="1:73" x14ac:dyDescent="0.25">
      <c r="V19" s="32"/>
      <c r="W19" s="32"/>
      <c r="X19" s="33"/>
      <c r="Y19" s="32"/>
      <c r="Z19" s="32"/>
      <c r="AA19" s="34"/>
      <c r="AB19" s="35"/>
      <c r="AC19" s="36"/>
      <c r="AD19" s="32"/>
      <c r="AE19" s="32"/>
    </row>
    <row r="20" spans="1:73" x14ac:dyDescent="0.25">
      <c r="V20" s="32"/>
      <c r="W20" s="32"/>
      <c r="X20" s="33"/>
      <c r="Y20" s="32"/>
      <c r="Z20" s="32"/>
      <c r="AA20" s="34"/>
      <c r="AB20" s="35"/>
      <c r="AC20" s="36"/>
      <c r="AD20" s="32"/>
      <c r="AE20" s="32"/>
    </row>
    <row r="21" spans="1:73" x14ac:dyDescent="0.25">
      <c r="V21" s="32"/>
      <c r="W21" s="32"/>
      <c r="X21" s="33"/>
      <c r="Y21" s="32"/>
      <c r="Z21" s="32"/>
      <c r="AA21" s="34"/>
      <c r="AB21" s="35"/>
      <c r="AC21" s="36"/>
      <c r="AD21" s="32"/>
      <c r="AE21" s="32"/>
    </row>
    <row r="22" spans="1:73" x14ac:dyDescent="0.25">
      <c r="V22" s="32"/>
      <c r="W22" s="32"/>
      <c r="X22" s="33"/>
      <c r="Y22" s="32"/>
      <c r="Z22" s="32"/>
      <c r="AA22" s="34"/>
      <c r="AB22" s="35"/>
      <c r="AC22" s="36"/>
      <c r="AD22" s="32"/>
      <c r="AE22" s="32"/>
    </row>
    <row r="23" spans="1:73" x14ac:dyDescent="0.25">
      <c r="V23" s="32"/>
      <c r="W23" s="32"/>
      <c r="X23" s="33"/>
      <c r="Y23" s="32"/>
      <c r="Z23" s="32"/>
      <c r="AA23" s="34"/>
      <c r="AB23" s="35"/>
      <c r="AC23" s="36"/>
      <c r="AD23" s="32"/>
      <c r="AE23" s="32"/>
    </row>
    <row r="24" spans="1:73" x14ac:dyDescent="0.25">
      <c r="V24" s="32"/>
      <c r="W24" s="32"/>
      <c r="X24" s="33"/>
      <c r="Y24" s="32"/>
      <c r="Z24" s="32"/>
      <c r="AA24" s="34"/>
      <c r="AB24" s="35"/>
      <c r="AC24" s="36"/>
      <c r="AD24" s="32"/>
      <c r="AE24" s="32"/>
    </row>
    <row r="25" spans="1:73" x14ac:dyDescent="0.25">
      <c r="V25" s="32"/>
      <c r="W25" s="32"/>
      <c r="X25" s="33"/>
      <c r="Y25" s="32"/>
      <c r="Z25" s="32"/>
      <c r="AA25" s="34"/>
      <c r="AB25" s="35"/>
      <c r="AC25" s="36"/>
      <c r="AD25" s="32"/>
      <c r="AE25" s="32"/>
    </row>
    <row r="26" spans="1:73" x14ac:dyDescent="0.25">
      <c r="V26" s="32"/>
      <c r="W26" s="32"/>
      <c r="X26" s="33"/>
      <c r="Y26" s="32"/>
      <c r="Z26" s="32"/>
      <c r="AA26" s="34"/>
      <c r="AB26" s="35"/>
      <c r="AC26" s="36"/>
      <c r="AD26" s="32"/>
      <c r="AE26" s="32"/>
    </row>
    <row r="27" spans="1:73" x14ac:dyDescent="0.25">
      <c r="V27" s="32"/>
      <c r="W27" s="32"/>
      <c r="X27" s="33"/>
      <c r="Y27" s="32"/>
      <c r="Z27" s="32"/>
      <c r="AA27" s="34"/>
      <c r="AB27" s="35"/>
      <c r="AC27" s="36"/>
      <c r="AD27" s="32"/>
      <c r="AE27" s="32"/>
    </row>
    <row r="28" spans="1:73" ht="19.5" x14ac:dyDescent="0.35">
      <c r="A28" s="83"/>
      <c r="B28" s="84"/>
      <c r="V28" s="32"/>
      <c r="W28" s="32"/>
      <c r="X28" s="33"/>
      <c r="Y28" s="32"/>
      <c r="Z28" s="32"/>
      <c r="AA28" s="34"/>
      <c r="AB28" s="35"/>
      <c r="AC28" s="36"/>
      <c r="AD28" s="32"/>
      <c r="AE28" s="32"/>
      <c r="BO28" s="51"/>
      <c r="BP28" s="51"/>
      <c r="BQ28" s="51"/>
      <c r="BR28" s="51"/>
      <c r="BS28" s="51"/>
      <c r="BT28" s="51"/>
      <c r="BU28" s="51"/>
    </row>
    <row r="29" spans="1:73" x14ac:dyDescent="0.25">
      <c r="V29" s="32"/>
      <c r="W29" s="32"/>
      <c r="X29" s="34"/>
      <c r="Y29" s="32"/>
      <c r="Z29" s="32"/>
      <c r="AA29" s="32"/>
      <c r="AB29" s="32"/>
      <c r="AC29" s="32"/>
      <c r="AD29" s="32"/>
      <c r="AE29" s="32"/>
    </row>
    <row r="30" spans="1:73" x14ac:dyDescent="0.25">
      <c r="V30" s="32"/>
      <c r="W30" s="32"/>
      <c r="X30" s="34"/>
      <c r="Y30" s="32"/>
      <c r="Z30" s="32"/>
      <c r="AA30" s="32"/>
      <c r="AB30" s="32"/>
      <c r="AC30" s="32"/>
      <c r="AD30" s="32"/>
      <c r="AE30" s="32"/>
    </row>
    <row r="31" spans="1:73" x14ac:dyDescent="0.25">
      <c r="V31" s="32"/>
      <c r="W31" s="79"/>
      <c r="X31" s="79"/>
      <c r="Y31" s="79"/>
      <c r="Z31" s="34"/>
      <c r="AA31" s="32"/>
      <c r="AB31" s="32"/>
      <c r="AC31" s="32"/>
      <c r="AD31" s="32"/>
      <c r="AE31" s="32"/>
    </row>
    <row r="32" spans="1:73" x14ac:dyDescent="0.25">
      <c r="V32" s="32"/>
      <c r="W32" s="79"/>
      <c r="X32" s="79"/>
      <c r="Y32" s="79"/>
      <c r="Z32" s="79"/>
      <c r="AA32" s="43"/>
      <c r="AB32" s="44"/>
      <c r="AC32" s="45"/>
      <c r="AD32" s="46"/>
      <c r="AE32" s="32"/>
    </row>
    <row r="33" spans="23:29" customFormat="1" x14ac:dyDescent="0.25">
      <c r="W33" s="32"/>
      <c r="X33" s="32"/>
      <c r="Y33" s="32"/>
      <c r="Z33" s="32"/>
      <c r="AA33" s="32"/>
      <c r="AB33" s="32"/>
      <c r="AC33" s="32"/>
    </row>
    <row r="34" spans="23:29" customFormat="1" x14ac:dyDescent="0.25">
      <c r="W34" s="32"/>
      <c r="X34" s="32"/>
      <c r="Y34" s="32"/>
      <c r="Z34" s="32"/>
      <c r="AA34" s="32"/>
      <c r="AB34" s="32"/>
      <c r="AC34" s="32"/>
    </row>
    <row r="35" spans="23:29" customFormat="1" x14ac:dyDescent="0.25">
      <c r="W35" s="32"/>
      <c r="X35" s="32"/>
      <c r="Y35" s="32"/>
      <c r="Z35" s="32"/>
      <c r="AA35" s="32"/>
      <c r="AB35" s="32"/>
      <c r="AC35" s="32"/>
    </row>
    <row r="36" spans="23:29" customFormat="1" x14ac:dyDescent="0.25">
      <c r="W36" s="32"/>
      <c r="X36" s="32"/>
      <c r="Y36" s="32"/>
      <c r="Z36" s="32"/>
      <c r="AA36" s="32"/>
      <c r="AB36" s="32"/>
      <c r="AC36" s="32"/>
    </row>
    <row r="37" spans="23:29" customFormat="1" x14ac:dyDescent="0.25">
      <c r="W37" s="37"/>
      <c r="X37" s="52"/>
      <c r="Y37" s="52"/>
      <c r="Z37" s="37"/>
      <c r="AA37" s="18"/>
      <c r="AB37" s="18"/>
      <c r="AC37" s="18"/>
    </row>
    <row r="38" spans="23:29" customFormat="1" x14ac:dyDescent="0.25">
      <c r="W38" s="37"/>
      <c r="X38" s="52"/>
      <c r="Y38" s="52"/>
      <c r="Z38" s="37"/>
      <c r="AA38" s="18"/>
      <c r="AB38" s="18"/>
      <c r="AC38" s="18"/>
    </row>
    <row r="39" spans="23:29" customFormat="1" x14ac:dyDescent="0.25">
      <c r="W39" s="37"/>
      <c r="X39" s="52"/>
      <c r="Y39" s="52"/>
      <c r="Z39" s="37"/>
      <c r="AA39" s="18"/>
      <c r="AB39" s="18"/>
      <c r="AC39" s="18"/>
    </row>
    <row r="40" spans="23:29" customFormat="1" x14ac:dyDescent="0.25">
      <c r="W40" s="37"/>
      <c r="X40" s="52"/>
      <c r="Y40" s="52"/>
      <c r="Z40" s="37"/>
      <c r="AA40" s="18"/>
      <c r="AB40" s="18"/>
      <c r="AC40" s="18"/>
    </row>
    <row r="41" spans="23:29" customFormat="1" x14ac:dyDescent="0.25">
      <c r="W41" s="37"/>
      <c r="X41" s="52"/>
      <c r="Y41" s="52"/>
      <c r="Z41" s="37"/>
      <c r="AA41" s="18"/>
      <c r="AB41" s="18"/>
      <c r="AC41" s="18"/>
    </row>
    <row r="42" spans="23:29" customFormat="1" x14ac:dyDescent="0.25">
      <c r="W42" s="37"/>
      <c r="X42" s="52"/>
      <c r="Y42" s="52"/>
      <c r="Z42" s="37"/>
      <c r="AA42" s="18"/>
      <c r="AB42" s="18"/>
      <c r="AC42" s="18"/>
    </row>
    <row r="43" spans="23:29" customFormat="1" x14ac:dyDescent="0.25">
      <c r="W43" s="37"/>
      <c r="X43" s="52"/>
      <c r="Y43" s="52"/>
      <c r="Z43" s="37"/>
      <c r="AA43" s="18"/>
      <c r="AB43" s="18"/>
      <c r="AC43" s="18"/>
    </row>
    <row r="44" spans="23:29" customFormat="1" x14ac:dyDescent="0.25">
      <c r="W44" s="37"/>
      <c r="X44" s="52"/>
      <c r="Y44" s="52"/>
      <c r="Z44" s="37"/>
      <c r="AA44" s="18"/>
      <c r="AB44" s="18"/>
      <c r="AC44" s="18"/>
    </row>
    <row r="45" spans="23:29" customFormat="1" x14ac:dyDescent="0.25">
      <c r="W45" s="37"/>
      <c r="X45" s="52"/>
      <c r="Y45" s="52"/>
      <c r="Z45" s="37"/>
      <c r="AA45" s="18"/>
      <c r="AB45" s="18"/>
      <c r="AC45" s="18"/>
    </row>
    <row r="46" spans="23:29" customFormat="1" x14ac:dyDescent="0.25">
      <c r="W46" s="37"/>
      <c r="X46" s="52"/>
      <c r="Y46" s="52"/>
      <c r="Z46" s="37"/>
      <c r="AA46" s="18"/>
      <c r="AB46" s="18"/>
      <c r="AC46" s="18"/>
    </row>
    <row r="47" spans="23:29" customFormat="1" x14ac:dyDescent="0.25">
      <c r="W47" s="37"/>
      <c r="X47" s="52"/>
      <c r="Y47" s="52"/>
      <c r="Z47" s="37"/>
      <c r="AA47" s="18"/>
      <c r="AB47" s="18"/>
      <c r="AC47" s="18"/>
    </row>
    <row r="48" spans="23:29" customFormat="1" x14ac:dyDescent="0.25">
      <c r="W48" s="37"/>
      <c r="X48" s="52"/>
      <c r="Y48" s="52"/>
      <c r="Z48" s="37"/>
      <c r="AA48" s="18"/>
      <c r="AB48" s="18"/>
      <c r="AC48" s="18"/>
    </row>
    <row r="49" spans="23:29" customFormat="1" x14ac:dyDescent="0.25">
      <c r="W49" s="37"/>
      <c r="X49" s="52"/>
      <c r="Y49" s="52"/>
      <c r="Z49" s="37"/>
      <c r="AA49" s="18"/>
      <c r="AB49" s="18"/>
      <c r="AC49" s="18"/>
    </row>
    <row r="50" spans="23:29" customFormat="1" x14ac:dyDescent="0.25">
      <c r="W50" s="37"/>
      <c r="X50" s="52"/>
      <c r="Y50" s="52"/>
      <c r="Z50" s="37"/>
      <c r="AA50" s="18"/>
      <c r="AB50" s="18"/>
      <c r="AC50" s="18"/>
    </row>
    <row r="51" spans="23:29" customFormat="1" x14ac:dyDescent="0.25">
      <c r="W51" s="37"/>
      <c r="X51" s="52"/>
      <c r="Y51" s="52"/>
      <c r="Z51" s="37"/>
      <c r="AA51" s="18"/>
      <c r="AB51" s="18"/>
      <c r="AC51" s="18"/>
    </row>
    <row r="52" spans="23:29" customFormat="1" x14ac:dyDescent="0.25">
      <c r="W52" s="37"/>
      <c r="X52" s="52"/>
      <c r="Y52" s="52"/>
      <c r="Z52" s="37"/>
      <c r="AA52" s="18"/>
      <c r="AB52" s="18"/>
      <c r="AC52" s="18"/>
    </row>
    <row r="53" spans="23:29" customFormat="1" x14ac:dyDescent="0.25">
      <c r="W53" s="37"/>
      <c r="X53" s="52"/>
      <c r="Y53" s="52"/>
      <c r="Z53" s="37"/>
      <c r="AA53" s="18"/>
      <c r="AB53" s="18"/>
      <c r="AC53" s="18"/>
    </row>
    <row r="54" spans="23:29" customFormat="1" x14ac:dyDescent="0.25">
      <c r="W54" s="37"/>
      <c r="X54" s="52"/>
      <c r="Y54" s="52"/>
      <c r="Z54" s="37"/>
      <c r="AA54" s="18"/>
      <c r="AB54" s="18"/>
      <c r="AC54" s="18"/>
    </row>
    <row r="55" spans="23:29" customFormat="1" x14ac:dyDescent="0.25">
      <c r="W55" s="37"/>
      <c r="X55" s="52"/>
      <c r="Y55" s="52"/>
      <c r="Z55" s="37"/>
      <c r="AA55" s="18"/>
      <c r="AB55" s="18"/>
      <c r="AC55" s="18"/>
    </row>
    <row r="56" spans="23:29" customFormat="1" x14ac:dyDescent="0.25">
      <c r="W56" s="37"/>
      <c r="X56" s="52"/>
      <c r="Y56" s="52"/>
      <c r="Z56" s="37"/>
      <c r="AA56" s="18"/>
      <c r="AB56" s="18"/>
      <c r="AC56" s="18"/>
    </row>
    <row r="57" spans="23:29" customFormat="1" x14ac:dyDescent="0.25">
      <c r="W57" s="37"/>
      <c r="X57" s="52"/>
      <c r="Y57" s="52"/>
      <c r="Z57" s="37"/>
      <c r="AA57" s="18"/>
      <c r="AB57" s="18"/>
      <c r="AC57" s="18"/>
    </row>
    <row r="58" spans="23:29" customFormat="1" x14ac:dyDescent="0.25">
      <c r="W58" s="37"/>
      <c r="X58" s="52"/>
      <c r="Y58" s="52"/>
      <c r="Z58" s="37"/>
      <c r="AA58" s="18"/>
      <c r="AB58" s="18"/>
      <c r="AC58" s="18"/>
    </row>
    <row r="59" spans="23:29" customFormat="1" x14ac:dyDescent="0.25">
      <c r="W59" s="37"/>
      <c r="X59" s="52"/>
      <c r="Y59" s="52"/>
      <c r="Z59" s="37"/>
      <c r="AA59" s="18"/>
      <c r="AB59" s="18"/>
      <c r="AC59" s="18"/>
    </row>
    <row r="60" spans="23:29" customFormat="1" x14ac:dyDescent="0.25">
      <c r="W60" s="37"/>
      <c r="X60" s="52"/>
      <c r="Y60" s="52"/>
      <c r="Z60" s="37"/>
      <c r="AA60" s="18"/>
      <c r="AB60" s="18"/>
      <c r="AC60" s="18"/>
    </row>
    <row r="61" spans="23:29" customFormat="1" x14ac:dyDescent="0.25">
      <c r="W61" s="37"/>
      <c r="X61" s="52"/>
      <c r="Y61" s="52"/>
      <c r="Z61" s="37"/>
      <c r="AA61" s="18"/>
      <c r="AB61" s="18"/>
      <c r="AC61" s="18"/>
    </row>
    <row r="62" spans="23:29" customFormat="1" x14ac:dyDescent="0.25">
      <c r="W62" s="37"/>
      <c r="X62" s="52"/>
      <c r="Y62" s="52"/>
      <c r="Z62" s="37"/>
      <c r="AA62" s="18"/>
      <c r="AB62" s="18"/>
      <c r="AC62" s="18"/>
    </row>
    <row r="63" spans="23:29" customFormat="1" x14ac:dyDescent="0.25">
      <c r="W63" s="37"/>
      <c r="X63" s="52"/>
      <c r="Y63" s="52"/>
      <c r="Z63" s="37"/>
      <c r="AA63" s="18"/>
      <c r="AB63" s="18"/>
      <c r="AC63" s="18"/>
    </row>
    <row r="64" spans="23:29" customFormat="1" x14ac:dyDescent="0.25">
      <c r="W64" s="37"/>
      <c r="X64" s="52"/>
      <c r="Y64" s="52"/>
      <c r="Z64" s="37"/>
      <c r="AA64" s="18"/>
      <c r="AB64" s="18"/>
      <c r="AC64" s="18"/>
    </row>
    <row r="65" spans="23:29" customFormat="1" x14ac:dyDescent="0.25">
      <c r="W65" s="37"/>
      <c r="X65" s="52"/>
      <c r="Y65" s="52"/>
      <c r="Z65" s="37"/>
      <c r="AA65" s="18"/>
      <c r="AB65" s="18"/>
      <c r="AC65" s="18"/>
    </row>
    <row r="66" spans="23:29" customFormat="1" x14ac:dyDescent="0.25">
      <c r="W66" s="37"/>
      <c r="X66" s="52"/>
      <c r="Y66" s="52"/>
      <c r="Z66" s="37"/>
      <c r="AA66" s="18"/>
      <c r="AB66" s="18"/>
      <c r="AC66" s="18"/>
    </row>
    <row r="67" spans="23:29" customFormat="1" x14ac:dyDescent="0.25">
      <c r="W67" s="37"/>
      <c r="X67" s="52"/>
      <c r="Y67" s="52"/>
      <c r="Z67" s="37"/>
      <c r="AA67" s="18"/>
      <c r="AB67" s="18"/>
      <c r="AC67" s="18"/>
    </row>
    <row r="68" spans="23:29" customFormat="1" x14ac:dyDescent="0.25">
      <c r="W68" s="37"/>
      <c r="X68" s="52"/>
      <c r="Y68" s="52"/>
      <c r="Z68" s="37"/>
      <c r="AA68" s="18"/>
      <c r="AB68" s="18"/>
      <c r="AC68" s="18"/>
    </row>
    <row r="69" spans="23:29" customFormat="1" x14ac:dyDescent="0.25">
      <c r="W69" s="37"/>
      <c r="X69" s="52"/>
      <c r="Y69" s="52"/>
      <c r="Z69" s="37"/>
      <c r="AA69" s="18"/>
      <c r="AB69" s="18"/>
      <c r="AC69" s="18"/>
    </row>
    <row r="70" spans="23:29" customFormat="1" x14ac:dyDescent="0.25">
      <c r="W70" s="37"/>
      <c r="X70" s="52"/>
      <c r="Y70" s="52"/>
      <c r="Z70" s="37"/>
      <c r="AA70" s="18"/>
      <c r="AB70" s="18"/>
      <c r="AC70" s="18"/>
    </row>
    <row r="71" spans="23:29" customFormat="1" x14ac:dyDescent="0.25">
      <c r="W71" s="37"/>
      <c r="X71" s="52"/>
      <c r="Y71" s="52"/>
      <c r="Z71" s="37"/>
      <c r="AA71" s="18"/>
      <c r="AB71" s="18"/>
      <c r="AC71" s="18"/>
    </row>
    <row r="72" spans="23:29" customFormat="1" x14ac:dyDescent="0.25">
      <c r="W72" s="37"/>
      <c r="X72" s="52"/>
      <c r="Y72" s="52"/>
      <c r="Z72" s="37"/>
      <c r="AA72" s="18"/>
      <c r="AB72" s="18"/>
      <c r="AC72" s="18"/>
    </row>
    <row r="73" spans="23:29" customFormat="1" x14ac:dyDescent="0.25">
      <c r="W73" s="37"/>
      <c r="X73" s="52"/>
      <c r="Y73" s="52"/>
      <c r="Z73" s="37"/>
      <c r="AA73" s="18"/>
      <c r="AB73" s="18"/>
      <c r="AC73" s="18"/>
    </row>
    <row r="74" spans="23:29" customFormat="1" x14ac:dyDescent="0.25">
      <c r="W74" s="37"/>
      <c r="X74" s="52"/>
      <c r="Y74" s="52"/>
      <c r="Z74" s="37"/>
      <c r="AA74" s="18"/>
      <c r="AB74" s="18"/>
      <c r="AC74" s="18"/>
    </row>
    <row r="75" spans="23:29" customFormat="1" x14ac:dyDescent="0.25">
      <c r="W75" s="37"/>
      <c r="X75" s="52"/>
      <c r="Y75" s="52"/>
      <c r="Z75" s="37"/>
      <c r="AA75" s="18"/>
      <c r="AB75" s="18"/>
      <c r="AC75" s="18"/>
    </row>
    <row r="76" spans="23:29" customFormat="1" x14ac:dyDescent="0.25">
      <c r="W76" s="37"/>
      <c r="X76" s="52"/>
      <c r="Y76" s="52"/>
      <c r="Z76" s="37"/>
      <c r="AA76" s="18"/>
      <c r="AB76" s="18"/>
      <c r="AC76" s="18"/>
    </row>
    <row r="77" spans="23:29" customFormat="1" x14ac:dyDescent="0.25">
      <c r="W77" s="37"/>
      <c r="X77" s="52"/>
      <c r="Y77" s="52"/>
      <c r="Z77" s="37"/>
      <c r="AA77" s="18"/>
      <c r="AB77" s="18"/>
      <c r="AC77" s="18"/>
    </row>
    <row r="78" spans="23:29" customFormat="1" x14ac:dyDescent="0.25">
      <c r="W78" s="37"/>
      <c r="X78" s="52"/>
      <c r="Y78" s="52"/>
      <c r="Z78" s="37"/>
      <c r="AA78" s="18"/>
      <c r="AB78" s="18"/>
      <c r="AC78" s="18"/>
    </row>
    <row r="79" spans="23:29" customFormat="1" x14ac:dyDescent="0.25">
      <c r="W79" s="37"/>
      <c r="X79" s="52"/>
      <c r="Y79" s="52"/>
      <c r="Z79" s="37"/>
      <c r="AA79" s="18"/>
      <c r="AB79" s="18"/>
      <c r="AC79" s="18"/>
    </row>
    <row r="80" spans="23:29" customFormat="1" x14ac:dyDescent="0.25">
      <c r="W80" s="37"/>
      <c r="X80" s="52"/>
      <c r="Y80" s="52"/>
      <c r="Z80" s="37"/>
      <c r="AA80" s="18"/>
      <c r="AB80" s="18"/>
      <c r="AC80" s="18"/>
    </row>
    <row r="81" spans="23:29" customFormat="1" x14ac:dyDescent="0.25">
      <c r="W81" s="37"/>
      <c r="X81" s="52"/>
      <c r="Y81" s="52"/>
      <c r="Z81" s="37"/>
      <c r="AA81" s="18"/>
      <c r="AB81" s="18"/>
      <c r="AC81" s="18"/>
    </row>
    <row r="82" spans="23:29" customFormat="1" x14ac:dyDescent="0.25">
      <c r="W82" s="37"/>
      <c r="X82" s="52"/>
      <c r="Y82" s="52"/>
      <c r="Z82" s="37"/>
      <c r="AA82" s="18"/>
      <c r="AB82" s="18"/>
      <c r="AC82" s="18"/>
    </row>
    <row r="83" spans="23:29" customFormat="1" x14ac:dyDescent="0.25">
      <c r="W83" s="37"/>
      <c r="X83" s="52"/>
      <c r="Y83" s="52"/>
      <c r="Z83" s="37"/>
      <c r="AA83" s="18"/>
      <c r="AB83" s="18"/>
      <c r="AC83" s="18"/>
    </row>
    <row r="84" spans="23:29" customFormat="1" x14ac:dyDescent="0.25">
      <c r="W84" s="37"/>
      <c r="X84" s="52"/>
      <c r="Y84" s="52"/>
      <c r="Z84" s="37"/>
      <c r="AA84" s="18"/>
      <c r="AB84" s="18"/>
      <c r="AC84" s="18"/>
    </row>
    <row r="85" spans="23:29" customFormat="1" x14ac:dyDescent="0.25">
      <c r="W85" s="37"/>
      <c r="X85" s="52"/>
      <c r="Y85" s="52"/>
      <c r="Z85" s="37"/>
      <c r="AA85" s="18"/>
      <c r="AB85" s="18"/>
      <c r="AC85" s="18"/>
    </row>
    <row r="86" spans="23:29" customFormat="1" x14ac:dyDescent="0.25">
      <c r="W86" s="37"/>
      <c r="X86" s="52"/>
      <c r="Y86" s="52"/>
      <c r="Z86" s="37"/>
      <c r="AA86" s="18"/>
      <c r="AB86" s="18"/>
      <c r="AC86" s="18"/>
    </row>
    <row r="87" spans="23:29" customFormat="1" x14ac:dyDescent="0.25">
      <c r="W87" s="37"/>
      <c r="X87" s="52"/>
      <c r="Y87" s="52"/>
      <c r="Z87" s="37"/>
      <c r="AA87" s="18"/>
      <c r="AB87" s="18"/>
      <c r="AC87" s="18"/>
    </row>
    <row r="88" spans="23:29" customFormat="1" x14ac:dyDescent="0.25">
      <c r="W88" s="37"/>
      <c r="X88" s="52"/>
      <c r="Y88" s="52"/>
      <c r="Z88" s="37"/>
      <c r="AA88" s="18"/>
      <c r="AB88" s="18"/>
      <c r="AC88" s="18"/>
    </row>
    <row r="89" spans="23:29" customFormat="1" x14ac:dyDescent="0.25">
      <c r="W89" s="37"/>
      <c r="X89" s="52"/>
      <c r="Y89" s="52"/>
      <c r="Z89" s="37"/>
      <c r="AA89" s="18"/>
      <c r="AB89" s="18"/>
      <c r="AC89" s="18"/>
    </row>
    <row r="90" spans="23:29" customFormat="1" x14ac:dyDescent="0.25">
      <c r="W90" s="37"/>
      <c r="X90" s="52"/>
      <c r="Y90" s="52"/>
      <c r="Z90" s="37"/>
      <c r="AA90" s="18"/>
      <c r="AB90" s="18"/>
      <c r="AC90" s="18"/>
    </row>
    <row r="91" spans="23:29" customFormat="1" x14ac:dyDescent="0.25">
      <c r="W91" s="37"/>
      <c r="X91" s="52"/>
      <c r="Y91" s="52"/>
      <c r="Z91" s="37"/>
      <c r="AA91" s="18"/>
      <c r="AB91" s="18"/>
      <c r="AC91" s="18"/>
    </row>
    <row r="92" spans="23:29" customFormat="1" x14ac:dyDescent="0.25">
      <c r="W92" s="37"/>
      <c r="X92" s="52"/>
      <c r="Y92" s="52"/>
      <c r="Z92" s="37"/>
      <c r="AA92" s="18"/>
      <c r="AB92" s="18"/>
      <c r="AC92" s="18"/>
    </row>
    <row r="93" spans="23:29" customFormat="1" x14ac:dyDescent="0.25">
      <c r="W93" s="37"/>
      <c r="X93" s="52"/>
      <c r="Y93" s="52"/>
      <c r="Z93" s="37"/>
      <c r="AA93" s="18"/>
      <c r="AB93" s="18"/>
      <c r="AC93" s="18"/>
    </row>
    <row r="94" spans="23:29" customFormat="1" x14ac:dyDescent="0.25">
      <c r="W94" s="37"/>
      <c r="X94" s="52"/>
      <c r="Y94" s="52"/>
      <c r="Z94" s="37"/>
      <c r="AA94" s="18"/>
      <c r="AB94" s="18"/>
      <c r="AC94" s="18"/>
    </row>
    <row r="95" spans="23:29" customFormat="1" x14ac:dyDescent="0.25">
      <c r="W95" s="37"/>
      <c r="X95" s="52"/>
      <c r="Y95" s="52"/>
      <c r="Z95" s="37"/>
      <c r="AA95" s="18"/>
      <c r="AB95" s="18"/>
      <c r="AC95" s="18"/>
    </row>
    <row r="96" spans="23:29" customFormat="1" x14ac:dyDescent="0.25">
      <c r="W96" s="37"/>
      <c r="X96" s="52"/>
      <c r="Y96" s="52"/>
      <c r="Z96" s="37"/>
      <c r="AA96" s="18"/>
      <c r="AB96" s="18"/>
      <c r="AC96" s="18"/>
    </row>
    <row r="97" spans="23:29" customFormat="1" x14ac:dyDescent="0.25">
      <c r="W97" s="37"/>
      <c r="X97" s="52"/>
      <c r="Y97" s="52"/>
      <c r="Z97" s="37"/>
      <c r="AA97" s="18"/>
      <c r="AB97" s="18"/>
      <c r="AC97" s="18"/>
    </row>
    <row r="98" spans="23:29" customFormat="1" x14ac:dyDescent="0.25">
      <c r="W98" s="37"/>
      <c r="X98" s="52"/>
      <c r="Y98" s="52"/>
      <c r="Z98" s="37"/>
      <c r="AA98" s="18"/>
      <c r="AB98" s="18"/>
      <c r="AC98" s="18"/>
    </row>
    <row r="99" spans="23:29" customFormat="1" x14ac:dyDescent="0.25">
      <c r="W99" s="37"/>
      <c r="X99" s="52"/>
      <c r="Y99" s="52"/>
      <c r="Z99" s="37"/>
      <c r="AA99" s="18"/>
      <c r="AB99" s="18"/>
      <c r="AC99" s="18"/>
    </row>
    <row r="100" spans="23:29" customFormat="1" x14ac:dyDescent="0.25">
      <c r="W100" s="37"/>
      <c r="X100" s="52"/>
      <c r="Y100" s="52"/>
      <c r="Z100" s="37"/>
      <c r="AA100" s="18"/>
      <c r="AB100" s="18"/>
      <c r="AC100" s="18"/>
    </row>
    <row r="101" spans="23:29" customFormat="1" x14ac:dyDescent="0.25">
      <c r="W101" s="37"/>
      <c r="X101" s="52"/>
      <c r="Y101" s="52"/>
      <c r="Z101" s="37"/>
      <c r="AA101" s="18"/>
      <c r="AB101" s="18"/>
      <c r="AC101" s="18"/>
    </row>
    <row r="102" spans="23:29" customFormat="1" x14ac:dyDescent="0.25">
      <c r="W102" s="37"/>
      <c r="X102" s="52"/>
      <c r="Y102" s="52"/>
      <c r="Z102" s="37"/>
      <c r="AA102" s="18"/>
      <c r="AB102" s="18"/>
      <c r="AC102" s="18"/>
    </row>
    <row r="103" spans="23:29" customFormat="1" x14ac:dyDescent="0.25">
      <c r="W103" s="37"/>
      <c r="X103" s="52"/>
      <c r="Y103" s="52"/>
      <c r="Z103" s="37"/>
      <c r="AA103" s="18"/>
      <c r="AB103" s="18"/>
      <c r="AC103" s="18"/>
    </row>
    <row r="104" spans="23:29" customFormat="1" x14ac:dyDescent="0.25">
      <c r="W104" s="37"/>
      <c r="X104" s="52"/>
      <c r="Y104" s="52"/>
      <c r="Z104" s="37"/>
      <c r="AA104" s="18"/>
      <c r="AB104" s="18"/>
      <c r="AC104" s="18"/>
    </row>
    <row r="105" spans="23:29" customFormat="1" x14ac:dyDescent="0.25">
      <c r="W105" s="37"/>
      <c r="X105" s="52"/>
      <c r="Y105" s="52"/>
      <c r="Z105" s="37"/>
      <c r="AA105" s="18"/>
      <c r="AB105" s="18"/>
      <c r="AC105" s="18"/>
    </row>
    <row r="106" spans="23:29" customFormat="1" x14ac:dyDescent="0.25">
      <c r="W106" s="37"/>
      <c r="X106" s="52"/>
      <c r="Y106" s="52"/>
      <c r="Z106" s="37"/>
      <c r="AA106" s="18"/>
      <c r="AB106" s="18"/>
      <c r="AC106" s="18"/>
    </row>
    <row r="107" spans="23:29" customFormat="1" x14ac:dyDescent="0.25">
      <c r="W107" s="37"/>
      <c r="X107" s="52"/>
      <c r="Y107" s="52"/>
      <c r="Z107" s="37"/>
      <c r="AA107" s="18"/>
      <c r="AB107" s="18"/>
      <c r="AC107" s="18"/>
    </row>
    <row r="108" spans="23:29" customFormat="1" x14ac:dyDescent="0.25">
      <c r="W108" s="37"/>
      <c r="X108" s="52"/>
      <c r="Y108" s="52"/>
      <c r="Z108" s="37"/>
      <c r="AA108" s="18"/>
      <c r="AB108" s="18"/>
      <c r="AC108" s="18"/>
    </row>
    <row r="109" spans="23:29" customFormat="1" x14ac:dyDescent="0.25">
      <c r="W109" s="37"/>
      <c r="X109" s="52"/>
      <c r="Y109" s="52"/>
      <c r="Z109" s="37"/>
      <c r="AA109" s="18"/>
      <c r="AB109" s="18"/>
      <c r="AC109" s="18"/>
    </row>
    <row r="110" spans="23:29" customFormat="1" x14ac:dyDescent="0.25">
      <c r="W110" s="37"/>
      <c r="X110" s="52"/>
      <c r="Y110" s="52"/>
      <c r="Z110" s="37"/>
      <c r="AA110" s="18"/>
      <c r="AB110" s="18"/>
      <c r="AC110" s="18"/>
    </row>
    <row r="111" spans="23:29" customFormat="1" x14ac:dyDescent="0.25">
      <c r="W111" s="37"/>
      <c r="X111" s="52"/>
      <c r="Y111" s="52"/>
      <c r="Z111" s="37"/>
      <c r="AA111" s="18"/>
      <c r="AB111" s="18"/>
      <c r="AC111" s="18"/>
    </row>
    <row r="112" spans="23:29" customFormat="1" x14ac:dyDescent="0.25">
      <c r="W112" s="37"/>
      <c r="X112" s="52"/>
      <c r="Y112" s="52"/>
      <c r="Z112" s="37"/>
      <c r="AA112" s="18"/>
      <c r="AB112" s="18"/>
      <c r="AC112" s="18"/>
    </row>
    <row r="113" spans="23:29" customFormat="1" x14ac:dyDescent="0.25">
      <c r="W113" s="37"/>
      <c r="X113" s="52"/>
      <c r="Y113" s="52"/>
      <c r="Z113" s="37"/>
      <c r="AA113" s="18"/>
      <c r="AB113" s="18"/>
      <c r="AC113" s="18"/>
    </row>
    <row r="114" spans="23:29" customFormat="1" x14ac:dyDescent="0.25">
      <c r="W114" s="37"/>
      <c r="X114" s="52"/>
      <c r="Y114" s="52"/>
      <c r="Z114" s="37"/>
      <c r="AA114" s="18"/>
      <c r="AB114" s="18"/>
      <c r="AC114" s="18"/>
    </row>
    <row r="115" spans="23:29" customFormat="1" x14ac:dyDescent="0.25">
      <c r="W115" s="37"/>
      <c r="X115" s="52"/>
      <c r="Y115" s="52"/>
      <c r="Z115" s="37"/>
      <c r="AA115" s="18"/>
      <c r="AB115" s="18"/>
      <c r="AC115" s="18"/>
    </row>
    <row r="116" spans="23:29" customFormat="1" x14ac:dyDescent="0.25">
      <c r="W116" s="37"/>
      <c r="X116" s="52"/>
      <c r="Y116" s="52"/>
      <c r="Z116" s="37"/>
      <c r="AA116" s="18"/>
      <c r="AB116" s="18"/>
      <c r="AC116" s="18"/>
    </row>
    <row r="117" spans="23:29" customFormat="1" x14ac:dyDescent="0.25">
      <c r="W117" s="37"/>
      <c r="X117" s="52"/>
      <c r="Y117" s="52"/>
      <c r="Z117" s="37"/>
      <c r="AA117" s="18"/>
      <c r="AB117" s="18"/>
      <c r="AC117" s="18"/>
    </row>
    <row r="118" spans="23:29" customFormat="1" x14ac:dyDescent="0.25">
      <c r="W118" s="37"/>
      <c r="X118" s="52"/>
      <c r="Y118" s="52"/>
      <c r="Z118" s="37"/>
      <c r="AA118" s="18"/>
      <c r="AB118" s="18"/>
      <c r="AC118" s="18"/>
    </row>
    <row r="119" spans="23:29" customFormat="1" x14ac:dyDescent="0.25">
      <c r="W119" s="37"/>
      <c r="X119" s="52"/>
      <c r="Y119" s="52"/>
      <c r="Z119" s="37"/>
      <c r="AA119" s="18"/>
      <c r="AB119" s="18"/>
      <c r="AC119" s="18"/>
    </row>
    <row r="120" spans="23:29" customFormat="1" x14ac:dyDescent="0.25">
      <c r="W120" s="37"/>
      <c r="X120" s="52"/>
      <c r="Y120" s="52"/>
      <c r="Z120" s="37"/>
      <c r="AA120" s="18"/>
      <c r="AB120" s="18"/>
      <c r="AC120" s="18"/>
    </row>
    <row r="121" spans="23:29" customFormat="1" x14ac:dyDescent="0.25">
      <c r="W121" s="37"/>
      <c r="X121" s="52"/>
      <c r="Y121" s="52"/>
      <c r="Z121" s="37"/>
      <c r="AA121" s="18"/>
      <c r="AB121" s="18"/>
      <c r="AC121" s="18"/>
    </row>
    <row r="122" spans="23:29" customFormat="1" x14ac:dyDescent="0.25">
      <c r="W122" s="37"/>
      <c r="X122" s="52"/>
      <c r="Y122" s="52"/>
      <c r="Z122" s="37"/>
      <c r="AA122" s="18"/>
      <c r="AB122" s="18"/>
      <c r="AC122" s="18"/>
    </row>
    <row r="123" spans="23:29" customFormat="1" x14ac:dyDescent="0.25">
      <c r="W123" s="37"/>
      <c r="X123" s="52"/>
      <c r="Y123" s="52"/>
      <c r="Z123" s="37"/>
      <c r="AA123" s="18"/>
      <c r="AB123" s="18"/>
      <c r="AC123" s="18"/>
    </row>
    <row r="124" spans="23:29" customFormat="1" x14ac:dyDescent="0.25">
      <c r="W124" s="37"/>
      <c r="X124" s="52"/>
      <c r="Y124" s="52"/>
      <c r="Z124" s="37"/>
      <c r="AA124" s="18"/>
      <c r="AB124" s="18"/>
      <c r="AC124" s="18"/>
    </row>
    <row r="125" spans="23:29" customFormat="1" x14ac:dyDescent="0.25">
      <c r="W125" s="37"/>
      <c r="X125" s="52"/>
      <c r="Y125" s="52"/>
      <c r="Z125" s="37"/>
      <c r="AA125" s="18"/>
      <c r="AB125" s="18"/>
      <c r="AC125" s="18"/>
    </row>
    <row r="126" spans="23:29" customFormat="1" x14ac:dyDescent="0.25">
      <c r="W126" s="37"/>
      <c r="X126" s="52"/>
      <c r="Y126" s="52"/>
      <c r="Z126" s="37"/>
      <c r="AA126" s="18"/>
      <c r="AB126" s="18"/>
      <c r="AC126" s="18"/>
    </row>
    <row r="127" spans="23:29" customFormat="1" x14ac:dyDescent="0.25">
      <c r="W127" s="37"/>
      <c r="X127" s="52"/>
      <c r="Y127" s="52"/>
      <c r="Z127" s="37"/>
      <c r="AA127" s="18"/>
      <c r="AB127" s="18"/>
      <c r="AC127" s="18"/>
    </row>
    <row r="128" spans="23:29" customFormat="1" x14ac:dyDescent="0.25">
      <c r="W128" s="37"/>
      <c r="X128" s="52"/>
      <c r="Y128" s="52"/>
      <c r="Z128" s="37"/>
      <c r="AA128" s="18"/>
      <c r="AB128" s="18"/>
      <c r="AC128" s="18"/>
    </row>
    <row r="129" spans="23:29" customFormat="1" x14ac:dyDescent="0.25">
      <c r="W129" s="37"/>
      <c r="X129" s="52"/>
      <c r="Y129" s="52"/>
      <c r="Z129" s="37"/>
      <c r="AA129" s="18"/>
      <c r="AB129" s="18"/>
      <c r="AC129" s="18"/>
    </row>
    <row r="130" spans="23:29" customFormat="1" x14ac:dyDescent="0.25">
      <c r="W130" s="37"/>
      <c r="X130" s="52"/>
      <c r="Y130" s="52"/>
      <c r="Z130" s="37"/>
      <c r="AA130" s="18"/>
      <c r="AB130" s="18"/>
      <c r="AC130" s="18"/>
    </row>
    <row r="131" spans="23:29" customFormat="1" x14ac:dyDescent="0.25">
      <c r="W131" s="37"/>
      <c r="X131" s="52"/>
      <c r="Y131" s="52"/>
      <c r="Z131" s="37"/>
      <c r="AA131" s="18"/>
      <c r="AB131" s="18"/>
      <c r="AC131" s="18"/>
    </row>
    <row r="132" spans="23:29" customFormat="1" x14ac:dyDescent="0.25">
      <c r="W132" s="37"/>
      <c r="X132" s="52"/>
      <c r="Y132" s="52"/>
      <c r="Z132" s="37"/>
      <c r="AA132" s="18"/>
      <c r="AB132" s="18"/>
      <c r="AC132" s="18"/>
    </row>
    <row r="133" spans="23:29" customFormat="1" x14ac:dyDescent="0.25">
      <c r="W133" s="37"/>
      <c r="X133" s="52"/>
      <c r="Y133" s="52"/>
      <c r="Z133" s="37"/>
      <c r="AA133" s="18"/>
      <c r="AB133" s="18"/>
      <c r="AC133" s="18"/>
    </row>
    <row r="134" spans="23:29" customFormat="1" x14ac:dyDescent="0.25">
      <c r="W134" s="37"/>
      <c r="X134" s="52"/>
      <c r="Y134" s="52"/>
      <c r="Z134" s="37"/>
      <c r="AA134" s="18"/>
      <c r="AB134" s="18"/>
      <c r="AC134" s="18"/>
    </row>
    <row r="135" spans="23:29" customFormat="1" x14ac:dyDescent="0.25">
      <c r="W135" s="37"/>
      <c r="X135" s="52"/>
      <c r="Y135" s="52"/>
      <c r="Z135" s="37"/>
      <c r="AA135" s="18"/>
      <c r="AB135" s="18"/>
      <c r="AC135" s="18"/>
    </row>
    <row r="136" spans="23:29" customFormat="1" x14ac:dyDescent="0.25">
      <c r="W136" s="37"/>
      <c r="X136" s="52"/>
      <c r="Y136" s="52"/>
      <c r="Z136" s="37"/>
      <c r="AA136" s="18"/>
      <c r="AB136" s="18"/>
      <c r="AC136" s="18"/>
    </row>
    <row r="137" spans="23:29" customFormat="1" x14ac:dyDescent="0.25">
      <c r="W137" s="37"/>
      <c r="X137" s="52"/>
      <c r="Y137" s="52"/>
      <c r="Z137" s="37"/>
      <c r="AA137" s="18"/>
      <c r="AB137" s="18"/>
      <c r="AC137" s="18"/>
    </row>
    <row r="138" spans="23:29" customFormat="1" x14ac:dyDescent="0.25">
      <c r="W138" s="37"/>
      <c r="X138" s="52"/>
      <c r="Y138" s="52"/>
      <c r="Z138" s="37"/>
      <c r="AA138" s="18"/>
      <c r="AB138" s="18"/>
      <c r="AC138" s="18"/>
    </row>
    <row r="139" spans="23:29" customFormat="1" x14ac:dyDescent="0.25">
      <c r="W139" s="37"/>
      <c r="X139" s="52"/>
      <c r="Y139" s="52"/>
      <c r="Z139" s="37"/>
      <c r="AA139" s="18"/>
      <c r="AB139" s="18"/>
      <c r="AC139" s="18"/>
    </row>
    <row r="140" spans="23:29" customFormat="1" x14ac:dyDescent="0.25">
      <c r="W140" s="37"/>
      <c r="X140" s="52"/>
      <c r="Y140" s="52"/>
      <c r="Z140" s="37"/>
      <c r="AA140" s="18"/>
      <c r="AB140" s="18"/>
      <c r="AC140" s="18"/>
    </row>
    <row r="141" spans="23:29" customFormat="1" x14ac:dyDescent="0.25">
      <c r="W141" s="37"/>
      <c r="X141" s="52"/>
      <c r="Y141" s="52"/>
      <c r="Z141" s="37"/>
      <c r="AA141" s="18"/>
      <c r="AB141" s="18"/>
      <c r="AC141" s="18"/>
    </row>
    <row r="142" spans="23:29" customFormat="1" x14ac:dyDescent="0.25">
      <c r="W142" s="37"/>
      <c r="X142" s="52"/>
      <c r="Y142" s="52"/>
      <c r="Z142" s="37"/>
      <c r="AA142" s="18"/>
      <c r="AB142" s="18"/>
      <c r="AC142" s="18"/>
    </row>
    <row r="143" spans="23:29" customFormat="1" x14ac:dyDescent="0.25">
      <c r="W143" s="37"/>
      <c r="X143" s="52"/>
      <c r="Y143" s="52"/>
      <c r="Z143" s="37"/>
      <c r="AA143" s="18"/>
      <c r="AB143" s="18"/>
      <c r="AC143" s="18"/>
    </row>
    <row r="144" spans="23:29" customFormat="1" x14ac:dyDescent="0.25">
      <c r="W144" s="37"/>
      <c r="X144" s="52"/>
      <c r="Y144" s="52"/>
      <c r="Z144" s="37"/>
      <c r="AA144" s="18"/>
      <c r="AB144" s="18"/>
      <c r="AC144" s="18"/>
    </row>
    <row r="145" spans="23:29" customFormat="1" x14ac:dyDescent="0.25">
      <c r="W145" s="37"/>
      <c r="X145" s="52"/>
      <c r="Y145" s="52"/>
      <c r="Z145" s="37"/>
      <c r="AA145" s="18"/>
      <c r="AB145" s="18"/>
      <c r="AC145" s="18"/>
    </row>
    <row r="146" spans="23:29" customFormat="1" x14ac:dyDescent="0.25">
      <c r="W146" s="37"/>
      <c r="X146" s="52"/>
      <c r="Y146" s="52"/>
      <c r="Z146" s="37"/>
      <c r="AA146" s="18"/>
      <c r="AB146" s="18"/>
      <c r="AC146" s="18"/>
    </row>
    <row r="147" spans="23:29" customFormat="1" x14ac:dyDescent="0.25">
      <c r="W147" s="37"/>
      <c r="X147" s="52"/>
      <c r="Y147" s="52"/>
      <c r="Z147" s="37"/>
      <c r="AA147" s="18"/>
      <c r="AB147" s="18"/>
      <c r="AC147" s="18"/>
    </row>
    <row r="148" spans="23:29" customFormat="1" x14ac:dyDescent="0.25">
      <c r="W148" s="37"/>
      <c r="X148" s="52"/>
      <c r="Y148" s="52"/>
      <c r="Z148" s="37"/>
      <c r="AA148" s="18"/>
      <c r="AB148" s="18"/>
      <c r="AC148" s="18"/>
    </row>
    <row r="149" spans="23:29" customFormat="1" x14ac:dyDescent="0.25">
      <c r="W149" s="37"/>
      <c r="X149" s="52"/>
      <c r="Y149" s="52"/>
      <c r="Z149" s="37"/>
      <c r="AA149" s="18"/>
      <c r="AB149" s="18"/>
      <c r="AC149" s="18"/>
    </row>
    <row r="150" spans="23:29" customFormat="1" x14ac:dyDescent="0.25">
      <c r="W150" s="37"/>
      <c r="X150" s="52"/>
      <c r="Y150" s="52"/>
      <c r="Z150" s="37"/>
      <c r="AA150" s="18"/>
      <c r="AB150" s="18"/>
      <c r="AC150" s="18"/>
    </row>
    <row r="151" spans="23:29" customFormat="1" x14ac:dyDescent="0.25">
      <c r="W151" s="37"/>
      <c r="X151" s="52"/>
      <c r="Y151" s="52"/>
      <c r="Z151" s="37"/>
      <c r="AA151" s="18"/>
      <c r="AB151" s="18"/>
      <c r="AC151" s="18"/>
    </row>
    <row r="152" spans="23:29" customFormat="1" x14ac:dyDescent="0.25">
      <c r="W152" s="37"/>
      <c r="X152" s="52"/>
      <c r="Y152" s="52"/>
      <c r="Z152" s="37"/>
      <c r="AA152" s="18"/>
      <c r="AB152" s="18"/>
      <c r="AC152" s="18"/>
    </row>
    <row r="153" spans="23:29" customFormat="1" x14ac:dyDescent="0.25">
      <c r="W153" s="37"/>
      <c r="X153" s="52"/>
      <c r="Y153" s="52"/>
      <c r="Z153" s="37"/>
      <c r="AA153" s="18"/>
      <c r="AB153" s="18"/>
      <c r="AC153" s="18"/>
    </row>
    <row r="154" spans="23:29" customFormat="1" x14ac:dyDescent="0.25">
      <c r="W154" s="37"/>
      <c r="X154" s="52"/>
      <c r="Y154" s="52"/>
      <c r="Z154" s="37"/>
      <c r="AA154" s="18"/>
      <c r="AB154" s="18"/>
      <c r="AC154" s="18"/>
    </row>
    <row r="155" spans="23:29" customFormat="1" x14ac:dyDescent="0.25">
      <c r="W155" s="37"/>
      <c r="X155" s="52"/>
      <c r="Y155" s="52"/>
      <c r="Z155" s="37"/>
      <c r="AA155" s="18"/>
      <c r="AB155" s="18"/>
      <c r="AC155" s="18"/>
    </row>
    <row r="156" spans="23:29" customFormat="1" x14ac:dyDescent="0.25">
      <c r="W156" s="37"/>
      <c r="X156" s="52"/>
      <c r="Y156" s="52"/>
      <c r="Z156" s="37"/>
      <c r="AA156" s="18"/>
      <c r="AB156" s="18"/>
      <c r="AC156" s="18"/>
    </row>
    <row r="157" spans="23:29" customFormat="1" x14ac:dyDescent="0.25">
      <c r="W157" s="37"/>
      <c r="X157" s="52"/>
      <c r="Y157" s="52"/>
      <c r="Z157" s="37"/>
      <c r="AA157" s="18"/>
      <c r="AB157" s="18"/>
      <c r="AC157" s="18"/>
    </row>
    <row r="158" spans="23:29" customFormat="1" x14ac:dyDescent="0.25">
      <c r="W158" s="37"/>
      <c r="X158" s="52"/>
      <c r="Y158" s="52"/>
      <c r="Z158" s="37"/>
      <c r="AA158" s="18"/>
      <c r="AB158" s="18"/>
      <c r="AC158" s="18"/>
    </row>
    <row r="159" spans="23:29" customFormat="1" x14ac:dyDescent="0.25">
      <c r="W159" s="37"/>
      <c r="X159" s="52"/>
      <c r="Y159" s="52"/>
      <c r="Z159" s="37"/>
      <c r="AA159" s="18"/>
      <c r="AB159" s="18"/>
      <c r="AC159" s="18"/>
    </row>
    <row r="160" spans="23:29" customFormat="1" x14ac:dyDescent="0.25">
      <c r="W160" s="37"/>
      <c r="X160" s="52"/>
      <c r="Y160" s="52"/>
      <c r="Z160" s="37"/>
      <c r="AA160" s="18"/>
      <c r="AB160" s="18"/>
      <c r="AC160" s="18"/>
    </row>
    <row r="161" spans="23:29" customFormat="1" x14ac:dyDescent="0.25">
      <c r="W161" s="37"/>
      <c r="X161" s="52"/>
      <c r="Y161" s="52"/>
      <c r="Z161" s="37"/>
      <c r="AA161" s="18"/>
      <c r="AB161" s="18"/>
      <c r="AC161" s="18"/>
    </row>
    <row r="162" spans="23:29" customFormat="1" x14ac:dyDescent="0.25">
      <c r="W162" s="37"/>
      <c r="X162" s="52"/>
      <c r="Y162" s="52"/>
      <c r="Z162" s="37"/>
      <c r="AA162" s="18"/>
      <c r="AB162" s="18"/>
      <c r="AC162" s="18"/>
    </row>
    <row r="163" spans="23:29" customFormat="1" x14ac:dyDescent="0.25">
      <c r="W163" s="37"/>
      <c r="X163" s="52"/>
      <c r="Y163" s="52"/>
      <c r="Z163" s="37"/>
      <c r="AA163" s="18"/>
      <c r="AB163" s="18"/>
      <c r="AC163" s="18"/>
    </row>
    <row r="164" spans="23:29" customFormat="1" x14ac:dyDescent="0.25">
      <c r="W164" s="37"/>
      <c r="X164" s="52"/>
      <c r="Y164" s="52"/>
      <c r="Z164" s="37"/>
      <c r="AA164" s="18"/>
      <c r="AB164" s="18"/>
      <c r="AC164" s="18"/>
    </row>
    <row r="165" spans="23:29" customFormat="1" x14ac:dyDescent="0.25">
      <c r="W165" s="37"/>
      <c r="X165" s="52"/>
      <c r="Y165" s="52"/>
      <c r="Z165" s="37"/>
      <c r="AA165" s="18"/>
      <c r="AB165" s="18"/>
      <c r="AC165" s="18"/>
    </row>
    <row r="166" spans="23:29" customFormat="1" x14ac:dyDescent="0.25">
      <c r="W166" s="37"/>
      <c r="X166" s="52"/>
      <c r="Y166" s="52"/>
      <c r="Z166" s="37"/>
      <c r="AA166" s="18"/>
      <c r="AB166" s="18"/>
      <c r="AC166" s="18"/>
    </row>
    <row r="167" spans="23:29" customFormat="1" x14ac:dyDescent="0.25">
      <c r="W167" s="37"/>
      <c r="X167" s="52"/>
      <c r="Y167" s="52"/>
      <c r="Z167" s="37"/>
      <c r="AA167" s="18"/>
      <c r="AB167" s="18"/>
      <c r="AC167" s="18"/>
    </row>
    <row r="168" spans="23:29" customFormat="1" x14ac:dyDescent="0.25">
      <c r="W168" s="37"/>
      <c r="X168" s="52"/>
      <c r="Y168" s="52"/>
      <c r="Z168" s="37"/>
      <c r="AA168" s="18"/>
      <c r="AB168" s="18"/>
      <c r="AC168" s="18"/>
    </row>
    <row r="169" spans="23:29" customFormat="1" x14ac:dyDescent="0.25">
      <c r="W169" s="37"/>
      <c r="X169" s="52"/>
      <c r="Y169" s="52"/>
      <c r="Z169" s="37"/>
      <c r="AA169" s="18"/>
      <c r="AB169" s="18"/>
      <c r="AC169" s="18"/>
    </row>
    <row r="170" spans="23:29" customFormat="1" x14ac:dyDescent="0.25">
      <c r="W170" s="37"/>
      <c r="X170" s="52"/>
      <c r="Y170" s="52"/>
      <c r="Z170" s="37"/>
      <c r="AA170" s="18"/>
      <c r="AB170" s="18"/>
      <c r="AC170" s="18"/>
    </row>
    <row r="171" spans="23:29" customFormat="1" x14ac:dyDescent="0.25">
      <c r="W171" s="37"/>
      <c r="X171" s="52"/>
      <c r="Y171" s="52"/>
      <c r="Z171" s="37"/>
      <c r="AA171" s="18"/>
      <c r="AB171" s="18"/>
      <c r="AC171" s="18"/>
    </row>
    <row r="172" spans="23:29" customFormat="1" x14ac:dyDescent="0.25">
      <c r="W172" s="37"/>
      <c r="X172" s="52"/>
      <c r="Y172" s="52"/>
      <c r="Z172" s="37"/>
      <c r="AA172" s="18"/>
      <c r="AB172" s="18"/>
      <c r="AC172" s="18"/>
    </row>
    <row r="173" spans="23:29" customFormat="1" x14ac:dyDescent="0.25">
      <c r="W173" s="37"/>
      <c r="X173" s="52"/>
      <c r="Y173" s="52"/>
      <c r="Z173" s="37"/>
      <c r="AA173" s="18"/>
      <c r="AB173" s="18"/>
      <c r="AC173" s="18"/>
    </row>
    <row r="174" spans="23:29" customFormat="1" x14ac:dyDescent="0.25">
      <c r="W174" s="37"/>
      <c r="X174" s="52"/>
      <c r="Y174" s="52"/>
      <c r="Z174" s="37"/>
      <c r="AA174" s="18"/>
      <c r="AB174" s="18"/>
      <c r="AC174" s="18"/>
    </row>
    <row r="175" spans="23:29" customFormat="1" x14ac:dyDescent="0.25">
      <c r="W175" s="37"/>
      <c r="X175" s="52"/>
      <c r="Y175" s="52"/>
      <c r="Z175" s="37"/>
      <c r="AA175" s="18"/>
      <c r="AB175" s="18"/>
      <c r="AC175" s="18"/>
    </row>
    <row r="176" spans="23:29" customFormat="1" x14ac:dyDescent="0.25">
      <c r="W176" s="37"/>
      <c r="X176" s="52"/>
      <c r="Y176" s="52"/>
      <c r="Z176" s="37"/>
      <c r="AA176" s="18"/>
      <c r="AB176" s="18"/>
      <c r="AC176" s="18"/>
    </row>
    <row r="177" spans="23:29" customFormat="1" x14ac:dyDescent="0.25">
      <c r="W177" s="37"/>
      <c r="X177" s="52"/>
      <c r="Y177" s="52"/>
      <c r="Z177" s="37"/>
      <c r="AA177" s="18"/>
      <c r="AB177" s="18"/>
      <c r="AC177" s="18"/>
    </row>
    <row r="178" spans="23:29" customFormat="1" x14ac:dyDescent="0.25">
      <c r="W178" s="37"/>
      <c r="X178" s="52"/>
      <c r="Y178" s="52"/>
      <c r="Z178" s="37"/>
      <c r="AA178" s="18"/>
      <c r="AB178" s="18"/>
      <c r="AC178" s="18"/>
    </row>
    <row r="179" spans="23:29" customFormat="1" x14ac:dyDescent="0.25">
      <c r="W179" s="37"/>
      <c r="X179" s="52"/>
      <c r="Y179" s="52"/>
      <c r="Z179" s="37"/>
      <c r="AA179" s="18"/>
      <c r="AB179" s="18"/>
      <c r="AC179" s="18"/>
    </row>
    <row r="180" spans="23:29" customFormat="1" x14ac:dyDescent="0.25">
      <c r="W180" s="37"/>
      <c r="X180" s="52"/>
      <c r="Y180" s="52"/>
      <c r="Z180" s="37"/>
      <c r="AA180" s="18"/>
      <c r="AB180" s="18"/>
      <c r="AC180" s="18"/>
    </row>
    <row r="181" spans="23:29" customFormat="1" x14ac:dyDescent="0.25">
      <c r="W181" s="37"/>
      <c r="X181" s="52"/>
      <c r="Y181" s="52"/>
      <c r="Z181" s="37"/>
      <c r="AA181" s="18"/>
      <c r="AB181" s="18"/>
      <c r="AC181" s="18"/>
    </row>
    <row r="182" spans="23:29" customFormat="1" x14ac:dyDescent="0.25">
      <c r="W182" s="37"/>
      <c r="X182" s="52"/>
      <c r="Y182" s="52"/>
      <c r="Z182" s="37"/>
      <c r="AA182" s="18"/>
      <c r="AB182" s="18"/>
      <c r="AC182" s="18"/>
    </row>
    <row r="183" spans="23:29" customFormat="1" x14ac:dyDescent="0.25">
      <c r="W183" s="37"/>
      <c r="X183" s="52"/>
      <c r="Y183" s="52"/>
      <c r="Z183" s="37"/>
      <c r="AA183" s="18"/>
      <c r="AB183" s="18"/>
      <c r="AC183" s="18"/>
    </row>
    <row r="184" spans="23:29" customFormat="1" x14ac:dyDescent="0.25">
      <c r="W184" s="37"/>
      <c r="X184" s="52"/>
      <c r="Y184" s="52"/>
      <c r="Z184" s="37"/>
      <c r="AA184" s="18"/>
      <c r="AB184" s="18"/>
      <c r="AC184" s="18"/>
    </row>
    <row r="185" spans="23:29" customFormat="1" x14ac:dyDescent="0.25">
      <c r="W185" s="37"/>
      <c r="X185" s="52"/>
      <c r="Y185" s="52"/>
      <c r="Z185" s="37"/>
      <c r="AA185" s="18"/>
      <c r="AB185" s="18"/>
      <c r="AC185" s="18"/>
    </row>
    <row r="186" spans="23:29" customFormat="1" x14ac:dyDescent="0.25">
      <c r="W186" s="37"/>
      <c r="X186" s="52"/>
      <c r="Y186" s="52"/>
      <c r="Z186" s="37"/>
      <c r="AA186" s="18"/>
      <c r="AB186" s="18"/>
      <c r="AC186" s="18"/>
    </row>
    <row r="187" spans="23:29" customFormat="1" x14ac:dyDescent="0.25">
      <c r="W187" s="37"/>
      <c r="X187" s="52"/>
      <c r="Y187" s="52"/>
      <c r="Z187" s="37"/>
      <c r="AA187" s="18"/>
      <c r="AB187" s="18"/>
      <c r="AC187" s="18"/>
    </row>
    <row r="188" spans="23:29" customFormat="1" x14ac:dyDescent="0.25">
      <c r="W188" s="37"/>
      <c r="X188" s="52"/>
      <c r="Y188" s="52"/>
      <c r="Z188" s="37"/>
      <c r="AA188" s="18"/>
      <c r="AB188" s="18"/>
      <c r="AC188" s="18"/>
    </row>
    <row r="189" spans="23:29" customFormat="1" x14ac:dyDescent="0.25">
      <c r="W189" s="37"/>
      <c r="X189" s="52"/>
      <c r="Y189" s="52"/>
      <c r="Z189" s="37"/>
      <c r="AA189" s="18"/>
      <c r="AB189" s="18"/>
      <c r="AC189" s="18"/>
    </row>
    <row r="190" spans="23:29" customFormat="1" x14ac:dyDescent="0.25">
      <c r="W190" s="37"/>
      <c r="X190" s="52"/>
      <c r="Y190" s="52"/>
      <c r="Z190" s="37"/>
      <c r="AA190" s="18"/>
      <c r="AB190" s="18"/>
      <c r="AC190" s="18"/>
    </row>
    <row r="191" spans="23:29" customFormat="1" x14ac:dyDescent="0.25">
      <c r="W191" s="37"/>
      <c r="X191" s="52"/>
      <c r="Y191" s="52"/>
      <c r="Z191" s="37"/>
      <c r="AA191" s="18"/>
      <c r="AB191" s="18"/>
      <c r="AC191" s="18"/>
    </row>
    <row r="192" spans="23:29" customFormat="1" x14ac:dyDescent="0.25">
      <c r="W192" s="37"/>
      <c r="X192" s="52"/>
      <c r="Y192" s="52"/>
      <c r="Z192" s="37"/>
      <c r="AA192" s="18"/>
      <c r="AB192" s="18"/>
      <c r="AC192" s="18"/>
    </row>
    <row r="193" spans="23:29" customFormat="1" x14ac:dyDescent="0.25">
      <c r="W193" s="37"/>
      <c r="X193" s="52"/>
      <c r="Y193" s="52"/>
      <c r="Z193" s="37"/>
      <c r="AA193" s="18"/>
      <c r="AB193" s="18"/>
      <c r="AC193" s="18"/>
    </row>
    <row r="194" spans="23:29" customFormat="1" x14ac:dyDescent="0.25">
      <c r="W194" s="37"/>
      <c r="X194" s="52"/>
      <c r="Y194" s="52"/>
      <c r="Z194" s="37"/>
      <c r="AA194" s="18"/>
      <c r="AB194" s="18"/>
      <c r="AC194" s="18"/>
    </row>
    <row r="195" spans="23:29" customFormat="1" x14ac:dyDescent="0.25">
      <c r="W195" s="37"/>
      <c r="X195" s="52"/>
      <c r="Y195" s="52"/>
      <c r="Z195" s="37"/>
      <c r="AA195" s="18"/>
      <c r="AB195" s="18"/>
      <c r="AC195" s="18"/>
    </row>
    <row r="196" spans="23:29" customFormat="1" x14ac:dyDescent="0.25">
      <c r="W196" s="37"/>
      <c r="X196" s="52"/>
      <c r="Y196" s="52"/>
      <c r="Z196" s="37"/>
      <c r="AA196" s="18"/>
      <c r="AB196" s="18"/>
      <c r="AC196" s="18"/>
    </row>
    <row r="197" spans="23:29" customFormat="1" x14ac:dyDescent="0.25">
      <c r="W197" s="37"/>
      <c r="X197" s="52"/>
      <c r="Y197" s="52"/>
      <c r="Z197" s="37"/>
      <c r="AA197" s="18"/>
      <c r="AB197" s="18"/>
      <c r="AC197" s="18"/>
    </row>
    <row r="198" spans="23:29" customFormat="1" x14ac:dyDescent="0.25">
      <c r="W198" s="37"/>
      <c r="X198" s="52"/>
      <c r="Y198" s="52"/>
      <c r="Z198" s="37"/>
      <c r="AA198" s="18"/>
      <c r="AB198" s="18"/>
      <c r="AC198" s="18"/>
    </row>
    <row r="199" spans="23:29" customFormat="1" x14ac:dyDescent="0.25">
      <c r="W199" s="37"/>
      <c r="X199" s="52"/>
      <c r="Y199" s="52"/>
      <c r="Z199" s="37"/>
      <c r="AA199" s="18"/>
      <c r="AB199" s="18"/>
      <c r="AC199" s="18"/>
    </row>
    <row r="200" spans="23:29" customFormat="1" x14ac:dyDescent="0.25">
      <c r="W200" s="37"/>
      <c r="X200" s="52"/>
      <c r="Y200" s="52"/>
      <c r="Z200" s="37"/>
      <c r="AA200" s="18"/>
      <c r="AB200" s="18"/>
      <c r="AC200" s="18"/>
    </row>
    <row r="201" spans="23:29" customFormat="1" x14ac:dyDescent="0.25">
      <c r="W201" s="37"/>
      <c r="X201" s="52"/>
      <c r="Y201" s="52"/>
      <c r="Z201" s="37"/>
      <c r="AA201" s="18"/>
      <c r="AB201" s="18"/>
      <c r="AC201" s="18"/>
    </row>
    <row r="202" spans="23:29" customFormat="1" x14ac:dyDescent="0.25">
      <c r="W202" s="37"/>
      <c r="X202" s="52"/>
      <c r="Y202" s="52"/>
      <c r="Z202" s="37"/>
      <c r="AA202" s="18"/>
      <c r="AB202" s="18"/>
      <c r="AC202" s="18"/>
    </row>
    <row r="203" spans="23:29" customFormat="1" x14ac:dyDescent="0.25">
      <c r="W203" s="37"/>
      <c r="X203" s="52"/>
      <c r="Y203" s="52"/>
      <c r="Z203" s="37"/>
      <c r="AA203" s="18"/>
      <c r="AB203" s="18"/>
      <c r="AC203" s="18"/>
    </row>
    <row r="204" spans="23:29" customFormat="1" x14ac:dyDescent="0.25">
      <c r="W204" s="37"/>
      <c r="X204" s="52"/>
      <c r="Y204" s="52"/>
      <c r="Z204" s="37"/>
      <c r="AA204" s="18"/>
      <c r="AB204" s="18"/>
      <c r="AC204" s="18"/>
    </row>
    <row r="205" spans="23:29" customFormat="1" x14ac:dyDescent="0.25">
      <c r="W205" s="37"/>
      <c r="X205" s="52"/>
      <c r="Y205" s="52"/>
      <c r="Z205" s="37"/>
      <c r="AA205" s="18"/>
      <c r="AB205" s="18"/>
      <c r="AC205" s="18"/>
    </row>
    <row r="206" spans="23:29" customFormat="1" x14ac:dyDescent="0.25">
      <c r="W206" s="37"/>
      <c r="X206" s="52"/>
      <c r="Y206" s="52"/>
      <c r="Z206" s="37"/>
      <c r="AA206" s="18"/>
      <c r="AB206" s="18"/>
      <c r="AC206" s="18"/>
    </row>
    <row r="207" spans="23:29" customFormat="1" x14ac:dyDescent="0.25">
      <c r="W207" s="37"/>
      <c r="X207" s="52"/>
      <c r="Y207" s="52"/>
      <c r="Z207" s="37"/>
      <c r="AA207" s="18"/>
      <c r="AB207" s="18"/>
      <c r="AC207" s="18"/>
    </row>
    <row r="208" spans="23:29" customFormat="1" x14ac:dyDescent="0.25">
      <c r="W208" s="37"/>
      <c r="X208" s="52"/>
      <c r="Y208" s="52"/>
      <c r="Z208" s="37"/>
      <c r="AA208" s="18"/>
      <c r="AB208" s="18"/>
      <c r="AC208" s="18"/>
    </row>
    <row r="209" spans="23:29" customFormat="1" x14ac:dyDescent="0.25">
      <c r="W209" s="37"/>
      <c r="X209" s="52"/>
      <c r="Y209" s="52"/>
      <c r="Z209" s="37"/>
      <c r="AA209" s="18"/>
      <c r="AB209" s="18"/>
      <c r="AC209" s="18"/>
    </row>
    <row r="210" spans="23:29" customFormat="1" x14ac:dyDescent="0.25">
      <c r="W210" s="37"/>
      <c r="X210" s="52"/>
      <c r="Y210" s="52"/>
      <c r="Z210" s="37"/>
      <c r="AA210" s="18"/>
      <c r="AB210" s="18"/>
      <c r="AC210" s="18"/>
    </row>
    <row r="211" spans="23:29" customFormat="1" x14ac:dyDescent="0.25">
      <c r="W211" s="37"/>
      <c r="X211" s="52"/>
      <c r="Y211" s="52"/>
      <c r="Z211" s="37"/>
      <c r="AA211" s="18"/>
      <c r="AB211" s="18"/>
      <c r="AC211" s="18"/>
    </row>
    <row r="212" spans="23:29" customFormat="1" x14ac:dyDescent="0.25">
      <c r="W212" s="37"/>
      <c r="X212" s="52"/>
      <c r="Y212" s="52"/>
      <c r="Z212" s="37"/>
      <c r="AA212" s="18"/>
      <c r="AB212" s="18"/>
      <c r="AC212" s="18"/>
    </row>
    <row r="213" spans="23:29" customFormat="1" x14ac:dyDescent="0.25">
      <c r="W213" s="37"/>
      <c r="X213" s="52"/>
      <c r="Y213" s="52"/>
      <c r="Z213" s="37"/>
      <c r="AA213" s="18"/>
      <c r="AB213" s="18"/>
      <c r="AC213" s="18"/>
    </row>
    <row r="214" spans="23:29" customFormat="1" x14ac:dyDescent="0.25">
      <c r="W214" s="37"/>
      <c r="X214" s="52"/>
      <c r="Y214" s="52"/>
      <c r="Z214" s="37"/>
      <c r="AA214" s="18"/>
      <c r="AB214" s="18"/>
      <c r="AC214" s="18"/>
    </row>
    <row r="215" spans="23:29" customFormat="1" x14ac:dyDescent="0.25">
      <c r="W215" s="37"/>
      <c r="X215" s="52"/>
      <c r="Y215" s="52"/>
      <c r="Z215" s="37"/>
      <c r="AA215" s="18"/>
      <c r="AB215" s="18"/>
      <c r="AC215" s="18"/>
    </row>
    <row r="216" spans="23:29" customFormat="1" x14ac:dyDescent="0.25">
      <c r="W216" s="37"/>
      <c r="X216" s="52"/>
      <c r="Y216" s="52"/>
      <c r="Z216" s="37"/>
      <c r="AA216" s="18"/>
      <c r="AB216" s="18"/>
      <c r="AC216" s="18"/>
    </row>
    <row r="217" spans="23:29" customFormat="1" x14ac:dyDescent="0.25">
      <c r="W217" s="37"/>
      <c r="X217" s="52"/>
      <c r="Y217" s="52"/>
      <c r="Z217" s="37"/>
      <c r="AA217" s="18"/>
      <c r="AB217" s="18"/>
      <c r="AC217" s="18"/>
    </row>
    <row r="218" spans="23:29" customFormat="1" x14ac:dyDescent="0.25">
      <c r="W218" s="37"/>
      <c r="X218" s="52"/>
      <c r="Y218" s="52"/>
      <c r="Z218" s="37"/>
      <c r="AA218" s="18"/>
      <c r="AB218" s="18"/>
      <c r="AC218" s="18"/>
    </row>
    <row r="219" spans="23:29" customFormat="1" x14ac:dyDescent="0.25">
      <c r="W219" s="37"/>
      <c r="X219" s="52"/>
      <c r="Y219" s="52"/>
      <c r="Z219" s="37"/>
      <c r="AA219" s="18"/>
      <c r="AB219" s="18"/>
      <c r="AC219" s="18"/>
    </row>
    <row r="220" spans="23:29" customFormat="1" x14ac:dyDescent="0.25">
      <c r="W220" s="37"/>
      <c r="X220" s="52"/>
      <c r="Y220" s="52"/>
      <c r="Z220" s="37"/>
      <c r="AA220" s="18"/>
      <c r="AB220" s="18"/>
      <c r="AC220" s="18"/>
    </row>
    <row r="221" spans="23:29" customFormat="1" x14ac:dyDescent="0.25">
      <c r="W221" s="37"/>
      <c r="X221" s="52"/>
      <c r="Y221" s="52"/>
      <c r="Z221" s="37"/>
      <c r="AA221" s="18"/>
      <c r="AB221" s="18"/>
      <c r="AC221" s="18"/>
    </row>
    <row r="222" spans="23:29" customFormat="1" x14ac:dyDescent="0.25">
      <c r="W222" s="37"/>
      <c r="X222" s="52"/>
      <c r="Y222" s="52"/>
      <c r="Z222" s="37"/>
      <c r="AA222" s="18"/>
      <c r="AB222" s="18"/>
      <c r="AC222" s="18"/>
    </row>
    <row r="223" spans="23:29" customFormat="1" x14ac:dyDescent="0.25">
      <c r="W223" s="37"/>
      <c r="X223" s="52"/>
      <c r="Y223" s="52"/>
      <c r="Z223" s="37"/>
      <c r="AA223" s="18"/>
      <c r="AB223" s="18"/>
      <c r="AC223" s="18"/>
    </row>
    <row r="224" spans="23:29" customFormat="1" x14ac:dyDescent="0.25">
      <c r="W224" s="37"/>
      <c r="X224" s="52"/>
      <c r="Y224" s="52"/>
      <c r="Z224" s="37"/>
      <c r="AA224" s="18"/>
      <c r="AB224" s="18"/>
      <c r="AC224" s="18"/>
    </row>
    <row r="225" spans="23:29" customFormat="1" x14ac:dyDescent="0.25">
      <c r="W225" s="37"/>
      <c r="X225" s="52"/>
      <c r="Y225" s="52"/>
      <c r="Z225" s="37"/>
      <c r="AA225" s="18"/>
      <c r="AB225" s="18"/>
      <c r="AC225" s="18"/>
    </row>
    <row r="226" spans="23:29" customFormat="1" x14ac:dyDescent="0.25">
      <c r="W226" s="37"/>
      <c r="X226" s="52"/>
      <c r="Y226" s="52"/>
      <c r="Z226" s="37"/>
      <c r="AA226" s="18"/>
      <c r="AB226" s="18"/>
      <c r="AC226" s="18"/>
    </row>
    <row r="227" spans="23:29" customFormat="1" x14ac:dyDescent="0.25">
      <c r="W227" s="37"/>
      <c r="X227" s="52"/>
      <c r="Y227" s="52"/>
      <c r="Z227" s="37"/>
      <c r="AA227" s="18"/>
      <c r="AB227" s="18"/>
      <c r="AC227" s="18"/>
    </row>
    <row r="228" spans="23:29" customFormat="1" x14ac:dyDescent="0.25">
      <c r="W228" s="37"/>
      <c r="X228" s="52"/>
      <c r="Y228" s="52"/>
      <c r="Z228" s="37"/>
      <c r="AA228" s="18"/>
      <c r="AB228" s="18"/>
      <c r="AC228" s="18"/>
    </row>
    <row r="229" spans="23:29" customFormat="1" x14ac:dyDescent="0.25">
      <c r="W229" s="37"/>
      <c r="X229" s="52"/>
      <c r="Y229" s="52"/>
      <c r="Z229" s="37"/>
      <c r="AA229" s="18"/>
      <c r="AB229" s="18"/>
      <c r="AC229" s="18"/>
    </row>
    <row r="230" spans="23:29" customFormat="1" x14ac:dyDescent="0.25">
      <c r="W230" s="37"/>
      <c r="X230" s="52"/>
      <c r="Y230" s="52"/>
      <c r="Z230" s="37"/>
      <c r="AA230" s="18"/>
      <c r="AB230" s="18"/>
      <c r="AC230" s="18"/>
    </row>
    <row r="231" spans="23:29" customFormat="1" x14ac:dyDescent="0.25">
      <c r="W231" s="37"/>
      <c r="X231" s="52"/>
      <c r="Y231" s="52"/>
      <c r="Z231" s="37"/>
      <c r="AA231" s="18"/>
      <c r="AB231" s="18"/>
      <c r="AC231" s="18"/>
    </row>
    <row r="232" spans="23:29" customFormat="1" x14ac:dyDescent="0.25">
      <c r="W232" s="37"/>
      <c r="X232" s="52"/>
      <c r="Y232" s="52"/>
      <c r="Z232" s="37"/>
      <c r="AA232" s="18"/>
      <c r="AB232" s="18"/>
      <c r="AC232" s="18"/>
    </row>
    <row r="233" spans="23:29" customFormat="1" x14ac:dyDescent="0.25">
      <c r="W233" s="37"/>
      <c r="X233" s="52"/>
      <c r="Y233" s="52"/>
      <c r="Z233" s="37"/>
      <c r="AA233" s="18"/>
      <c r="AB233" s="18"/>
      <c r="AC233" s="18"/>
    </row>
    <row r="234" spans="23:29" customFormat="1" x14ac:dyDescent="0.25">
      <c r="W234" s="37"/>
      <c r="X234" s="52"/>
      <c r="Y234" s="52"/>
      <c r="Z234" s="37"/>
      <c r="AA234" s="18"/>
      <c r="AB234" s="18"/>
      <c r="AC234" s="18"/>
    </row>
    <row r="235" spans="23:29" customFormat="1" x14ac:dyDescent="0.25">
      <c r="W235" s="37"/>
      <c r="X235" s="52"/>
      <c r="Y235" s="52"/>
      <c r="Z235" s="37"/>
      <c r="AA235" s="18"/>
      <c r="AB235" s="18"/>
      <c r="AC235" s="18"/>
    </row>
    <row r="236" spans="23:29" customFormat="1" x14ac:dyDescent="0.25">
      <c r="W236" s="37"/>
      <c r="X236" s="52"/>
      <c r="Y236" s="52"/>
      <c r="Z236" s="37"/>
      <c r="AA236" s="18"/>
      <c r="AB236" s="18"/>
      <c r="AC236" s="18"/>
    </row>
    <row r="237" spans="23:29" customFormat="1" x14ac:dyDescent="0.25">
      <c r="W237" s="37"/>
      <c r="X237" s="52"/>
      <c r="Y237" s="52"/>
      <c r="Z237" s="37"/>
      <c r="AA237" s="18"/>
      <c r="AB237" s="18"/>
      <c r="AC237" s="18"/>
    </row>
    <row r="238" spans="23:29" customFormat="1" x14ac:dyDescent="0.25">
      <c r="W238" s="37"/>
      <c r="X238" s="52"/>
      <c r="Y238" s="52"/>
      <c r="Z238" s="37"/>
      <c r="AA238" s="18"/>
      <c r="AB238" s="18"/>
      <c r="AC238" s="18"/>
    </row>
    <row r="239" spans="23:29" customFormat="1" x14ac:dyDescent="0.25">
      <c r="W239" s="37"/>
      <c r="X239" s="52"/>
      <c r="Y239" s="52"/>
      <c r="Z239" s="37"/>
      <c r="AA239" s="18"/>
      <c r="AB239" s="18"/>
      <c r="AC239" s="18"/>
    </row>
    <row r="240" spans="23:29" customFormat="1" x14ac:dyDescent="0.25">
      <c r="W240" s="37"/>
      <c r="X240" s="52"/>
      <c r="Y240" s="52"/>
      <c r="Z240" s="37"/>
      <c r="AA240" s="18"/>
      <c r="AB240" s="18"/>
      <c r="AC240" s="18"/>
    </row>
    <row r="241" spans="23:29" customFormat="1" x14ac:dyDescent="0.25">
      <c r="W241" s="37"/>
      <c r="X241" s="52"/>
      <c r="Y241" s="52"/>
      <c r="Z241" s="37"/>
      <c r="AA241" s="18"/>
      <c r="AB241" s="18"/>
      <c r="AC241" s="18"/>
    </row>
    <row r="242" spans="23:29" customFormat="1" x14ac:dyDescent="0.25">
      <c r="W242" s="37"/>
      <c r="X242" s="52"/>
      <c r="Y242" s="52"/>
      <c r="Z242" s="37"/>
      <c r="AA242" s="18"/>
      <c r="AB242" s="18"/>
      <c r="AC242" s="18"/>
    </row>
    <row r="243" spans="23:29" customFormat="1" x14ac:dyDescent="0.25">
      <c r="W243" s="37"/>
      <c r="X243" s="52"/>
      <c r="Y243" s="52"/>
      <c r="Z243" s="37"/>
      <c r="AA243" s="18"/>
      <c r="AB243" s="18"/>
      <c r="AC243" s="18"/>
    </row>
    <row r="244" spans="23:29" customFormat="1" x14ac:dyDescent="0.25">
      <c r="W244" s="37"/>
      <c r="X244" s="52"/>
      <c r="Y244" s="52"/>
      <c r="Z244" s="37"/>
      <c r="AA244" s="18"/>
      <c r="AB244" s="18"/>
      <c r="AC244" s="18"/>
    </row>
    <row r="245" spans="23:29" customFormat="1" x14ac:dyDescent="0.25">
      <c r="W245" s="37"/>
      <c r="X245" s="52"/>
      <c r="Y245" s="52"/>
      <c r="Z245" s="37"/>
      <c r="AA245" s="18"/>
      <c r="AB245" s="18"/>
      <c r="AC245" s="18"/>
    </row>
    <row r="246" spans="23:29" customFormat="1" x14ac:dyDescent="0.25">
      <c r="W246" s="37"/>
      <c r="X246" s="52"/>
      <c r="Y246" s="52"/>
      <c r="Z246" s="37"/>
      <c r="AA246" s="18"/>
      <c r="AB246" s="18"/>
      <c r="AC246" s="18"/>
    </row>
    <row r="247" spans="23:29" customFormat="1" x14ac:dyDescent="0.25">
      <c r="W247" s="37"/>
      <c r="X247" s="52"/>
      <c r="Y247" s="52"/>
      <c r="Z247" s="37"/>
      <c r="AA247" s="18"/>
      <c r="AB247" s="18"/>
      <c r="AC247" s="18"/>
    </row>
    <row r="248" spans="23:29" customFormat="1" x14ac:dyDescent="0.25">
      <c r="W248" s="37"/>
      <c r="X248" s="52"/>
      <c r="Y248" s="52"/>
      <c r="Z248" s="37"/>
      <c r="AA248" s="18"/>
      <c r="AB248" s="18"/>
      <c r="AC248" s="18"/>
    </row>
    <row r="249" spans="23:29" customFormat="1" x14ac:dyDescent="0.25">
      <c r="W249" s="37"/>
      <c r="X249" s="52"/>
      <c r="Y249" s="52"/>
      <c r="Z249" s="37"/>
      <c r="AA249" s="18"/>
      <c r="AB249" s="18"/>
      <c r="AC249" s="18"/>
    </row>
    <row r="250" spans="23:29" customFormat="1" x14ac:dyDescent="0.25">
      <c r="W250" s="37"/>
      <c r="X250" s="52"/>
      <c r="Y250" s="52"/>
      <c r="Z250" s="37"/>
      <c r="AA250" s="18"/>
      <c r="AB250" s="18"/>
      <c r="AC250" s="18"/>
    </row>
    <row r="251" spans="23:29" customFormat="1" x14ac:dyDescent="0.25">
      <c r="W251" s="37"/>
      <c r="X251" s="52"/>
      <c r="Y251" s="52"/>
      <c r="Z251" s="37"/>
      <c r="AA251" s="18"/>
      <c r="AB251" s="18"/>
      <c r="AC251" s="18"/>
    </row>
    <row r="252" spans="23:29" customFormat="1" x14ac:dyDescent="0.25">
      <c r="W252" s="37"/>
      <c r="X252" s="52"/>
      <c r="Y252" s="52"/>
      <c r="Z252" s="37"/>
      <c r="AA252" s="18"/>
      <c r="AB252" s="18"/>
      <c r="AC252" s="18"/>
    </row>
    <row r="253" spans="23:29" customFormat="1" x14ac:dyDescent="0.25">
      <c r="W253" s="37"/>
      <c r="X253" s="52"/>
      <c r="Y253" s="52"/>
      <c r="Z253" s="37"/>
      <c r="AA253" s="18"/>
      <c r="AB253" s="18"/>
      <c r="AC253" s="18"/>
    </row>
    <row r="254" spans="23:29" customFormat="1" x14ac:dyDescent="0.25">
      <c r="W254" s="37"/>
      <c r="X254" s="52"/>
      <c r="Y254" s="52"/>
      <c r="Z254" s="37"/>
      <c r="AA254" s="18"/>
      <c r="AB254" s="18"/>
      <c r="AC254" s="18"/>
    </row>
    <row r="255" spans="23:29" customFormat="1" x14ac:dyDescent="0.25">
      <c r="W255" s="37"/>
      <c r="X255" s="52"/>
      <c r="Y255" s="52"/>
      <c r="Z255" s="37"/>
      <c r="AA255" s="18"/>
      <c r="AB255" s="18"/>
      <c r="AC255" s="18"/>
    </row>
    <row r="256" spans="23:29" customFormat="1" x14ac:dyDescent="0.25">
      <c r="W256" s="37"/>
      <c r="X256" s="52"/>
      <c r="Y256" s="52"/>
      <c r="Z256" s="37"/>
      <c r="AA256" s="18"/>
      <c r="AB256" s="18"/>
      <c r="AC256" s="18"/>
    </row>
    <row r="257" spans="23:29" customFormat="1" x14ac:dyDescent="0.25">
      <c r="W257" s="37"/>
      <c r="X257" s="52"/>
      <c r="Y257" s="52"/>
      <c r="Z257" s="37"/>
      <c r="AA257" s="18"/>
      <c r="AB257" s="18"/>
      <c r="AC257" s="18"/>
    </row>
    <row r="258" spans="23:29" customFormat="1" x14ac:dyDescent="0.25">
      <c r="W258" s="37"/>
      <c r="X258" s="52"/>
      <c r="Y258" s="52"/>
      <c r="Z258" s="37"/>
      <c r="AA258" s="18"/>
      <c r="AB258" s="18"/>
      <c r="AC258" s="18"/>
    </row>
    <row r="259" spans="23:29" customFormat="1" x14ac:dyDescent="0.25">
      <c r="W259" s="37"/>
      <c r="X259" s="52"/>
      <c r="Y259" s="52"/>
      <c r="Z259" s="37"/>
      <c r="AA259" s="18"/>
      <c r="AB259" s="18"/>
      <c r="AC259" s="18"/>
    </row>
    <row r="260" spans="23:29" customFormat="1" x14ac:dyDescent="0.25">
      <c r="W260" s="37"/>
      <c r="X260" s="52"/>
      <c r="Y260" s="52"/>
      <c r="Z260" s="37"/>
      <c r="AA260" s="18"/>
      <c r="AB260" s="18"/>
      <c r="AC260" s="18"/>
    </row>
    <row r="261" spans="23:29" customFormat="1" x14ac:dyDescent="0.25">
      <c r="W261" s="37"/>
      <c r="X261" s="52"/>
      <c r="Y261" s="52"/>
      <c r="Z261" s="37"/>
      <c r="AA261" s="18"/>
      <c r="AB261" s="18"/>
      <c r="AC261" s="18"/>
    </row>
    <row r="262" spans="23:29" customFormat="1" x14ac:dyDescent="0.25">
      <c r="W262" s="37"/>
      <c r="X262" s="52"/>
      <c r="Y262" s="52"/>
      <c r="Z262" s="37"/>
      <c r="AA262" s="18"/>
      <c r="AB262" s="18"/>
      <c r="AC262" s="18"/>
    </row>
    <row r="263" spans="23:29" customFormat="1" x14ac:dyDescent="0.25">
      <c r="W263" s="37"/>
      <c r="X263" s="52"/>
      <c r="Y263" s="52"/>
      <c r="Z263" s="37"/>
      <c r="AA263" s="18"/>
      <c r="AB263" s="18"/>
      <c r="AC263" s="18"/>
    </row>
    <row r="264" spans="23:29" customFormat="1" x14ac:dyDescent="0.25">
      <c r="W264" s="37"/>
      <c r="X264" s="52"/>
      <c r="Y264" s="52"/>
      <c r="Z264" s="37"/>
      <c r="AA264" s="18"/>
      <c r="AB264" s="18"/>
      <c r="AC264" s="18"/>
    </row>
    <row r="265" spans="23:29" customFormat="1" x14ac:dyDescent="0.25">
      <c r="W265" s="37"/>
      <c r="X265" s="52"/>
      <c r="Y265" s="52"/>
      <c r="Z265" s="37"/>
      <c r="AA265" s="18"/>
      <c r="AB265" s="18"/>
      <c r="AC265" s="18"/>
    </row>
    <row r="266" spans="23:29" customFormat="1" x14ac:dyDescent="0.25">
      <c r="W266" s="37"/>
      <c r="X266" s="52"/>
      <c r="Y266" s="52"/>
      <c r="Z266" s="37"/>
      <c r="AA266" s="18"/>
      <c r="AB266" s="18"/>
      <c r="AC266" s="18"/>
    </row>
    <row r="267" spans="23:29" customFormat="1" x14ac:dyDescent="0.25">
      <c r="W267" s="37"/>
      <c r="X267" s="52"/>
      <c r="Y267" s="52"/>
      <c r="Z267" s="37"/>
      <c r="AA267" s="18"/>
      <c r="AB267" s="18"/>
      <c r="AC267" s="18"/>
    </row>
    <row r="268" spans="23:29" customFormat="1" x14ac:dyDescent="0.25">
      <c r="W268" s="37"/>
      <c r="X268" s="52"/>
      <c r="Y268" s="52"/>
      <c r="Z268" s="37"/>
      <c r="AA268" s="18"/>
      <c r="AB268" s="18"/>
      <c r="AC268" s="18"/>
    </row>
    <row r="269" spans="23:29" customFormat="1" x14ac:dyDescent="0.25">
      <c r="W269" s="37"/>
      <c r="X269" s="52"/>
      <c r="Y269" s="52"/>
      <c r="Z269" s="37"/>
      <c r="AA269" s="18"/>
      <c r="AB269" s="18"/>
      <c r="AC269" s="18"/>
    </row>
    <row r="270" spans="23:29" customFormat="1" x14ac:dyDescent="0.25">
      <c r="W270" s="37"/>
      <c r="X270" s="52"/>
      <c r="Y270" s="52"/>
      <c r="Z270" s="37"/>
      <c r="AA270" s="18"/>
      <c r="AB270" s="18"/>
      <c r="AC270" s="18"/>
    </row>
    <row r="271" spans="23:29" customFormat="1" x14ac:dyDescent="0.25">
      <c r="W271" s="37"/>
      <c r="X271" s="52"/>
      <c r="Y271" s="52"/>
      <c r="Z271" s="37"/>
      <c r="AA271" s="18"/>
      <c r="AB271" s="18"/>
      <c r="AC271" s="18"/>
    </row>
    <row r="272" spans="23:29" customFormat="1" x14ac:dyDescent="0.25">
      <c r="W272" s="37"/>
      <c r="X272" s="52"/>
      <c r="Y272" s="52"/>
      <c r="Z272" s="37"/>
      <c r="AA272" s="18"/>
      <c r="AB272" s="18"/>
      <c r="AC272" s="18"/>
    </row>
    <row r="273" spans="23:29" customFormat="1" x14ac:dyDescent="0.25">
      <c r="W273" s="37"/>
      <c r="X273" s="52"/>
      <c r="Y273" s="52"/>
      <c r="Z273" s="37"/>
      <c r="AA273" s="18"/>
      <c r="AB273" s="18"/>
      <c r="AC273" s="18"/>
    </row>
    <row r="274" spans="23:29" customFormat="1" x14ac:dyDescent="0.25">
      <c r="W274" s="37"/>
      <c r="X274" s="52"/>
      <c r="Y274" s="52"/>
      <c r="Z274" s="37"/>
      <c r="AA274" s="18"/>
      <c r="AB274" s="18"/>
      <c r="AC274" s="18"/>
    </row>
    <row r="275" spans="23:29" customFormat="1" x14ac:dyDescent="0.25">
      <c r="W275" s="37"/>
      <c r="X275" s="52"/>
      <c r="Y275" s="52"/>
      <c r="Z275" s="37"/>
      <c r="AA275" s="18"/>
      <c r="AB275" s="18"/>
      <c r="AC275" s="18"/>
    </row>
    <row r="276" spans="23:29" customFormat="1" x14ac:dyDescent="0.25">
      <c r="W276" s="37"/>
      <c r="X276" s="52"/>
      <c r="Y276" s="52"/>
      <c r="Z276" s="37"/>
      <c r="AA276" s="18"/>
      <c r="AB276" s="18"/>
      <c r="AC276" s="18"/>
    </row>
    <row r="277" spans="23:29" customFormat="1" x14ac:dyDescent="0.25">
      <c r="W277" s="37"/>
      <c r="X277" s="52"/>
      <c r="Y277" s="52"/>
      <c r="Z277" s="37"/>
      <c r="AA277" s="18"/>
      <c r="AB277" s="18"/>
      <c r="AC277" s="18"/>
    </row>
    <row r="278" spans="23:29" customFormat="1" x14ac:dyDescent="0.25">
      <c r="W278" s="37"/>
      <c r="X278" s="52"/>
      <c r="Y278" s="52"/>
      <c r="Z278" s="37"/>
      <c r="AA278" s="18"/>
      <c r="AB278" s="18"/>
      <c r="AC278" s="18"/>
    </row>
    <row r="279" spans="23:29" customFormat="1" x14ac:dyDescent="0.25">
      <c r="W279" s="37"/>
      <c r="X279" s="52"/>
      <c r="Y279" s="52"/>
      <c r="Z279" s="37"/>
      <c r="AA279" s="18"/>
      <c r="AB279" s="18"/>
      <c r="AC279" s="18"/>
    </row>
    <row r="280" spans="23:29" customFormat="1" x14ac:dyDescent="0.25">
      <c r="W280" s="37"/>
      <c r="X280" s="52"/>
      <c r="Y280" s="52"/>
      <c r="Z280" s="37"/>
      <c r="AA280" s="18"/>
      <c r="AB280" s="18"/>
      <c r="AC280" s="18"/>
    </row>
    <row r="281" spans="23:29" customFormat="1" x14ac:dyDescent="0.25">
      <c r="W281" s="37"/>
      <c r="X281" s="52"/>
      <c r="Y281" s="52"/>
      <c r="Z281" s="37"/>
      <c r="AA281" s="18"/>
      <c r="AB281" s="18"/>
      <c r="AC281" s="18"/>
    </row>
    <row r="282" spans="23:29" customFormat="1" x14ac:dyDescent="0.25">
      <c r="W282" s="37"/>
      <c r="X282" s="52"/>
      <c r="Y282" s="52"/>
      <c r="Z282" s="37"/>
      <c r="AA282" s="18"/>
      <c r="AB282" s="18"/>
      <c r="AC282" s="18"/>
    </row>
    <row r="283" spans="23:29" customFormat="1" x14ac:dyDescent="0.25">
      <c r="W283" s="37"/>
      <c r="X283" s="52"/>
      <c r="Y283" s="52"/>
      <c r="Z283" s="37"/>
      <c r="AA283" s="18"/>
      <c r="AB283" s="18"/>
      <c r="AC283" s="18"/>
    </row>
    <row r="284" spans="23:29" customFormat="1" x14ac:dyDescent="0.25">
      <c r="W284" s="37"/>
      <c r="X284" s="52"/>
      <c r="Y284" s="52"/>
      <c r="Z284" s="37"/>
      <c r="AA284" s="18"/>
      <c r="AB284" s="18"/>
      <c r="AC284" s="18"/>
    </row>
    <row r="285" spans="23:29" customFormat="1" x14ac:dyDescent="0.25">
      <c r="W285" s="37"/>
      <c r="X285" s="52"/>
      <c r="Y285" s="52"/>
      <c r="Z285" s="37"/>
      <c r="AA285" s="18"/>
      <c r="AB285" s="18"/>
      <c r="AC285" s="18"/>
    </row>
    <row r="286" spans="23:29" customFormat="1" x14ac:dyDescent="0.25">
      <c r="W286" s="37"/>
      <c r="X286" s="52"/>
      <c r="Y286" s="52"/>
      <c r="Z286" s="37"/>
      <c r="AA286" s="18"/>
      <c r="AB286" s="18"/>
      <c r="AC286" s="18"/>
    </row>
    <row r="287" spans="23:29" customFormat="1" x14ac:dyDescent="0.25">
      <c r="W287" s="37"/>
      <c r="X287" s="52"/>
      <c r="Y287" s="52"/>
      <c r="Z287" s="37"/>
      <c r="AA287" s="18"/>
      <c r="AB287" s="18"/>
      <c r="AC287" s="18"/>
    </row>
    <row r="288" spans="23:29" customFormat="1" x14ac:dyDescent="0.25">
      <c r="W288" s="37"/>
      <c r="X288" s="52"/>
      <c r="Y288" s="52"/>
      <c r="Z288" s="37"/>
      <c r="AA288" s="18"/>
      <c r="AB288" s="18"/>
      <c r="AC288" s="18"/>
    </row>
    <row r="289" spans="23:29" customFormat="1" x14ac:dyDescent="0.25">
      <c r="W289" s="37"/>
      <c r="X289" s="52"/>
      <c r="Y289" s="52"/>
      <c r="Z289" s="37"/>
      <c r="AA289" s="18"/>
      <c r="AB289" s="18"/>
      <c r="AC289" s="18"/>
    </row>
    <row r="290" spans="23:29" customFormat="1" x14ac:dyDescent="0.25">
      <c r="W290" s="37"/>
      <c r="X290" s="52"/>
      <c r="Y290" s="52"/>
      <c r="Z290" s="37"/>
      <c r="AA290" s="18"/>
      <c r="AB290" s="18"/>
      <c r="AC290" s="18"/>
    </row>
    <row r="291" spans="23:29" customFormat="1" x14ac:dyDescent="0.25">
      <c r="W291" s="37"/>
      <c r="X291" s="52"/>
      <c r="Y291" s="52"/>
      <c r="Z291" s="37"/>
      <c r="AA291" s="18"/>
      <c r="AB291" s="18"/>
      <c r="AC291" s="18"/>
    </row>
    <row r="292" spans="23:29" customFormat="1" x14ac:dyDescent="0.25">
      <c r="W292" s="37"/>
      <c r="X292" s="52"/>
      <c r="Y292" s="52"/>
      <c r="Z292" s="37"/>
      <c r="AA292" s="18"/>
      <c r="AB292" s="18"/>
      <c r="AC292" s="18"/>
    </row>
    <row r="293" spans="23:29" customFormat="1" x14ac:dyDescent="0.25">
      <c r="W293" s="37"/>
      <c r="X293" s="52"/>
      <c r="Y293" s="52"/>
      <c r="Z293" s="37"/>
      <c r="AA293" s="18"/>
      <c r="AB293" s="18"/>
      <c r="AC293" s="18"/>
    </row>
    <row r="294" spans="23:29" customFormat="1" x14ac:dyDescent="0.25">
      <c r="W294" s="37"/>
      <c r="X294" s="52"/>
      <c r="Y294" s="52"/>
      <c r="Z294" s="37"/>
      <c r="AA294" s="18"/>
      <c r="AB294" s="18"/>
      <c r="AC294" s="18"/>
    </row>
    <row r="295" spans="23:29" customFormat="1" x14ac:dyDescent="0.25">
      <c r="W295" s="37"/>
      <c r="X295" s="52"/>
      <c r="Y295" s="52"/>
      <c r="Z295" s="37"/>
      <c r="AA295" s="18"/>
      <c r="AB295" s="18"/>
      <c r="AC295" s="18"/>
    </row>
    <row r="296" spans="23:29" customFormat="1" x14ac:dyDescent="0.25">
      <c r="W296" s="37"/>
      <c r="X296" s="52"/>
      <c r="Y296" s="52"/>
      <c r="Z296" s="37"/>
      <c r="AA296" s="18"/>
      <c r="AB296" s="18"/>
      <c r="AC296" s="18"/>
    </row>
    <row r="297" spans="23:29" customFormat="1" x14ac:dyDescent="0.25">
      <c r="W297" s="37"/>
      <c r="X297" s="52"/>
      <c r="Y297" s="52"/>
      <c r="Z297" s="37"/>
      <c r="AA297" s="18"/>
      <c r="AB297" s="18"/>
      <c r="AC297" s="18"/>
    </row>
    <row r="298" spans="23:29" customFormat="1" x14ac:dyDescent="0.25">
      <c r="W298" s="37"/>
      <c r="X298" s="52"/>
      <c r="Y298" s="52"/>
      <c r="Z298" s="37"/>
      <c r="AA298" s="18"/>
      <c r="AB298" s="18"/>
      <c r="AC298" s="18"/>
    </row>
    <row r="299" spans="23:29" customFormat="1" x14ac:dyDescent="0.25">
      <c r="W299" s="37"/>
      <c r="X299" s="52"/>
      <c r="Y299" s="52"/>
      <c r="Z299" s="37"/>
      <c r="AA299" s="18"/>
      <c r="AB299" s="18"/>
      <c r="AC299" s="18"/>
    </row>
    <row r="300" spans="23:29" customFormat="1" x14ac:dyDescent="0.25">
      <c r="W300" s="37"/>
      <c r="X300" s="52"/>
      <c r="Y300" s="52"/>
      <c r="Z300" s="37"/>
      <c r="AA300" s="18"/>
      <c r="AB300" s="18"/>
      <c r="AC300" s="18"/>
    </row>
    <row r="301" spans="23:29" customFormat="1" x14ac:dyDescent="0.25">
      <c r="W301" s="37"/>
      <c r="X301" s="52"/>
      <c r="Y301" s="52"/>
      <c r="Z301" s="37"/>
      <c r="AA301" s="18"/>
      <c r="AB301" s="18"/>
      <c r="AC301" s="18"/>
    </row>
    <row r="302" spans="23:29" customFormat="1" x14ac:dyDescent="0.25">
      <c r="W302" s="37"/>
      <c r="X302" s="52"/>
      <c r="Y302" s="52"/>
      <c r="Z302" s="37"/>
      <c r="AA302" s="18"/>
      <c r="AB302" s="18"/>
      <c r="AC302" s="18"/>
    </row>
    <row r="303" spans="23:29" customFormat="1" x14ac:dyDescent="0.25">
      <c r="W303" s="37"/>
      <c r="X303" s="52"/>
      <c r="Y303" s="52"/>
      <c r="Z303" s="37"/>
      <c r="AA303" s="18"/>
      <c r="AB303" s="18"/>
      <c r="AC303" s="18"/>
    </row>
    <row r="304" spans="23:29" customFormat="1" x14ac:dyDescent="0.25">
      <c r="W304" s="37"/>
      <c r="X304" s="52"/>
      <c r="Y304" s="52"/>
      <c r="Z304" s="37"/>
      <c r="AA304" s="18"/>
      <c r="AB304" s="18"/>
      <c r="AC304" s="18"/>
    </row>
    <row r="305" spans="23:29" customFormat="1" x14ac:dyDescent="0.25">
      <c r="W305" s="37"/>
      <c r="X305" s="52"/>
      <c r="Y305" s="52"/>
      <c r="Z305" s="37"/>
      <c r="AA305" s="18"/>
      <c r="AB305" s="18"/>
      <c r="AC305" s="18"/>
    </row>
    <row r="306" spans="23:29" customFormat="1" x14ac:dyDescent="0.25">
      <c r="W306" s="37"/>
      <c r="X306" s="52"/>
      <c r="Y306" s="52"/>
      <c r="Z306" s="37"/>
      <c r="AA306" s="18"/>
      <c r="AB306" s="18"/>
      <c r="AC306" s="18"/>
    </row>
    <row r="307" spans="23:29" customFormat="1" x14ac:dyDescent="0.25">
      <c r="W307" s="37"/>
      <c r="X307" s="52"/>
      <c r="Y307" s="52"/>
      <c r="Z307" s="37"/>
      <c r="AA307" s="18"/>
      <c r="AB307" s="18"/>
      <c r="AC307" s="18"/>
    </row>
    <row r="308" spans="23:29" customFormat="1" x14ac:dyDescent="0.25">
      <c r="W308" s="37"/>
      <c r="X308" s="52"/>
      <c r="Y308" s="52"/>
      <c r="Z308" s="37"/>
      <c r="AA308" s="18"/>
      <c r="AB308" s="18"/>
      <c r="AC308" s="18"/>
    </row>
    <row r="309" spans="23:29" customFormat="1" x14ac:dyDescent="0.25">
      <c r="W309" s="37"/>
      <c r="X309" s="52"/>
      <c r="Y309" s="52"/>
      <c r="Z309" s="37"/>
      <c r="AA309" s="18"/>
      <c r="AB309" s="18"/>
      <c r="AC309" s="18"/>
    </row>
    <row r="310" spans="23:29" customFormat="1" x14ac:dyDescent="0.25">
      <c r="W310" s="37"/>
      <c r="X310" s="52"/>
      <c r="Y310" s="52"/>
      <c r="Z310" s="37"/>
      <c r="AA310" s="18"/>
      <c r="AB310" s="18"/>
      <c r="AC310" s="18"/>
    </row>
    <row r="311" spans="23:29" customFormat="1" x14ac:dyDescent="0.25">
      <c r="W311" s="37"/>
      <c r="X311" s="52"/>
      <c r="Y311" s="52"/>
      <c r="Z311" s="37"/>
      <c r="AA311" s="18"/>
      <c r="AB311" s="18"/>
      <c r="AC311" s="18"/>
    </row>
    <row r="312" spans="23:29" customFormat="1" x14ac:dyDescent="0.25">
      <c r="W312" s="37"/>
      <c r="X312" s="52"/>
      <c r="Y312" s="52"/>
      <c r="Z312" s="37"/>
      <c r="AA312" s="18"/>
      <c r="AB312" s="18"/>
      <c r="AC312" s="18"/>
    </row>
    <row r="313" spans="23:29" customFormat="1" x14ac:dyDescent="0.25">
      <c r="W313" s="37"/>
      <c r="X313" s="52"/>
      <c r="Y313" s="52"/>
      <c r="Z313" s="37"/>
      <c r="AA313" s="18"/>
      <c r="AB313" s="18"/>
      <c r="AC313" s="18"/>
    </row>
    <row r="314" spans="23:29" customFormat="1" x14ac:dyDescent="0.25">
      <c r="W314" s="37"/>
      <c r="X314" s="52"/>
      <c r="Y314" s="52"/>
      <c r="Z314" s="37"/>
      <c r="AA314" s="18"/>
      <c r="AB314" s="18"/>
      <c r="AC314" s="18"/>
    </row>
    <row r="315" spans="23:29" customFormat="1" x14ac:dyDescent="0.25">
      <c r="W315" s="37"/>
      <c r="X315" s="52"/>
      <c r="Y315" s="52"/>
      <c r="Z315" s="37"/>
      <c r="AA315" s="18"/>
      <c r="AB315" s="18"/>
      <c r="AC315" s="18"/>
    </row>
    <row r="316" spans="23:29" customFormat="1" x14ac:dyDescent="0.25">
      <c r="W316" s="37"/>
      <c r="X316" s="52"/>
      <c r="Y316" s="52"/>
      <c r="Z316" s="37"/>
      <c r="AA316" s="18"/>
      <c r="AB316" s="18"/>
      <c r="AC316" s="18"/>
    </row>
    <row r="317" spans="23:29" customFormat="1" x14ac:dyDescent="0.25">
      <c r="W317" s="37"/>
      <c r="X317" s="52"/>
      <c r="Y317" s="52"/>
      <c r="Z317" s="37"/>
      <c r="AA317" s="18"/>
      <c r="AB317" s="18"/>
      <c r="AC317" s="18"/>
    </row>
    <row r="318" spans="23:29" customFormat="1" x14ac:dyDescent="0.25">
      <c r="W318" s="37"/>
      <c r="X318" s="52"/>
      <c r="Y318" s="52"/>
      <c r="Z318" s="37"/>
      <c r="AA318" s="18"/>
      <c r="AB318" s="18"/>
      <c r="AC318" s="18"/>
    </row>
    <row r="319" spans="23:29" customFormat="1" x14ac:dyDescent="0.25">
      <c r="W319" s="37"/>
      <c r="X319" s="52"/>
      <c r="Y319" s="52"/>
      <c r="Z319" s="37"/>
      <c r="AA319" s="18"/>
      <c r="AB319" s="18"/>
      <c r="AC319" s="18"/>
    </row>
    <row r="320" spans="23:29" customFormat="1" x14ac:dyDescent="0.25">
      <c r="W320" s="37"/>
      <c r="X320" s="52"/>
      <c r="Y320" s="52"/>
      <c r="Z320" s="37"/>
      <c r="AA320" s="18"/>
      <c r="AB320" s="18"/>
      <c r="AC320" s="18"/>
    </row>
    <row r="321" spans="23:29" customFormat="1" x14ac:dyDescent="0.25">
      <c r="W321" s="37"/>
      <c r="X321" s="52"/>
      <c r="Y321" s="52"/>
      <c r="Z321" s="37"/>
      <c r="AA321" s="18"/>
      <c r="AB321" s="18"/>
      <c r="AC321" s="18"/>
    </row>
    <row r="322" spans="23:29" customFormat="1" x14ac:dyDescent="0.25">
      <c r="W322" s="37"/>
      <c r="X322" s="52"/>
      <c r="Y322" s="52"/>
      <c r="Z322" s="37"/>
      <c r="AA322" s="18"/>
      <c r="AB322" s="18"/>
      <c r="AC322" s="18"/>
    </row>
    <row r="323" spans="23:29" customFormat="1" x14ac:dyDescent="0.25">
      <c r="W323" s="37"/>
      <c r="X323" s="52"/>
      <c r="Y323" s="52"/>
      <c r="Z323" s="37"/>
      <c r="AA323" s="18"/>
      <c r="AB323" s="18"/>
      <c r="AC323" s="18"/>
    </row>
    <row r="324" spans="23:29" customFormat="1" x14ac:dyDescent="0.25">
      <c r="W324" s="37"/>
      <c r="X324" s="52"/>
      <c r="Y324" s="52"/>
      <c r="Z324" s="37"/>
      <c r="AA324" s="18"/>
      <c r="AB324" s="18"/>
      <c r="AC324" s="18"/>
    </row>
    <row r="325" spans="23:29" customFormat="1" x14ac:dyDescent="0.25">
      <c r="W325" s="37"/>
      <c r="X325" s="52"/>
      <c r="Y325" s="52"/>
      <c r="Z325" s="37"/>
      <c r="AA325" s="18"/>
      <c r="AB325" s="18"/>
      <c r="AC325" s="18"/>
    </row>
    <row r="326" spans="23:29" customFormat="1" x14ac:dyDescent="0.25">
      <c r="W326" s="37"/>
      <c r="X326" s="52"/>
      <c r="Y326" s="52"/>
      <c r="Z326" s="37"/>
      <c r="AA326" s="18"/>
      <c r="AB326" s="18"/>
      <c r="AC326" s="18"/>
    </row>
    <row r="327" spans="23:29" customFormat="1" x14ac:dyDescent="0.25">
      <c r="W327" s="37"/>
      <c r="X327" s="52"/>
      <c r="Y327" s="52"/>
      <c r="Z327" s="37"/>
      <c r="AA327" s="18"/>
      <c r="AB327" s="18"/>
      <c r="AC327" s="18"/>
    </row>
    <row r="328" spans="23:29" customFormat="1" x14ac:dyDescent="0.25">
      <c r="W328" s="37"/>
      <c r="X328" s="52"/>
      <c r="Y328" s="52"/>
      <c r="Z328" s="37"/>
      <c r="AA328" s="18"/>
      <c r="AB328" s="18"/>
      <c r="AC328" s="18"/>
    </row>
    <row r="329" spans="23:29" customFormat="1" x14ac:dyDescent="0.25">
      <c r="W329" s="37"/>
      <c r="X329" s="52"/>
      <c r="Y329" s="52"/>
      <c r="Z329" s="37"/>
      <c r="AA329" s="18"/>
      <c r="AB329" s="18"/>
      <c r="AC329" s="18"/>
    </row>
    <row r="330" spans="23:29" customFormat="1" x14ac:dyDescent="0.25">
      <c r="W330" s="37"/>
      <c r="X330" s="52"/>
      <c r="Y330" s="52"/>
      <c r="Z330" s="37"/>
      <c r="AA330" s="18"/>
      <c r="AB330" s="18"/>
      <c r="AC330" s="18"/>
    </row>
    <row r="331" spans="23:29" customFormat="1" x14ac:dyDescent="0.25">
      <c r="W331" s="37"/>
      <c r="X331" s="52"/>
      <c r="Y331" s="52"/>
      <c r="Z331" s="37"/>
      <c r="AA331" s="18"/>
      <c r="AB331" s="18"/>
      <c r="AC331" s="18"/>
    </row>
    <row r="332" spans="23:29" customFormat="1" x14ac:dyDescent="0.25">
      <c r="W332" s="37"/>
      <c r="X332" s="52"/>
      <c r="Y332" s="52"/>
      <c r="Z332" s="37"/>
      <c r="AA332" s="18"/>
      <c r="AB332" s="18"/>
      <c r="AC332" s="18"/>
    </row>
    <row r="333" spans="23:29" customFormat="1" x14ac:dyDescent="0.25">
      <c r="W333" s="37"/>
      <c r="X333" s="52"/>
      <c r="Y333" s="52"/>
      <c r="Z333" s="37"/>
      <c r="AA333" s="18"/>
      <c r="AB333" s="18"/>
      <c r="AC333" s="18"/>
    </row>
    <row r="334" spans="23:29" customFormat="1" x14ac:dyDescent="0.25">
      <c r="W334" s="37"/>
      <c r="X334" s="52"/>
      <c r="Y334" s="52"/>
      <c r="Z334" s="37"/>
      <c r="AA334" s="18"/>
      <c r="AB334" s="18"/>
      <c r="AC334" s="18"/>
    </row>
    <row r="335" spans="23:29" customFormat="1" x14ac:dyDescent="0.25">
      <c r="W335" s="37"/>
      <c r="X335" s="52"/>
      <c r="Y335" s="52"/>
      <c r="Z335" s="37"/>
      <c r="AA335" s="18"/>
      <c r="AB335" s="18"/>
      <c r="AC335" s="18"/>
    </row>
    <row r="336" spans="23:29" customFormat="1" x14ac:dyDescent="0.25">
      <c r="W336" s="37"/>
      <c r="X336" s="52"/>
      <c r="Y336" s="52"/>
      <c r="Z336" s="37"/>
      <c r="AA336" s="18"/>
      <c r="AB336" s="18"/>
      <c r="AC336" s="18"/>
    </row>
    <row r="337" spans="23:29" customFormat="1" x14ac:dyDescent="0.25">
      <c r="W337" s="37"/>
      <c r="X337" s="52"/>
      <c r="Y337" s="52"/>
      <c r="Z337" s="37"/>
      <c r="AA337" s="18"/>
      <c r="AB337" s="18"/>
      <c r="AC337" s="18"/>
    </row>
    <row r="338" spans="23:29" customFormat="1" x14ac:dyDescent="0.25">
      <c r="W338" s="37"/>
      <c r="X338" s="52"/>
      <c r="Y338" s="52"/>
      <c r="Z338" s="37"/>
      <c r="AA338" s="18"/>
      <c r="AB338" s="18"/>
      <c r="AC338" s="18"/>
    </row>
    <row r="339" spans="23:29" customFormat="1" x14ac:dyDescent="0.25">
      <c r="W339" s="37"/>
      <c r="X339" s="52"/>
      <c r="Y339" s="52"/>
      <c r="Z339" s="37"/>
      <c r="AA339" s="18"/>
      <c r="AB339" s="18"/>
      <c r="AC339" s="18"/>
    </row>
    <row r="340" spans="23:29" customFormat="1" x14ac:dyDescent="0.25">
      <c r="W340" s="37"/>
      <c r="X340" s="52"/>
      <c r="Y340" s="52"/>
      <c r="Z340" s="37"/>
      <c r="AA340" s="18"/>
      <c r="AB340" s="18"/>
      <c r="AC340" s="18"/>
    </row>
    <row r="341" spans="23:29" customFormat="1" x14ac:dyDescent="0.25">
      <c r="W341" s="37"/>
      <c r="X341" s="52"/>
      <c r="Y341" s="52"/>
      <c r="Z341" s="37"/>
      <c r="AA341" s="18"/>
      <c r="AB341" s="18"/>
      <c r="AC341" s="18"/>
    </row>
    <row r="342" spans="23:29" customFormat="1" x14ac:dyDescent="0.25">
      <c r="W342" s="37"/>
      <c r="X342" s="52"/>
      <c r="Y342" s="52"/>
      <c r="Z342" s="37"/>
      <c r="AA342" s="18"/>
      <c r="AB342" s="18"/>
      <c r="AC342" s="18"/>
    </row>
    <row r="343" spans="23:29" customFormat="1" x14ac:dyDescent="0.25">
      <c r="W343" s="37"/>
      <c r="X343" s="52"/>
      <c r="Y343" s="52"/>
      <c r="Z343" s="37"/>
      <c r="AA343" s="18"/>
      <c r="AB343" s="18"/>
      <c r="AC343" s="18"/>
    </row>
    <row r="344" spans="23:29" customFormat="1" x14ac:dyDescent="0.25">
      <c r="W344" s="37"/>
      <c r="X344" s="52"/>
      <c r="Y344" s="52"/>
      <c r="Z344" s="37"/>
      <c r="AA344" s="18"/>
      <c r="AB344" s="18"/>
      <c r="AC344" s="18"/>
    </row>
    <row r="345" spans="23:29" customFormat="1" x14ac:dyDescent="0.25">
      <c r="W345" s="37"/>
      <c r="X345" s="52"/>
      <c r="Y345" s="52"/>
      <c r="Z345" s="37"/>
      <c r="AA345" s="18"/>
      <c r="AB345" s="18"/>
      <c r="AC345" s="18"/>
    </row>
    <row r="346" spans="23:29" customFormat="1" x14ac:dyDescent="0.25">
      <c r="W346" s="37"/>
      <c r="X346" s="52"/>
      <c r="Y346" s="52"/>
      <c r="Z346" s="37"/>
      <c r="AA346" s="18"/>
      <c r="AB346" s="18"/>
      <c r="AC346" s="18"/>
    </row>
    <row r="347" spans="23:29" customFormat="1" x14ac:dyDescent="0.25">
      <c r="W347" s="37"/>
      <c r="X347" s="52"/>
      <c r="Y347" s="52"/>
      <c r="Z347" s="37"/>
      <c r="AA347" s="18"/>
      <c r="AB347" s="18"/>
      <c r="AC347" s="18"/>
    </row>
    <row r="348" spans="23:29" customFormat="1" x14ac:dyDescent="0.25">
      <c r="W348" s="37"/>
      <c r="X348" s="52"/>
      <c r="Y348" s="52"/>
      <c r="Z348" s="37"/>
      <c r="AA348" s="18"/>
      <c r="AB348" s="18"/>
      <c r="AC348" s="18"/>
    </row>
    <row r="349" spans="23:29" customFormat="1" x14ac:dyDescent="0.25">
      <c r="W349" s="37"/>
      <c r="X349" s="52"/>
      <c r="Y349" s="52"/>
      <c r="Z349" s="37"/>
      <c r="AA349" s="18"/>
      <c r="AB349" s="18"/>
      <c r="AC349" s="18"/>
    </row>
    <row r="350" spans="23:29" customFormat="1" x14ac:dyDescent="0.25">
      <c r="W350" s="37"/>
      <c r="X350" s="52"/>
      <c r="Y350" s="52"/>
      <c r="Z350" s="37"/>
      <c r="AA350" s="18"/>
      <c r="AB350" s="18"/>
      <c r="AC350" s="18"/>
    </row>
    <row r="351" spans="23:29" customFormat="1" x14ac:dyDescent="0.25">
      <c r="W351" s="37"/>
      <c r="X351" s="52"/>
      <c r="Y351" s="52"/>
      <c r="Z351" s="37"/>
      <c r="AA351" s="18"/>
      <c r="AB351" s="18"/>
      <c r="AC351" s="18"/>
    </row>
    <row r="352" spans="23:29" customFormat="1" x14ac:dyDescent="0.25">
      <c r="W352" s="37"/>
      <c r="X352" s="52"/>
      <c r="Y352" s="52"/>
      <c r="Z352" s="37"/>
      <c r="AA352" s="18"/>
      <c r="AB352" s="18"/>
      <c r="AC352" s="18"/>
    </row>
    <row r="353" spans="23:29" customFormat="1" x14ac:dyDescent="0.25">
      <c r="W353" s="37"/>
      <c r="X353" s="52"/>
      <c r="Y353" s="52"/>
      <c r="Z353" s="37"/>
      <c r="AA353" s="18"/>
      <c r="AB353" s="18"/>
      <c r="AC353" s="18"/>
    </row>
    <row r="354" spans="23:29" customFormat="1" x14ac:dyDescent="0.25">
      <c r="W354" s="37"/>
      <c r="X354" s="52"/>
      <c r="Y354" s="52"/>
      <c r="Z354" s="37"/>
      <c r="AA354" s="18"/>
      <c r="AB354" s="18"/>
      <c r="AC354" s="18"/>
    </row>
    <row r="355" spans="23:29" customFormat="1" x14ac:dyDescent="0.25">
      <c r="W355" s="37"/>
      <c r="X355" s="52"/>
      <c r="Y355" s="52"/>
      <c r="Z355" s="37"/>
      <c r="AA355" s="18"/>
      <c r="AB355" s="18"/>
      <c r="AC355" s="18"/>
    </row>
    <row r="356" spans="23:29" customFormat="1" x14ac:dyDescent="0.25">
      <c r="W356" s="37"/>
      <c r="X356" s="52"/>
      <c r="Y356" s="52"/>
      <c r="Z356" s="37"/>
      <c r="AA356" s="18"/>
      <c r="AB356" s="18"/>
      <c r="AC356" s="18"/>
    </row>
    <row r="357" spans="23:29" customFormat="1" x14ac:dyDescent="0.25">
      <c r="W357" s="37"/>
      <c r="X357" s="52"/>
      <c r="Y357" s="52"/>
      <c r="Z357" s="37"/>
      <c r="AA357" s="18"/>
      <c r="AB357" s="18"/>
      <c r="AC357" s="18"/>
    </row>
    <row r="358" spans="23:29" customFormat="1" x14ac:dyDescent="0.25">
      <c r="W358" s="37"/>
      <c r="X358" s="52"/>
      <c r="Y358" s="52"/>
      <c r="Z358" s="37"/>
      <c r="AA358" s="18"/>
      <c r="AB358" s="18"/>
      <c r="AC358" s="18"/>
    </row>
    <row r="359" spans="23:29" customFormat="1" x14ac:dyDescent="0.25">
      <c r="W359" s="37"/>
      <c r="X359" s="52"/>
      <c r="Y359" s="52"/>
      <c r="Z359" s="37"/>
      <c r="AA359" s="18"/>
      <c r="AB359" s="18"/>
      <c r="AC359" s="18"/>
    </row>
    <row r="360" spans="23:29" customFormat="1" x14ac:dyDescent="0.25">
      <c r="W360" s="37"/>
      <c r="X360" s="52"/>
      <c r="Y360" s="52"/>
      <c r="Z360" s="37"/>
      <c r="AA360" s="18"/>
      <c r="AB360" s="18"/>
      <c r="AC360" s="18"/>
    </row>
    <row r="361" spans="23:29" customFormat="1" x14ac:dyDescent="0.25">
      <c r="W361" s="37"/>
      <c r="X361" s="52"/>
      <c r="Y361" s="52"/>
      <c r="Z361" s="37"/>
      <c r="AA361" s="18"/>
      <c r="AB361" s="18"/>
      <c r="AC361" s="18"/>
    </row>
    <row r="362" spans="23:29" customFormat="1" x14ac:dyDescent="0.25">
      <c r="W362" s="37"/>
      <c r="X362" s="52"/>
      <c r="Y362" s="52"/>
      <c r="Z362" s="37"/>
      <c r="AA362" s="18"/>
      <c r="AB362" s="18"/>
      <c r="AC362" s="18"/>
    </row>
    <row r="363" spans="23:29" customFormat="1" x14ac:dyDescent="0.25">
      <c r="W363" s="37"/>
      <c r="X363" s="52"/>
      <c r="Y363" s="52"/>
      <c r="Z363" s="37"/>
      <c r="AA363" s="18"/>
      <c r="AB363" s="18"/>
      <c r="AC363" s="18"/>
    </row>
    <row r="364" spans="23:29" customFormat="1" x14ac:dyDescent="0.25">
      <c r="W364" s="37"/>
      <c r="X364" s="52"/>
      <c r="Y364" s="52"/>
      <c r="Z364" s="37"/>
      <c r="AA364" s="18"/>
      <c r="AB364" s="18"/>
      <c r="AC364" s="18"/>
    </row>
    <row r="365" spans="23:29" customFormat="1" x14ac:dyDescent="0.25">
      <c r="W365" s="37"/>
      <c r="X365" s="52"/>
      <c r="Y365" s="52"/>
      <c r="Z365" s="37"/>
      <c r="AA365" s="18"/>
      <c r="AB365" s="18"/>
      <c r="AC365" s="18"/>
    </row>
    <row r="366" spans="23:29" customFormat="1" x14ac:dyDescent="0.25">
      <c r="W366" s="37"/>
      <c r="X366" s="52"/>
      <c r="Y366" s="52"/>
      <c r="Z366" s="37"/>
      <c r="AA366" s="18"/>
      <c r="AB366" s="18"/>
      <c r="AC366" s="18"/>
    </row>
    <row r="367" spans="23:29" customFormat="1" x14ac:dyDescent="0.25">
      <c r="W367" s="37"/>
      <c r="X367" s="52"/>
      <c r="Y367" s="52"/>
      <c r="Z367" s="37"/>
      <c r="AA367" s="18"/>
      <c r="AB367" s="18"/>
      <c r="AC367" s="18"/>
    </row>
    <row r="368" spans="23:29" customFormat="1" x14ac:dyDescent="0.25">
      <c r="W368" s="37"/>
      <c r="X368" s="52"/>
      <c r="Y368" s="52"/>
      <c r="Z368" s="37"/>
      <c r="AA368" s="18"/>
      <c r="AB368" s="18"/>
      <c r="AC368" s="18"/>
    </row>
    <row r="369" spans="23:29" customFormat="1" x14ac:dyDescent="0.25">
      <c r="W369" s="37"/>
      <c r="X369" s="52"/>
      <c r="Y369" s="52"/>
      <c r="Z369" s="37"/>
      <c r="AA369" s="18"/>
      <c r="AB369" s="18"/>
      <c r="AC369" s="18"/>
    </row>
    <row r="370" spans="23:29" customFormat="1" x14ac:dyDescent="0.25">
      <c r="W370" s="37"/>
      <c r="X370" s="52"/>
      <c r="Y370" s="52"/>
      <c r="Z370" s="37"/>
      <c r="AA370" s="18"/>
      <c r="AB370" s="18"/>
      <c r="AC370" s="18"/>
    </row>
    <row r="371" spans="23:29" customFormat="1" x14ac:dyDescent="0.25">
      <c r="W371" s="37"/>
      <c r="X371" s="52"/>
      <c r="Y371" s="52"/>
      <c r="Z371" s="37"/>
      <c r="AA371" s="18"/>
      <c r="AB371" s="18"/>
      <c r="AC371" s="18"/>
    </row>
    <row r="372" spans="23:29" customFormat="1" x14ac:dyDescent="0.25">
      <c r="W372" s="37"/>
      <c r="X372" s="52"/>
      <c r="Y372" s="52"/>
      <c r="Z372" s="37"/>
      <c r="AA372" s="18"/>
      <c r="AB372" s="18"/>
      <c r="AC372" s="18"/>
    </row>
    <row r="373" spans="23:29" customFormat="1" x14ac:dyDescent="0.25">
      <c r="W373" s="37"/>
      <c r="X373" s="52"/>
      <c r="Y373" s="52"/>
      <c r="Z373" s="37"/>
      <c r="AA373" s="18"/>
      <c r="AB373" s="18"/>
      <c r="AC373" s="18"/>
    </row>
    <row r="374" spans="23:29" customFormat="1" x14ac:dyDescent="0.25">
      <c r="W374" s="37"/>
      <c r="X374" s="52"/>
      <c r="Y374" s="52"/>
      <c r="Z374" s="37"/>
      <c r="AA374" s="18"/>
      <c r="AB374" s="18"/>
      <c r="AC374" s="18"/>
    </row>
    <row r="375" spans="23:29" customFormat="1" x14ac:dyDescent="0.25">
      <c r="W375" s="37"/>
      <c r="X375" s="52"/>
      <c r="Y375" s="52"/>
      <c r="Z375" s="37"/>
      <c r="AA375" s="18"/>
      <c r="AB375" s="18"/>
      <c r="AC375" s="18"/>
    </row>
    <row r="376" spans="23:29" customFormat="1" x14ac:dyDescent="0.25">
      <c r="W376" s="37"/>
      <c r="X376" s="52"/>
      <c r="Y376" s="52"/>
      <c r="Z376" s="37"/>
      <c r="AA376" s="18"/>
      <c r="AB376" s="18"/>
      <c r="AC376" s="18"/>
    </row>
    <row r="377" spans="23:29" customFormat="1" x14ac:dyDescent="0.25">
      <c r="W377" s="37"/>
      <c r="X377" s="52"/>
      <c r="Y377" s="52"/>
      <c r="Z377" s="37"/>
      <c r="AA377" s="18"/>
      <c r="AB377" s="18"/>
      <c r="AC377" s="18"/>
    </row>
    <row r="378" spans="23:29" customFormat="1" x14ac:dyDescent="0.25">
      <c r="W378" s="37"/>
      <c r="X378" s="52"/>
      <c r="Y378" s="52"/>
      <c r="Z378" s="37"/>
      <c r="AA378" s="18"/>
      <c r="AB378" s="18"/>
      <c r="AC378" s="18"/>
    </row>
    <row r="379" spans="23:29" customFormat="1" x14ac:dyDescent="0.25">
      <c r="W379" s="37"/>
      <c r="X379" s="52"/>
      <c r="Y379" s="52"/>
      <c r="Z379" s="37"/>
      <c r="AA379" s="18"/>
      <c r="AB379" s="18"/>
      <c r="AC379" s="18"/>
    </row>
    <row r="380" spans="23:29" customFormat="1" x14ac:dyDescent="0.25">
      <c r="W380" s="37"/>
      <c r="X380" s="52"/>
      <c r="Y380" s="52"/>
      <c r="Z380" s="37"/>
      <c r="AA380" s="18"/>
      <c r="AB380" s="18"/>
      <c r="AC380" s="18"/>
    </row>
    <row r="381" spans="23:29" customFormat="1" x14ac:dyDescent="0.25">
      <c r="W381" s="37"/>
      <c r="X381" s="52"/>
      <c r="Y381" s="52"/>
      <c r="Z381" s="37"/>
      <c r="AA381" s="18"/>
      <c r="AB381" s="18"/>
      <c r="AC381" s="18"/>
    </row>
    <row r="382" spans="23:29" customFormat="1" x14ac:dyDescent="0.25">
      <c r="W382" s="37"/>
      <c r="X382" s="52"/>
      <c r="Y382" s="52"/>
      <c r="Z382" s="37"/>
      <c r="AA382" s="18"/>
      <c r="AB382" s="18"/>
      <c r="AC382" s="18"/>
    </row>
    <row r="383" spans="23:29" customFormat="1" x14ac:dyDescent="0.25">
      <c r="W383" s="37"/>
      <c r="X383" s="52"/>
      <c r="Y383" s="52"/>
      <c r="Z383" s="37"/>
      <c r="AA383" s="18"/>
      <c r="AB383" s="18"/>
      <c r="AC383" s="18"/>
    </row>
    <row r="384" spans="23:29" customFormat="1" x14ac:dyDescent="0.25">
      <c r="W384" s="37"/>
      <c r="X384" s="52"/>
      <c r="Y384" s="52"/>
      <c r="Z384" s="37"/>
      <c r="AA384" s="18"/>
      <c r="AB384" s="18"/>
      <c r="AC384" s="18"/>
    </row>
    <row r="385" spans="23:29" customFormat="1" x14ac:dyDescent="0.25">
      <c r="W385" s="37"/>
      <c r="X385" s="52"/>
      <c r="Y385" s="52"/>
      <c r="Z385" s="37"/>
      <c r="AA385" s="18"/>
      <c r="AB385" s="18"/>
      <c r="AC385" s="18"/>
    </row>
    <row r="386" spans="23:29" customFormat="1" x14ac:dyDescent="0.25">
      <c r="W386" s="37"/>
      <c r="X386" s="52"/>
      <c r="Y386" s="52"/>
      <c r="Z386" s="37"/>
      <c r="AA386" s="18"/>
      <c r="AB386" s="18"/>
      <c r="AC386" s="18"/>
    </row>
    <row r="387" spans="23:29" customFormat="1" x14ac:dyDescent="0.25">
      <c r="W387" s="37"/>
      <c r="X387" s="52"/>
      <c r="Y387" s="52"/>
      <c r="Z387" s="37"/>
      <c r="AA387" s="18"/>
      <c r="AB387" s="18"/>
      <c r="AC387" s="18"/>
    </row>
    <row r="388" spans="23:29" customFormat="1" x14ac:dyDescent="0.25">
      <c r="W388" s="37"/>
      <c r="X388" s="52"/>
      <c r="Y388" s="52"/>
      <c r="Z388" s="37"/>
      <c r="AA388" s="18"/>
      <c r="AB388" s="18"/>
      <c r="AC388" s="18"/>
    </row>
    <row r="389" spans="23:29" customFormat="1" x14ac:dyDescent="0.25">
      <c r="W389" s="37"/>
      <c r="X389" s="52"/>
      <c r="Y389" s="52"/>
      <c r="Z389" s="37"/>
      <c r="AA389" s="18"/>
      <c r="AB389" s="18"/>
      <c r="AC389" s="18"/>
    </row>
    <row r="390" spans="23:29" customFormat="1" x14ac:dyDescent="0.25">
      <c r="W390" s="37"/>
      <c r="X390" s="52"/>
      <c r="Y390" s="52"/>
      <c r="Z390" s="37"/>
      <c r="AA390" s="18"/>
      <c r="AB390" s="18"/>
      <c r="AC390" s="18"/>
    </row>
    <row r="391" spans="23:29" customFormat="1" x14ac:dyDescent="0.25">
      <c r="W391" s="37"/>
      <c r="X391" s="52"/>
      <c r="Y391" s="52"/>
      <c r="Z391" s="37"/>
      <c r="AA391" s="18"/>
      <c r="AB391" s="18"/>
      <c r="AC391" s="18"/>
    </row>
    <row r="392" spans="23:29" customFormat="1" x14ac:dyDescent="0.25">
      <c r="W392" s="37"/>
      <c r="X392" s="52"/>
      <c r="Y392" s="52"/>
      <c r="Z392" s="37"/>
      <c r="AA392" s="18"/>
      <c r="AB392" s="18"/>
      <c r="AC392" s="18"/>
    </row>
    <row r="393" spans="23:29" customFormat="1" x14ac:dyDescent="0.25">
      <c r="W393" s="37"/>
      <c r="X393" s="52"/>
      <c r="Y393" s="52"/>
      <c r="Z393" s="37"/>
      <c r="AA393" s="18"/>
      <c r="AB393" s="18"/>
      <c r="AC393" s="18"/>
    </row>
    <row r="394" spans="23:29" customFormat="1" x14ac:dyDescent="0.25">
      <c r="W394" s="37"/>
      <c r="X394" s="52"/>
      <c r="Y394" s="52"/>
      <c r="Z394" s="37"/>
      <c r="AA394" s="18"/>
      <c r="AB394" s="18"/>
      <c r="AC394" s="18"/>
    </row>
    <row r="395" spans="23:29" customFormat="1" x14ac:dyDescent="0.25">
      <c r="W395" s="37"/>
      <c r="X395" s="52"/>
      <c r="Y395" s="52"/>
      <c r="Z395" s="37"/>
      <c r="AA395" s="18"/>
      <c r="AB395" s="18"/>
      <c r="AC395" s="18"/>
    </row>
    <row r="396" spans="23:29" customFormat="1" x14ac:dyDescent="0.25">
      <c r="W396" s="37"/>
      <c r="X396" s="52"/>
      <c r="Y396" s="52"/>
      <c r="Z396" s="37"/>
      <c r="AA396" s="18"/>
      <c r="AB396" s="18"/>
      <c r="AC396" s="18"/>
    </row>
    <row r="397" spans="23:29" customFormat="1" x14ac:dyDescent="0.25">
      <c r="W397" s="37"/>
      <c r="X397" s="52"/>
      <c r="Y397" s="52"/>
      <c r="Z397" s="37"/>
      <c r="AA397" s="18"/>
      <c r="AB397" s="18"/>
      <c r="AC397" s="18"/>
    </row>
    <row r="398" spans="23:29" customFormat="1" x14ac:dyDescent="0.25">
      <c r="W398" s="37"/>
      <c r="X398" s="52"/>
      <c r="Y398" s="52"/>
      <c r="Z398" s="37"/>
      <c r="AA398" s="18"/>
      <c r="AB398" s="18"/>
      <c r="AC398" s="18"/>
    </row>
    <row r="399" spans="23:29" customFormat="1" x14ac:dyDescent="0.25">
      <c r="W399" s="37"/>
      <c r="X399" s="52"/>
      <c r="Y399" s="52"/>
      <c r="Z399" s="37"/>
      <c r="AA399" s="18"/>
      <c r="AB399" s="18"/>
      <c r="AC399" s="18"/>
    </row>
    <row r="400" spans="23:29" customFormat="1" x14ac:dyDescent="0.25">
      <c r="W400" s="37"/>
      <c r="X400" s="52"/>
      <c r="Y400" s="52"/>
      <c r="Z400" s="37"/>
      <c r="AA400" s="18"/>
      <c r="AB400" s="18"/>
      <c r="AC400" s="18"/>
    </row>
    <row r="401" spans="23:29" customFormat="1" x14ac:dyDescent="0.25">
      <c r="W401" s="37"/>
      <c r="X401" s="52"/>
      <c r="Y401" s="52"/>
      <c r="Z401" s="37"/>
      <c r="AA401" s="18"/>
      <c r="AB401" s="18"/>
      <c r="AC401" s="18"/>
    </row>
    <row r="402" spans="23:29" customFormat="1" x14ac:dyDescent="0.25">
      <c r="W402" s="37"/>
      <c r="X402" s="52"/>
      <c r="Y402" s="52"/>
      <c r="Z402" s="37"/>
      <c r="AA402" s="18"/>
      <c r="AB402" s="18"/>
      <c r="AC402" s="18"/>
    </row>
    <row r="403" spans="23:29" customFormat="1" x14ac:dyDescent="0.25">
      <c r="W403" s="37"/>
      <c r="X403" s="52"/>
      <c r="Y403" s="52"/>
      <c r="Z403" s="37"/>
      <c r="AA403" s="18"/>
      <c r="AB403" s="18"/>
      <c r="AC403" s="18"/>
    </row>
    <row r="404" spans="23:29" customFormat="1" x14ac:dyDescent="0.25">
      <c r="W404" s="37"/>
      <c r="X404" s="52"/>
      <c r="Y404" s="52"/>
      <c r="Z404" s="37"/>
      <c r="AA404" s="18"/>
      <c r="AB404" s="18"/>
      <c r="AC404" s="18"/>
    </row>
    <row r="405" spans="23:29" customFormat="1" x14ac:dyDescent="0.25">
      <c r="W405" s="37"/>
      <c r="X405" s="52"/>
      <c r="Y405" s="52"/>
      <c r="Z405" s="37"/>
      <c r="AA405" s="18"/>
      <c r="AB405" s="18"/>
      <c r="AC405" s="18"/>
    </row>
    <row r="406" spans="23:29" customFormat="1" x14ac:dyDescent="0.25">
      <c r="W406" s="37"/>
      <c r="X406" s="52"/>
      <c r="Y406" s="52"/>
      <c r="Z406" s="37"/>
      <c r="AA406" s="18"/>
      <c r="AB406" s="18"/>
      <c r="AC406" s="18"/>
    </row>
    <row r="407" spans="23:29" customFormat="1" x14ac:dyDescent="0.25">
      <c r="W407" s="37"/>
      <c r="X407" s="52"/>
      <c r="Y407" s="52"/>
      <c r="Z407" s="37"/>
      <c r="AA407" s="18"/>
      <c r="AB407" s="18"/>
      <c r="AC407" s="18"/>
    </row>
    <row r="408" spans="23:29" customFormat="1" x14ac:dyDescent="0.25">
      <c r="W408" s="37"/>
      <c r="X408" s="52"/>
      <c r="Y408" s="52"/>
      <c r="Z408" s="37"/>
      <c r="AA408" s="18"/>
      <c r="AB408" s="18"/>
      <c r="AC408" s="18"/>
    </row>
    <row r="409" spans="23:29" customFormat="1" x14ac:dyDescent="0.25">
      <c r="W409" s="37"/>
      <c r="X409" s="52"/>
      <c r="Y409" s="52"/>
      <c r="Z409" s="37"/>
      <c r="AA409" s="18"/>
      <c r="AB409" s="18"/>
      <c r="AC409" s="18"/>
    </row>
    <row r="410" spans="23:29" customFormat="1" x14ac:dyDescent="0.25">
      <c r="W410" s="37"/>
      <c r="X410" s="52"/>
      <c r="Y410" s="52"/>
      <c r="Z410" s="37"/>
      <c r="AA410" s="18"/>
      <c r="AB410" s="18"/>
      <c r="AC410" s="18"/>
    </row>
    <row r="411" spans="23:29" customFormat="1" x14ac:dyDescent="0.25">
      <c r="W411" s="37"/>
      <c r="X411" s="52"/>
      <c r="Y411" s="52"/>
      <c r="Z411" s="37"/>
      <c r="AA411" s="18"/>
      <c r="AB411" s="18"/>
      <c r="AC411" s="18"/>
    </row>
    <row r="412" spans="23:29" customFormat="1" x14ac:dyDescent="0.25">
      <c r="W412" s="37"/>
      <c r="X412" s="52"/>
      <c r="Y412" s="52"/>
      <c r="Z412" s="37"/>
      <c r="AA412" s="18"/>
      <c r="AB412" s="18"/>
      <c r="AC412" s="18"/>
    </row>
    <row r="413" spans="23:29" customFormat="1" x14ac:dyDescent="0.25">
      <c r="W413" s="37"/>
      <c r="X413" s="52"/>
      <c r="Y413" s="52"/>
      <c r="Z413" s="37"/>
      <c r="AA413" s="18"/>
      <c r="AB413" s="18"/>
      <c r="AC413" s="18"/>
    </row>
    <row r="414" spans="23:29" customFormat="1" x14ac:dyDescent="0.25">
      <c r="W414" s="37"/>
      <c r="X414" s="52"/>
      <c r="Y414" s="52"/>
      <c r="Z414" s="37"/>
      <c r="AA414" s="18"/>
      <c r="AB414" s="18"/>
      <c r="AC414" s="18"/>
    </row>
    <row r="415" spans="23:29" customFormat="1" x14ac:dyDescent="0.25">
      <c r="W415" s="37"/>
      <c r="X415" s="52"/>
      <c r="Y415" s="52"/>
      <c r="Z415" s="37"/>
      <c r="AA415" s="18"/>
      <c r="AB415" s="18"/>
      <c r="AC415" s="18"/>
    </row>
    <row r="416" spans="23:29" customFormat="1" x14ac:dyDescent="0.25">
      <c r="W416" s="37"/>
      <c r="X416" s="52"/>
      <c r="Y416" s="52"/>
      <c r="Z416" s="37"/>
      <c r="AA416" s="18"/>
      <c r="AB416" s="18"/>
      <c r="AC416" s="18"/>
    </row>
    <row r="417" spans="23:29" customFormat="1" x14ac:dyDescent="0.25">
      <c r="W417" s="37"/>
      <c r="X417" s="52"/>
      <c r="Y417" s="52"/>
      <c r="Z417" s="37"/>
      <c r="AA417" s="18"/>
      <c r="AB417" s="18"/>
      <c r="AC417" s="18"/>
    </row>
    <row r="418" spans="23:29" customFormat="1" x14ac:dyDescent="0.25">
      <c r="W418" s="37"/>
      <c r="X418" s="52"/>
      <c r="Y418" s="52"/>
      <c r="Z418" s="37"/>
      <c r="AA418" s="18"/>
      <c r="AB418" s="18"/>
      <c r="AC418" s="18"/>
    </row>
    <row r="419" spans="23:29" customFormat="1" x14ac:dyDescent="0.25">
      <c r="W419" s="37"/>
      <c r="X419" s="52"/>
      <c r="Y419" s="52"/>
      <c r="Z419" s="37"/>
      <c r="AA419" s="18"/>
      <c r="AB419" s="18"/>
      <c r="AC419" s="18"/>
    </row>
    <row r="420" spans="23:29" customFormat="1" x14ac:dyDescent="0.25">
      <c r="W420" s="37"/>
      <c r="X420" s="52"/>
      <c r="Y420" s="52"/>
      <c r="Z420" s="37"/>
      <c r="AA420" s="18"/>
      <c r="AB420" s="18"/>
      <c r="AC420" s="18"/>
    </row>
    <row r="421" spans="23:29" customFormat="1" x14ac:dyDescent="0.25">
      <c r="W421" s="37"/>
      <c r="X421" s="52"/>
      <c r="Y421" s="52"/>
      <c r="Z421" s="37"/>
      <c r="AA421" s="18"/>
      <c r="AB421" s="18"/>
      <c r="AC421" s="18"/>
    </row>
    <row r="422" spans="23:29" customFormat="1" x14ac:dyDescent="0.25">
      <c r="W422" s="37"/>
      <c r="X422" s="52"/>
      <c r="Y422" s="52"/>
      <c r="Z422" s="37"/>
      <c r="AA422" s="18"/>
      <c r="AB422" s="18"/>
      <c r="AC422" s="18"/>
    </row>
    <row r="423" spans="23:29" customFormat="1" x14ac:dyDescent="0.25">
      <c r="W423" s="37"/>
      <c r="X423" s="52"/>
      <c r="Y423" s="52"/>
      <c r="Z423" s="37"/>
      <c r="AA423" s="18"/>
      <c r="AB423" s="18"/>
      <c r="AC423" s="18"/>
    </row>
    <row r="424" spans="23:29" customFormat="1" x14ac:dyDescent="0.25">
      <c r="W424" s="37"/>
      <c r="X424" s="52"/>
      <c r="Y424" s="52"/>
      <c r="Z424" s="37"/>
      <c r="AA424" s="18"/>
      <c r="AB424" s="18"/>
      <c r="AC424" s="18"/>
    </row>
    <row r="425" spans="23:29" customFormat="1" x14ac:dyDescent="0.25">
      <c r="W425" s="37"/>
      <c r="X425" s="52"/>
      <c r="Y425" s="52"/>
      <c r="Z425" s="37"/>
      <c r="AA425" s="18"/>
      <c r="AB425" s="18"/>
      <c r="AC425" s="18"/>
    </row>
    <row r="426" spans="23:29" customFormat="1" x14ac:dyDescent="0.25">
      <c r="W426" s="37"/>
      <c r="X426" s="52"/>
      <c r="Y426" s="52"/>
      <c r="Z426" s="37"/>
      <c r="AA426" s="18"/>
      <c r="AB426" s="18"/>
      <c r="AC426" s="18"/>
    </row>
    <row r="427" spans="23:29" customFormat="1" x14ac:dyDescent="0.25">
      <c r="W427" s="37"/>
      <c r="X427" s="52"/>
      <c r="Y427" s="52"/>
      <c r="Z427" s="37"/>
      <c r="AA427" s="18"/>
      <c r="AB427" s="18"/>
      <c r="AC427" s="18"/>
    </row>
    <row r="428" spans="23:29" customFormat="1" x14ac:dyDescent="0.25">
      <c r="W428" s="37"/>
      <c r="X428" s="52"/>
      <c r="Y428" s="52"/>
      <c r="Z428" s="37"/>
      <c r="AA428" s="18"/>
      <c r="AB428" s="18"/>
      <c r="AC428" s="18"/>
    </row>
    <row r="429" spans="23:29" customFormat="1" x14ac:dyDescent="0.25">
      <c r="W429" s="37"/>
      <c r="X429" s="52"/>
      <c r="Y429" s="52"/>
      <c r="Z429" s="37"/>
      <c r="AA429" s="18"/>
      <c r="AB429" s="18"/>
      <c r="AC429" s="18"/>
    </row>
    <row r="430" spans="23:29" customFormat="1" x14ac:dyDescent="0.25">
      <c r="W430" s="37"/>
      <c r="X430" s="52"/>
      <c r="Y430" s="52"/>
      <c r="Z430" s="37"/>
      <c r="AA430" s="18"/>
      <c r="AB430" s="18"/>
      <c r="AC430" s="18"/>
    </row>
    <row r="431" spans="23:29" customFormat="1" x14ac:dyDescent="0.25">
      <c r="W431" s="37"/>
      <c r="X431" s="52"/>
      <c r="Y431" s="52"/>
      <c r="Z431" s="37"/>
      <c r="AA431" s="18"/>
      <c r="AB431" s="18"/>
      <c r="AC431" s="18"/>
    </row>
    <row r="432" spans="23:29" customFormat="1" x14ac:dyDescent="0.25">
      <c r="W432" s="37"/>
      <c r="X432" s="52"/>
      <c r="Y432" s="52"/>
      <c r="Z432" s="37"/>
      <c r="AA432" s="18"/>
      <c r="AB432" s="18"/>
      <c r="AC432" s="18"/>
    </row>
    <row r="433" spans="23:29" customFormat="1" x14ac:dyDescent="0.25">
      <c r="W433" s="37"/>
      <c r="X433" s="52"/>
      <c r="Y433" s="52"/>
      <c r="Z433" s="37"/>
      <c r="AA433" s="18"/>
      <c r="AB433" s="18"/>
      <c r="AC433" s="18"/>
    </row>
    <row r="434" spans="23:29" customFormat="1" x14ac:dyDescent="0.25">
      <c r="W434" s="37"/>
      <c r="X434" s="52"/>
      <c r="Y434" s="52"/>
      <c r="Z434" s="37"/>
      <c r="AA434" s="18"/>
      <c r="AB434" s="18"/>
      <c r="AC434" s="18"/>
    </row>
    <row r="435" spans="23:29" customFormat="1" x14ac:dyDescent="0.25">
      <c r="W435" s="37"/>
      <c r="X435" s="52"/>
      <c r="Y435" s="52"/>
      <c r="Z435" s="37"/>
      <c r="AA435" s="18"/>
      <c r="AB435" s="18"/>
      <c r="AC435" s="18"/>
    </row>
    <row r="436" spans="23:29" customFormat="1" x14ac:dyDescent="0.25">
      <c r="W436" s="37"/>
      <c r="X436" s="52"/>
      <c r="Y436" s="52"/>
      <c r="Z436" s="37"/>
      <c r="AA436" s="18"/>
      <c r="AB436" s="18"/>
      <c r="AC436" s="18"/>
    </row>
    <row r="437" spans="23:29" customFormat="1" x14ac:dyDescent="0.25">
      <c r="W437" s="37"/>
      <c r="X437" s="52"/>
      <c r="Y437" s="52"/>
      <c r="Z437" s="37"/>
      <c r="AA437" s="18"/>
      <c r="AB437" s="18"/>
      <c r="AC437" s="18"/>
    </row>
    <row r="438" spans="23:29" customFormat="1" x14ac:dyDescent="0.25">
      <c r="W438" s="37"/>
      <c r="X438" s="52"/>
      <c r="Y438" s="52"/>
      <c r="Z438" s="37"/>
      <c r="AA438" s="18"/>
      <c r="AB438" s="18"/>
      <c r="AC438" s="18"/>
    </row>
    <row r="439" spans="23:29" customFormat="1" x14ac:dyDescent="0.25">
      <c r="W439" s="37"/>
      <c r="X439" s="52"/>
      <c r="Y439" s="52"/>
      <c r="Z439" s="37"/>
      <c r="AA439" s="18"/>
      <c r="AB439" s="18"/>
      <c r="AC439" s="18"/>
    </row>
    <row r="440" spans="23:29" customFormat="1" x14ac:dyDescent="0.25">
      <c r="W440" s="37"/>
      <c r="X440" s="52"/>
      <c r="Y440" s="52"/>
      <c r="Z440" s="37"/>
      <c r="AA440" s="18"/>
      <c r="AB440" s="18"/>
      <c r="AC440" s="18"/>
    </row>
    <row r="441" spans="23:29" customFormat="1" x14ac:dyDescent="0.25">
      <c r="W441" s="37"/>
      <c r="X441" s="52"/>
      <c r="Y441" s="52"/>
      <c r="Z441" s="37"/>
      <c r="AA441" s="18"/>
      <c r="AB441" s="18"/>
      <c r="AC441" s="18"/>
    </row>
    <row r="442" spans="23:29" customFormat="1" x14ac:dyDescent="0.25">
      <c r="W442" s="37"/>
      <c r="X442" s="52"/>
      <c r="Y442" s="52"/>
      <c r="Z442" s="37"/>
      <c r="AA442" s="18"/>
      <c r="AB442" s="18"/>
      <c r="AC442" s="18"/>
    </row>
    <row r="443" spans="23:29" customFormat="1" x14ac:dyDescent="0.25">
      <c r="W443" s="37"/>
      <c r="X443" s="52"/>
      <c r="Y443" s="52"/>
      <c r="Z443" s="37"/>
      <c r="AA443" s="18"/>
      <c r="AB443" s="18"/>
      <c r="AC443" s="18"/>
    </row>
    <row r="444" spans="23:29" customFormat="1" x14ac:dyDescent="0.25">
      <c r="W444" s="37"/>
      <c r="X444" s="52"/>
      <c r="Y444" s="52"/>
      <c r="Z444" s="37"/>
      <c r="AA444" s="18"/>
      <c r="AB444" s="18"/>
      <c r="AC444" s="18"/>
    </row>
    <row r="445" spans="23:29" customFormat="1" x14ac:dyDescent="0.25">
      <c r="W445" s="37"/>
      <c r="X445" s="52"/>
      <c r="Y445" s="52"/>
      <c r="Z445" s="37"/>
      <c r="AA445" s="18"/>
      <c r="AB445" s="18"/>
      <c r="AC445" s="18"/>
    </row>
    <row r="446" spans="23:29" customFormat="1" x14ac:dyDescent="0.25">
      <c r="W446" s="37"/>
      <c r="X446" s="52"/>
      <c r="Y446" s="52"/>
      <c r="Z446" s="37"/>
      <c r="AA446" s="18"/>
      <c r="AB446" s="18"/>
      <c r="AC446" s="18"/>
    </row>
    <row r="447" spans="23:29" customFormat="1" x14ac:dyDescent="0.25">
      <c r="W447" s="37"/>
      <c r="X447" s="52"/>
      <c r="Y447" s="52"/>
      <c r="Z447" s="37"/>
      <c r="AA447" s="18"/>
      <c r="AB447" s="18"/>
      <c r="AC447" s="18"/>
    </row>
    <row r="448" spans="23:29" customFormat="1" x14ac:dyDescent="0.25">
      <c r="W448" s="37"/>
      <c r="X448" s="52"/>
      <c r="Y448" s="52"/>
      <c r="Z448" s="37"/>
      <c r="AA448" s="18"/>
      <c r="AB448" s="18"/>
      <c r="AC448" s="18"/>
    </row>
    <row r="449" spans="23:29" customFormat="1" x14ac:dyDescent="0.25">
      <c r="W449" s="37"/>
      <c r="X449" s="52"/>
      <c r="Y449" s="52"/>
      <c r="Z449" s="37"/>
      <c r="AA449" s="18"/>
      <c r="AB449" s="18"/>
      <c r="AC449" s="18"/>
    </row>
    <row r="450" spans="23:29" customFormat="1" x14ac:dyDescent="0.25">
      <c r="W450" s="37"/>
      <c r="X450" s="52"/>
      <c r="Y450" s="52"/>
      <c r="Z450" s="37"/>
      <c r="AA450" s="18"/>
      <c r="AB450" s="18"/>
      <c r="AC450" s="18"/>
    </row>
    <row r="451" spans="23:29" customFormat="1" x14ac:dyDescent="0.25">
      <c r="W451" s="37"/>
      <c r="X451" s="52"/>
      <c r="Y451" s="52"/>
      <c r="Z451" s="37"/>
      <c r="AA451" s="18"/>
      <c r="AB451" s="18"/>
      <c r="AC451" s="18"/>
    </row>
    <row r="452" spans="23:29" customFormat="1" x14ac:dyDescent="0.25">
      <c r="W452" s="37"/>
      <c r="X452" s="52"/>
      <c r="Y452" s="52"/>
      <c r="Z452" s="37"/>
      <c r="AA452" s="18"/>
      <c r="AB452" s="18"/>
      <c r="AC452" s="18"/>
    </row>
    <row r="453" spans="23:29" customFormat="1" x14ac:dyDescent="0.25">
      <c r="W453" s="37"/>
      <c r="X453" s="52"/>
      <c r="Y453" s="52"/>
      <c r="Z453" s="37"/>
      <c r="AA453" s="18"/>
      <c r="AB453" s="18"/>
      <c r="AC453" s="18"/>
    </row>
    <row r="454" spans="23:29" customFormat="1" x14ac:dyDescent="0.25">
      <c r="W454" s="37"/>
      <c r="X454" s="52"/>
      <c r="Y454" s="52"/>
      <c r="Z454" s="37"/>
      <c r="AA454" s="18"/>
      <c r="AB454" s="18"/>
      <c r="AC454" s="18"/>
    </row>
    <row r="455" spans="23:29" customFormat="1" x14ac:dyDescent="0.25">
      <c r="W455" s="37"/>
      <c r="X455" s="52"/>
      <c r="Y455" s="52"/>
      <c r="Z455" s="37"/>
      <c r="AA455" s="18"/>
      <c r="AB455" s="18"/>
      <c r="AC455" s="18"/>
    </row>
    <row r="456" spans="23:29" customFormat="1" x14ac:dyDescent="0.25">
      <c r="W456" s="37"/>
      <c r="X456" s="52"/>
      <c r="Y456" s="52"/>
      <c r="Z456" s="37"/>
      <c r="AA456" s="18"/>
      <c r="AB456" s="18"/>
      <c r="AC456" s="18"/>
    </row>
    <row r="457" spans="23:29" customFormat="1" x14ac:dyDescent="0.25">
      <c r="W457" s="37"/>
      <c r="X457" s="52"/>
      <c r="Y457" s="52"/>
      <c r="Z457" s="37"/>
      <c r="AA457" s="18"/>
      <c r="AB457" s="18"/>
      <c r="AC457" s="18"/>
    </row>
    <row r="458" spans="23:29" customFormat="1" x14ac:dyDescent="0.25">
      <c r="W458" s="37"/>
      <c r="X458" s="52"/>
      <c r="Y458" s="52"/>
      <c r="Z458" s="37"/>
      <c r="AA458" s="18"/>
      <c r="AB458" s="18"/>
      <c r="AC458" s="18"/>
    </row>
    <row r="459" spans="23:29" customFormat="1" x14ac:dyDescent="0.25">
      <c r="W459" s="37"/>
      <c r="X459" s="52"/>
      <c r="Y459" s="52"/>
      <c r="Z459" s="37"/>
      <c r="AA459" s="18"/>
      <c r="AB459" s="18"/>
      <c r="AC459" s="18"/>
    </row>
    <row r="460" spans="23:29" customFormat="1" x14ac:dyDescent="0.25">
      <c r="W460" s="37"/>
      <c r="X460" s="52"/>
      <c r="Y460" s="52"/>
      <c r="Z460" s="37"/>
      <c r="AA460" s="18"/>
      <c r="AB460" s="18"/>
      <c r="AC460" s="18"/>
    </row>
    <row r="461" spans="23:29" customFormat="1" x14ac:dyDescent="0.25">
      <c r="W461" s="37"/>
      <c r="X461" s="52"/>
      <c r="Y461" s="52"/>
      <c r="Z461" s="37"/>
      <c r="AA461" s="18"/>
      <c r="AB461" s="18"/>
      <c r="AC461" s="18"/>
    </row>
    <row r="462" spans="23:29" customFormat="1" x14ac:dyDescent="0.25">
      <c r="W462" s="37"/>
      <c r="X462" s="52"/>
      <c r="Y462" s="52"/>
      <c r="Z462" s="37"/>
      <c r="AA462" s="18"/>
      <c r="AB462" s="18"/>
      <c r="AC462" s="18"/>
    </row>
    <row r="463" spans="23:29" customFormat="1" x14ac:dyDescent="0.25">
      <c r="W463" s="37"/>
      <c r="X463" s="52"/>
      <c r="Y463" s="52"/>
      <c r="Z463" s="37"/>
      <c r="AA463" s="18"/>
      <c r="AB463" s="18"/>
      <c r="AC463" s="18"/>
    </row>
    <row r="464" spans="23:29" customFormat="1" x14ac:dyDescent="0.25">
      <c r="W464" s="37"/>
      <c r="X464" s="52"/>
      <c r="Y464" s="52"/>
      <c r="Z464" s="37"/>
      <c r="AA464" s="18"/>
      <c r="AB464" s="18"/>
      <c r="AC464" s="18"/>
    </row>
    <row r="465" spans="23:29" customFormat="1" x14ac:dyDescent="0.25">
      <c r="W465" s="37"/>
      <c r="X465" s="52"/>
      <c r="Y465" s="52"/>
      <c r="Z465" s="37"/>
      <c r="AA465" s="18"/>
      <c r="AB465" s="18"/>
      <c r="AC465" s="18"/>
    </row>
    <row r="466" spans="23:29" customFormat="1" x14ac:dyDescent="0.25">
      <c r="W466" s="37"/>
      <c r="X466" s="52"/>
      <c r="Y466" s="52"/>
      <c r="Z466" s="37"/>
      <c r="AA466" s="18"/>
      <c r="AB466" s="18"/>
      <c r="AC466" s="18"/>
    </row>
    <row r="467" spans="23:29" customFormat="1" x14ac:dyDescent="0.25">
      <c r="W467" s="37"/>
      <c r="X467" s="52"/>
      <c r="Y467" s="52"/>
      <c r="Z467" s="37"/>
      <c r="AA467" s="18"/>
      <c r="AB467" s="18"/>
      <c r="AC467" s="18"/>
    </row>
    <row r="468" spans="23:29" customFormat="1" x14ac:dyDescent="0.25">
      <c r="W468" s="37"/>
      <c r="X468" s="52"/>
      <c r="Y468" s="52"/>
      <c r="Z468" s="37"/>
      <c r="AA468" s="18"/>
      <c r="AB468" s="18"/>
      <c r="AC468" s="18"/>
    </row>
    <row r="469" spans="23:29" customFormat="1" x14ac:dyDescent="0.25">
      <c r="W469" s="37"/>
      <c r="X469" s="52"/>
      <c r="Y469" s="52"/>
      <c r="Z469" s="37"/>
      <c r="AA469" s="18"/>
      <c r="AB469" s="18"/>
      <c r="AC469" s="18"/>
    </row>
    <row r="470" spans="23:29" customFormat="1" x14ac:dyDescent="0.25">
      <c r="W470" s="37"/>
      <c r="X470" s="52"/>
      <c r="Y470" s="52"/>
      <c r="Z470" s="37"/>
      <c r="AA470" s="18"/>
      <c r="AB470" s="18"/>
      <c r="AC470" s="18"/>
    </row>
    <row r="471" spans="23:29" customFormat="1" x14ac:dyDescent="0.25">
      <c r="W471" s="37"/>
      <c r="X471" s="52"/>
      <c r="Y471" s="52"/>
      <c r="Z471" s="37"/>
      <c r="AA471" s="18"/>
      <c r="AB471" s="18"/>
      <c r="AC471" s="18"/>
    </row>
    <row r="472" spans="23:29" customFormat="1" x14ac:dyDescent="0.25">
      <c r="W472" s="37"/>
      <c r="X472" s="52"/>
      <c r="Y472" s="52"/>
      <c r="Z472" s="37"/>
      <c r="AA472" s="18"/>
      <c r="AB472" s="18"/>
      <c r="AC472" s="18"/>
    </row>
    <row r="473" spans="23:29" customFormat="1" x14ac:dyDescent="0.25">
      <c r="W473" s="37"/>
      <c r="X473" s="52"/>
      <c r="Y473" s="52"/>
      <c r="Z473" s="37"/>
      <c r="AA473" s="18"/>
      <c r="AB473" s="18"/>
      <c r="AC473" s="18"/>
    </row>
    <row r="474" spans="23:29" customFormat="1" x14ac:dyDescent="0.25">
      <c r="W474" s="37"/>
      <c r="X474" s="52"/>
      <c r="Y474" s="52"/>
      <c r="Z474" s="37"/>
      <c r="AA474" s="18"/>
      <c r="AB474" s="18"/>
      <c r="AC474" s="18"/>
    </row>
    <row r="475" spans="23:29" customFormat="1" x14ac:dyDescent="0.25">
      <c r="W475" s="37"/>
      <c r="X475" s="52"/>
      <c r="Y475" s="52"/>
      <c r="Z475" s="37"/>
      <c r="AA475" s="18"/>
      <c r="AB475" s="18"/>
      <c r="AC475" s="18"/>
    </row>
    <row r="476" spans="23:29" customFormat="1" x14ac:dyDescent="0.25">
      <c r="W476" s="37"/>
      <c r="X476" s="52"/>
      <c r="Y476" s="52"/>
      <c r="Z476" s="37"/>
      <c r="AA476" s="18"/>
      <c r="AB476" s="18"/>
      <c r="AC476" s="18"/>
    </row>
    <row r="477" spans="23:29" customFormat="1" x14ac:dyDescent="0.25">
      <c r="W477" s="37"/>
      <c r="X477" s="52"/>
      <c r="Y477" s="52"/>
      <c r="Z477" s="37"/>
      <c r="AA477" s="18"/>
      <c r="AB477" s="18"/>
      <c r="AC477" s="18"/>
    </row>
    <row r="478" spans="23:29" customFormat="1" x14ac:dyDescent="0.25">
      <c r="W478" s="37"/>
      <c r="X478" s="52"/>
      <c r="Y478" s="52"/>
      <c r="Z478" s="37"/>
      <c r="AA478" s="18"/>
      <c r="AB478" s="18"/>
      <c r="AC478" s="18"/>
    </row>
    <row r="479" spans="23:29" customFormat="1" x14ac:dyDescent="0.25">
      <c r="W479" s="37"/>
      <c r="X479" s="52"/>
      <c r="Y479" s="52"/>
      <c r="Z479" s="37"/>
      <c r="AA479" s="18"/>
      <c r="AB479" s="18"/>
      <c r="AC479" s="18"/>
    </row>
    <row r="480" spans="23:29" customFormat="1" x14ac:dyDescent="0.25">
      <c r="W480" s="37"/>
      <c r="X480" s="52"/>
      <c r="Y480" s="52"/>
      <c r="Z480" s="37"/>
      <c r="AA480" s="18"/>
      <c r="AB480" s="18"/>
      <c r="AC480" s="18"/>
    </row>
    <row r="481" spans="23:29" customFormat="1" x14ac:dyDescent="0.25">
      <c r="W481" s="37"/>
      <c r="X481" s="52"/>
      <c r="Y481" s="52"/>
      <c r="Z481" s="37"/>
      <c r="AA481" s="18"/>
      <c r="AB481" s="18"/>
      <c r="AC481" s="18"/>
    </row>
    <row r="482" spans="23:29" customFormat="1" x14ac:dyDescent="0.25">
      <c r="W482" s="37"/>
      <c r="X482" s="52"/>
      <c r="Y482" s="52"/>
      <c r="Z482" s="37"/>
      <c r="AA482" s="18"/>
      <c r="AB482" s="18"/>
      <c r="AC482" s="18"/>
    </row>
    <row r="483" spans="23:29" customFormat="1" x14ac:dyDescent="0.25">
      <c r="W483" s="37"/>
      <c r="X483" s="52"/>
      <c r="Y483" s="52"/>
      <c r="Z483" s="37"/>
      <c r="AA483" s="18"/>
      <c r="AB483" s="18"/>
      <c r="AC483" s="18"/>
    </row>
    <row r="484" spans="23:29" customFormat="1" x14ac:dyDescent="0.25">
      <c r="W484" s="37"/>
      <c r="X484" s="52"/>
      <c r="Y484" s="52"/>
      <c r="Z484" s="37"/>
      <c r="AA484" s="18"/>
      <c r="AB484" s="18"/>
      <c r="AC484" s="18"/>
    </row>
    <row r="485" spans="23:29" customFormat="1" x14ac:dyDescent="0.25">
      <c r="W485" s="37"/>
      <c r="X485" s="52"/>
      <c r="Y485" s="52"/>
      <c r="Z485" s="37"/>
      <c r="AA485" s="18"/>
      <c r="AB485" s="18"/>
      <c r="AC485" s="18"/>
    </row>
    <row r="486" spans="23:29" customFormat="1" x14ac:dyDescent="0.25">
      <c r="W486" s="37"/>
      <c r="X486" s="52"/>
      <c r="Y486" s="52"/>
      <c r="Z486" s="37"/>
      <c r="AA486" s="18"/>
      <c r="AB486" s="18"/>
      <c r="AC486" s="18"/>
    </row>
    <row r="487" spans="23:29" customFormat="1" x14ac:dyDescent="0.25">
      <c r="W487" s="37"/>
      <c r="X487" s="52"/>
      <c r="Y487" s="52"/>
      <c r="Z487" s="37"/>
      <c r="AA487" s="18"/>
      <c r="AB487" s="18"/>
      <c r="AC487" s="18"/>
    </row>
    <row r="488" spans="23:29" customFormat="1" x14ac:dyDescent="0.25">
      <c r="W488" s="37"/>
      <c r="X488" s="52"/>
      <c r="Y488" s="52"/>
      <c r="Z488" s="37"/>
      <c r="AA488" s="18"/>
      <c r="AB488" s="18"/>
      <c r="AC488" s="18"/>
    </row>
    <row r="489" spans="23:29" customFormat="1" x14ac:dyDescent="0.25">
      <c r="W489" s="37"/>
      <c r="X489" s="52"/>
      <c r="Y489" s="52"/>
      <c r="Z489" s="37"/>
      <c r="AA489" s="18"/>
      <c r="AB489" s="18"/>
      <c r="AC489" s="18"/>
    </row>
    <row r="490" spans="23:29" customFormat="1" x14ac:dyDescent="0.25">
      <c r="W490" s="37"/>
      <c r="X490" s="52"/>
      <c r="Y490" s="52"/>
      <c r="Z490" s="37"/>
      <c r="AA490" s="18"/>
      <c r="AB490" s="18"/>
      <c r="AC490" s="18"/>
    </row>
    <row r="491" spans="23:29" customFormat="1" x14ac:dyDescent="0.25">
      <c r="W491" s="37"/>
      <c r="X491" s="52"/>
      <c r="Y491" s="52"/>
      <c r="Z491" s="37"/>
      <c r="AA491" s="18"/>
      <c r="AB491" s="18"/>
      <c r="AC491" s="18"/>
    </row>
    <row r="492" spans="23:29" customFormat="1" x14ac:dyDescent="0.25">
      <c r="W492" s="37"/>
      <c r="X492" s="52"/>
      <c r="Y492" s="52"/>
      <c r="Z492" s="37"/>
      <c r="AA492" s="18"/>
      <c r="AB492" s="18"/>
      <c r="AC492" s="18"/>
    </row>
    <row r="493" spans="23:29" customFormat="1" x14ac:dyDescent="0.25">
      <c r="W493" s="37"/>
      <c r="X493" s="52"/>
      <c r="Y493" s="52"/>
      <c r="Z493" s="37"/>
      <c r="AA493" s="18"/>
      <c r="AB493" s="18"/>
      <c r="AC493" s="18"/>
    </row>
    <row r="494" spans="23:29" customFormat="1" x14ac:dyDescent="0.25">
      <c r="W494" s="37"/>
      <c r="X494" s="52"/>
      <c r="Y494" s="52"/>
      <c r="Z494" s="37"/>
      <c r="AA494" s="18"/>
      <c r="AB494" s="18"/>
      <c r="AC494" s="18"/>
    </row>
    <row r="495" spans="23:29" customFormat="1" x14ac:dyDescent="0.25">
      <c r="W495" s="37"/>
      <c r="X495" s="52"/>
      <c r="Y495" s="52"/>
      <c r="Z495" s="37"/>
      <c r="AA495" s="18"/>
      <c r="AB495" s="18"/>
      <c r="AC495" s="18"/>
    </row>
    <row r="496" spans="23:29" customFormat="1" x14ac:dyDescent="0.25">
      <c r="W496" s="37"/>
      <c r="X496" s="52"/>
      <c r="Y496" s="52"/>
      <c r="Z496" s="37"/>
      <c r="AA496" s="18"/>
      <c r="AB496" s="18"/>
      <c r="AC496" s="18"/>
    </row>
    <row r="497" spans="23:29" customFormat="1" x14ac:dyDescent="0.25">
      <c r="W497" s="37"/>
      <c r="X497" s="52"/>
      <c r="Y497" s="52"/>
      <c r="Z497" s="37"/>
      <c r="AA497" s="18"/>
      <c r="AB497" s="18"/>
      <c r="AC497" s="18"/>
    </row>
    <row r="498" spans="23:29" customFormat="1" x14ac:dyDescent="0.25">
      <c r="W498" s="37"/>
      <c r="X498" s="52"/>
      <c r="Y498" s="52"/>
      <c r="Z498" s="37"/>
      <c r="AA498" s="18"/>
      <c r="AB498" s="18"/>
      <c r="AC498" s="18"/>
    </row>
    <row r="499" spans="23:29" customFormat="1" x14ac:dyDescent="0.25">
      <c r="W499" s="37"/>
      <c r="X499" s="52"/>
      <c r="Y499" s="52"/>
      <c r="Z499" s="37"/>
      <c r="AA499" s="18"/>
      <c r="AB499" s="18"/>
      <c r="AC499" s="18"/>
    </row>
    <row r="500" spans="23:29" customFormat="1" x14ac:dyDescent="0.25">
      <c r="W500" s="37"/>
      <c r="X500" s="52"/>
      <c r="Y500" s="52"/>
      <c r="Z500" s="37"/>
      <c r="AA500" s="18"/>
      <c r="AB500" s="18"/>
      <c r="AC500" s="18"/>
    </row>
    <row r="501" spans="23:29" customFormat="1" x14ac:dyDescent="0.25">
      <c r="W501" s="37"/>
      <c r="X501" s="52"/>
      <c r="Y501" s="52"/>
      <c r="Z501" s="37"/>
      <c r="AA501" s="18"/>
      <c r="AB501" s="18"/>
      <c r="AC501" s="18"/>
    </row>
    <row r="502" spans="23:29" customFormat="1" x14ac:dyDescent="0.25">
      <c r="W502" s="37"/>
      <c r="X502" s="52"/>
      <c r="Y502" s="52"/>
      <c r="Z502" s="37"/>
      <c r="AA502" s="18"/>
      <c r="AB502" s="18"/>
      <c r="AC502" s="18"/>
    </row>
    <row r="503" spans="23:29" customFormat="1" x14ac:dyDescent="0.25">
      <c r="W503" s="37"/>
      <c r="X503" s="52"/>
      <c r="Y503" s="52"/>
      <c r="Z503" s="37"/>
      <c r="AA503" s="18"/>
      <c r="AB503" s="18"/>
      <c r="AC503" s="18"/>
    </row>
    <row r="504" spans="23:29" customFormat="1" x14ac:dyDescent="0.25">
      <c r="W504" s="37"/>
      <c r="X504" s="52"/>
      <c r="Y504" s="52"/>
      <c r="Z504" s="37"/>
      <c r="AA504" s="18"/>
      <c r="AB504" s="18"/>
      <c r="AC504" s="18"/>
    </row>
    <row r="505" spans="23:29" customFormat="1" x14ac:dyDescent="0.25">
      <c r="W505" s="37"/>
      <c r="X505" s="52"/>
      <c r="Y505" s="52"/>
      <c r="Z505" s="37"/>
      <c r="AA505" s="18"/>
      <c r="AB505" s="18"/>
      <c r="AC505" s="18"/>
    </row>
    <row r="506" spans="23:29" customFormat="1" x14ac:dyDescent="0.25">
      <c r="W506" s="37"/>
      <c r="X506" s="52"/>
      <c r="Y506" s="52"/>
      <c r="Z506" s="37"/>
      <c r="AA506" s="18"/>
      <c r="AB506" s="18"/>
      <c r="AC506" s="18"/>
    </row>
    <row r="507" spans="23:29" customFormat="1" x14ac:dyDescent="0.25">
      <c r="W507" s="37"/>
      <c r="X507" s="52"/>
      <c r="Y507" s="52"/>
      <c r="Z507" s="37"/>
      <c r="AA507" s="18"/>
      <c r="AB507" s="18"/>
      <c r="AC507" s="18"/>
    </row>
    <row r="508" spans="23:29" customFormat="1" x14ac:dyDescent="0.25">
      <c r="W508" s="37"/>
      <c r="X508" s="52"/>
      <c r="Y508" s="52"/>
      <c r="Z508" s="37"/>
      <c r="AA508" s="18"/>
      <c r="AB508" s="18"/>
      <c r="AC508" s="18"/>
    </row>
    <row r="509" spans="23:29" customFormat="1" x14ac:dyDescent="0.25">
      <c r="W509" s="37"/>
      <c r="X509" s="52"/>
      <c r="Y509" s="52"/>
      <c r="Z509" s="37"/>
      <c r="AA509" s="18"/>
      <c r="AB509" s="18"/>
      <c r="AC509" s="18"/>
    </row>
    <row r="510" spans="23:29" customFormat="1" x14ac:dyDescent="0.25">
      <c r="W510" s="37"/>
      <c r="X510" s="52"/>
      <c r="Y510" s="52"/>
      <c r="Z510" s="37"/>
      <c r="AA510" s="18"/>
      <c r="AB510" s="18"/>
      <c r="AC510" s="18"/>
    </row>
    <row r="511" spans="23:29" customFormat="1" x14ac:dyDescent="0.25">
      <c r="W511" s="37"/>
      <c r="X511" s="52"/>
      <c r="Y511" s="52"/>
      <c r="Z511" s="37"/>
      <c r="AA511" s="18"/>
      <c r="AB511" s="18"/>
      <c r="AC511" s="18"/>
    </row>
    <row r="512" spans="23:29" customFormat="1" x14ac:dyDescent="0.25">
      <c r="W512" s="37"/>
      <c r="X512" s="52"/>
      <c r="Y512" s="52"/>
      <c r="Z512" s="37"/>
      <c r="AA512" s="18"/>
      <c r="AB512" s="18"/>
      <c r="AC512" s="18"/>
    </row>
    <row r="513" spans="23:29" customFormat="1" x14ac:dyDescent="0.25">
      <c r="W513" s="37"/>
      <c r="X513" s="52"/>
      <c r="Y513" s="52"/>
      <c r="Z513" s="37"/>
      <c r="AA513" s="18"/>
      <c r="AB513" s="18"/>
      <c r="AC513" s="18"/>
    </row>
    <row r="514" spans="23:29" customFormat="1" x14ac:dyDescent="0.25">
      <c r="W514" s="37"/>
      <c r="X514" s="52"/>
      <c r="Y514" s="52"/>
      <c r="Z514" s="37"/>
      <c r="AA514" s="18"/>
      <c r="AB514" s="18"/>
      <c r="AC514" s="18"/>
    </row>
    <row r="515" spans="23:29" customFormat="1" x14ac:dyDescent="0.25">
      <c r="W515" s="37"/>
      <c r="X515" s="52"/>
      <c r="Y515" s="52"/>
      <c r="Z515" s="37"/>
      <c r="AA515" s="18"/>
      <c r="AB515" s="18"/>
      <c r="AC515" s="18"/>
    </row>
    <row r="516" spans="23:29" customFormat="1" x14ac:dyDescent="0.25">
      <c r="W516" s="37"/>
      <c r="X516" s="52"/>
      <c r="Y516" s="52"/>
      <c r="Z516" s="37"/>
      <c r="AA516" s="18"/>
      <c r="AB516" s="18"/>
      <c r="AC516" s="18"/>
    </row>
    <row r="517" spans="23:29" customFormat="1" x14ac:dyDescent="0.25">
      <c r="W517" s="37"/>
      <c r="X517" s="52"/>
      <c r="Y517" s="52"/>
      <c r="Z517" s="37"/>
      <c r="AA517" s="18"/>
      <c r="AB517" s="18"/>
      <c r="AC517" s="18"/>
    </row>
    <row r="518" spans="23:29" customFormat="1" x14ac:dyDescent="0.25">
      <c r="W518" s="37"/>
      <c r="X518" s="52"/>
      <c r="Y518" s="52"/>
      <c r="Z518" s="37"/>
      <c r="AA518" s="18"/>
      <c r="AB518" s="18"/>
      <c r="AC518" s="18"/>
    </row>
    <row r="519" spans="23:29" customFormat="1" x14ac:dyDescent="0.25">
      <c r="W519" s="37"/>
      <c r="X519" s="52"/>
      <c r="Y519" s="52"/>
      <c r="Z519" s="37"/>
      <c r="AA519" s="18"/>
      <c r="AB519" s="18"/>
      <c r="AC519" s="18"/>
    </row>
    <row r="520" spans="23:29" customFormat="1" x14ac:dyDescent="0.25">
      <c r="W520" s="37"/>
      <c r="X520" s="52"/>
      <c r="Y520" s="52"/>
      <c r="Z520" s="37"/>
      <c r="AA520" s="18"/>
      <c r="AB520" s="18"/>
      <c r="AC520" s="18"/>
    </row>
    <row r="521" spans="23:29" customFormat="1" x14ac:dyDescent="0.25">
      <c r="W521" s="37"/>
      <c r="X521" s="52"/>
      <c r="Y521" s="52"/>
      <c r="Z521" s="37"/>
      <c r="AA521" s="18"/>
      <c r="AB521" s="18"/>
      <c r="AC521" s="18"/>
    </row>
    <row r="522" spans="23:29" customFormat="1" x14ac:dyDescent="0.25">
      <c r="W522" s="37"/>
      <c r="X522" s="52"/>
      <c r="Y522" s="52"/>
      <c r="Z522" s="37"/>
      <c r="AA522" s="18"/>
      <c r="AB522" s="18"/>
      <c r="AC522" s="18"/>
    </row>
    <row r="523" spans="23:29" customFormat="1" x14ac:dyDescent="0.25">
      <c r="W523" s="37"/>
      <c r="X523" s="52"/>
      <c r="Y523" s="52"/>
      <c r="Z523" s="37"/>
      <c r="AA523" s="18"/>
      <c r="AB523" s="18"/>
      <c r="AC523" s="18"/>
    </row>
    <row r="524" spans="23:29" customFormat="1" x14ac:dyDescent="0.25">
      <c r="W524" s="37"/>
      <c r="X524" s="52"/>
      <c r="Y524" s="52"/>
      <c r="Z524" s="37"/>
      <c r="AA524" s="18"/>
      <c r="AB524" s="18"/>
      <c r="AC524" s="18"/>
    </row>
    <row r="525" spans="23:29" customFormat="1" x14ac:dyDescent="0.25">
      <c r="W525" s="37"/>
      <c r="X525" s="52"/>
      <c r="Y525" s="52"/>
      <c r="Z525" s="37"/>
      <c r="AA525" s="18"/>
      <c r="AB525" s="18"/>
      <c r="AC525" s="18"/>
    </row>
    <row r="526" spans="23:29" customFormat="1" x14ac:dyDescent="0.25">
      <c r="W526" s="37"/>
      <c r="X526" s="52"/>
      <c r="Y526" s="52"/>
      <c r="Z526" s="37"/>
      <c r="AA526" s="18"/>
      <c r="AB526" s="18"/>
      <c r="AC526" s="18"/>
    </row>
    <row r="527" spans="23:29" customFormat="1" x14ac:dyDescent="0.25">
      <c r="W527" s="37"/>
      <c r="X527" s="52"/>
      <c r="Y527" s="52"/>
      <c r="Z527" s="37"/>
      <c r="AA527" s="18"/>
      <c r="AB527" s="18"/>
      <c r="AC527" s="18"/>
    </row>
    <row r="528" spans="23:29" customFormat="1" x14ac:dyDescent="0.25">
      <c r="W528" s="37"/>
      <c r="X528" s="52"/>
      <c r="Y528" s="52"/>
      <c r="Z528" s="37"/>
      <c r="AA528" s="18"/>
      <c r="AB528" s="18"/>
      <c r="AC528" s="18"/>
    </row>
    <row r="529" spans="23:29" customFormat="1" x14ac:dyDescent="0.25">
      <c r="W529" s="37"/>
      <c r="X529" s="52"/>
      <c r="Y529" s="52"/>
      <c r="Z529" s="37"/>
      <c r="AA529" s="18"/>
      <c r="AB529" s="18"/>
      <c r="AC529" s="18"/>
    </row>
    <row r="530" spans="23:29" customFormat="1" x14ac:dyDescent="0.25">
      <c r="W530" s="37"/>
      <c r="X530" s="52"/>
      <c r="Y530" s="52"/>
      <c r="Z530" s="37"/>
      <c r="AA530" s="18"/>
      <c r="AB530" s="18"/>
      <c r="AC530" s="18"/>
    </row>
    <row r="531" spans="23:29" customFormat="1" x14ac:dyDescent="0.25">
      <c r="W531" s="37"/>
      <c r="X531" s="52"/>
      <c r="Y531" s="52"/>
      <c r="Z531" s="37"/>
      <c r="AA531" s="18"/>
      <c r="AB531" s="18"/>
      <c r="AC531" s="18"/>
    </row>
    <row r="532" spans="23:29" customFormat="1" x14ac:dyDescent="0.25">
      <c r="W532" s="37"/>
      <c r="X532" s="52"/>
      <c r="Y532" s="52"/>
      <c r="Z532" s="37"/>
      <c r="AA532" s="18"/>
      <c r="AB532" s="18"/>
      <c r="AC532" s="18"/>
    </row>
    <row r="533" spans="23:29" customFormat="1" x14ac:dyDescent="0.25">
      <c r="W533" s="37"/>
      <c r="X533" s="52"/>
      <c r="Y533" s="52"/>
      <c r="Z533" s="37"/>
      <c r="AA533" s="18"/>
      <c r="AB533" s="18"/>
      <c r="AC533" s="18"/>
    </row>
    <row r="534" spans="23:29" customFormat="1" x14ac:dyDescent="0.25">
      <c r="W534" s="37"/>
      <c r="X534" s="52"/>
      <c r="Y534" s="52"/>
      <c r="Z534" s="37"/>
      <c r="AA534" s="18"/>
      <c r="AB534" s="18"/>
      <c r="AC534" s="18"/>
    </row>
    <row r="535" spans="23:29" customFormat="1" x14ac:dyDescent="0.25">
      <c r="W535" s="37"/>
      <c r="X535" s="52"/>
      <c r="Y535" s="52"/>
      <c r="Z535" s="37"/>
      <c r="AA535" s="18"/>
      <c r="AB535" s="18"/>
      <c r="AC535" s="18"/>
    </row>
    <row r="536" spans="23:29" customFormat="1" x14ac:dyDescent="0.25">
      <c r="W536" s="37"/>
      <c r="X536" s="52"/>
      <c r="Y536" s="52"/>
      <c r="Z536" s="37"/>
      <c r="AA536" s="18"/>
      <c r="AB536" s="18"/>
      <c r="AC536" s="18"/>
    </row>
    <row r="537" spans="23:29" customFormat="1" x14ac:dyDescent="0.25">
      <c r="W537" s="37"/>
      <c r="X537" s="52"/>
      <c r="Y537" s="52"/>
      <c r="Z537" s="37"/>
      <c r="AA537" s="18"/>
      <c r="AB537" s="18"/>
      <c r="AC537" s="18"/>
    </row>
    <row r="538" spans="23:29" customFormat="1" x14ac:dyDescent="0.25">
      <c r="W538" s="37"/>
      <c r="X538" s="52"/>
      <c r="Y538" s="52"/>
      <c r="Z538" s="37"/>
      <c r="AA538" s="18"/>
      <c r="AB538" s="18"/>
      <c r="AC538" s="18"/>
    </row>
    <row r="539" spans="23:29" customFormat="1" x14ac:dyDescent="0.25">
      <c r="W539" s="37"/>
      <c r="X539" s="52"/>
      <c r="Y539" s="52"/>
      <c r="Z539" s="37"/>
      <c r="AA539" s="18"/>
      <c r="AB539" s="18"/>
      <c r="AC539" s="18"/>
    </row>
    <row r="540" spans="23:29" customFormat="1" x14ac:dyDescent="0.25">
      <c r="W540" s="37"/>
      <c r="X540" s="52"/>
      <c r="Y540" s="52"/>
      <c r="Z540" s="37"/>
      <c r="AA540" s="18"/>
      <c r="AB540" s="18"/>
      <c r="AC540" s="18"/>
    </row>
    <row r="541" spans="23:29" customFormat="1" x14ac:dyDescent="0.25">
      <c r="W541" s="37"/>
      <c r="X541" s="52"/>
      <c r="Y541" s="52"/>
      <c r="Z541" s="37"/>
      <c r="AA541" s="18"/>
      <c r="AB541" s="18"/>
      <c r="AC541" s="18"/>
    </row>
    <row r="542" spans="23:29" customFormat="1" x14ac:dyDescent="0.25">
      <c r="W542" s="37"/>
      <c r="X542" s="52"/>
      <c r="Y542" s="52"/>
      <c r="Z542" s="37"/>
      <c r="AA542" s="18"/>
      <c r="AB542" s="18"/>
      <c r="AC542" s="18"/>
    </row>
    <row r="543" spans="23:29" customFormat="1" x14ac:dyDescent="0.25">
      <c r="W543" s="37"/>
      <c r="X543" s="52"/>
      <c r="Y543" s="52"/>
      <c r="Z543" s="37"/>
      <c r="AA543" s="18"/>
      <c r="AB543" s="18"/>
      <c r="AC543" s="18"/>
    </row>
    <row r="544" spans="23:29" customFormat="1" x14ac:dyDescent="0.25">
      <c r="W544" s="37"/>
      <c r="X544" s="52"/>
      <c r="Y544" s="52"/>
      <c r="Z544" s="37"/>
      <c r="AA544" s="18"/>
      <c r="AB544" s="18"/>
      <c r="AC544" s="18"/>
    </row>
    <row r="545" spans="23:29" customFormat="1" x14ac:dyDescent="0.25">
      <c r="W545" s="37"/>
      <c r="X545" s="52"/>
      <c r="Y545" s="52"/>
      <c r="Z545" s="37"/>
      <c r="AA545" s="18"/>
      <c r="AB545" s="18"/>
      <c r="AC545" s="18"/>
    </row>
    <row r="546" spans="23:29" customFormat="1" x14ac:dyDescent="0.25">
      <c r="W546" s="37"/>
      <c r="X546" s="52"/>
      <c r="Y546" s="52"/>
      <c r="Z546" s="37"/>
      <c r="AA546" s="18"/>
      <c r="AB546" s="18"/>
      <c r="AC546" s="18"/>
    </row>
    <row r="547" spans="23:29" customFormat="1" x14ac:dyDescent="0.25">
      <c r="W547" s="37"/>
      <c r="X547" s="52"/>
      <c r="Y547" s="52"/>
      <c r="Z547" s="37"/>
      <c r="AA547" s="18"/>
      <c r="AB547" s="18"/>
      <c r="AC547" s="18"/>
    </row>
    <row r="548" spans="23:29" customFormat="1" x14ac:dyDescent="0.25">
      <c r="W548" s="37"/>
      <c r="X548" s="52"/>
      <c r="Y548" s="52"/>
      <c r="Z548" s="37"/>
      <c r="AA548" s="18"/>
      <c r="AB548" s="18"/>
      <c r="AC548" s="18"/>
    </row>
    <row r="549" spans="23:29" customFormat="1" x14ac:dyDescent="0.25">
      <c r="W549" s="37"/>
      <c r="X549" s="52"/>
      <c r="Y549" s="52"/>
      <c r="Z549" s="37"/>
      <c r="AA549" s="18"/>
      <c r="AB549" s="18"/>
      <c r="AC549" s="18"/>
    </row>
    <row r="550" spans="23:29" customFormat="1" x14ac:dyDescent="0.25">
      <c r="W550" s="37"/>
      <c r="X550" s="52"/>
      <c r="Y550" s="52"/>
      <c r="Z550" s="37"/>
      <c r="AA550" s="18"/>
      <c r="AB550" s="18"/>
      <c r="AC550" s="18"/>
    </row>
    <row r="551" spans="23:29" customFormat="1" x14ac:dyDescent="0.25">
      <c r="W551" s="37"/>
      <c r="X551" s="52"/>
      <c r="Y551" s="52"/>
      <c r="Z551" s="37"/>
      <c r="AA551" s="18"/>
      <c r="AB551" s="18"/>
      <c r="AC551" s="18"/>
    </row>
    <row r="552" spans="23:29" customFormat="1" x14ac:dyDescent="0.25">
      <c r="W552" s="37"/>
      <c r="X552" s="52"/>
      <c r="Y552" s="52"/>
      <c r="Z552" s="37"/>
      <c r="AA552" s="18"/>
      <c r="AB552" s="18"/>
      <c r="AC552" s="18"/>
    </row>
    <row r="553" spans="23:29" customFormat="1" x14ac:dyDescent="0.25">
      <c r="W553" s="37"/>
      <c r="X553" s="52"/>
      <c r="Y553" s="52"/>
      <c r="Z553" s="37"/>
      <c r="AA553" s="18"/>
      <c r="AB553" s="18"/>
      <c r="AC553" s="18"/>
    </row>
    <row r="554" spans="23:29" customFormat="1" x14ac:dyDescent="0.25">
      <c r="W554" s="37"/>
      <c r="X554" s="52"/>
      <c r="Y554" s="52"/>
      <c r="Z554" s="37"/>
      <c r="AA554" s="18"/>
      <c r="AB554" s="18"/>
      <c r="AC554" s="18"/>
    </row>
    <row r="555" spans="23:29" customFormat="1" x14ac:dyDescent="0.25">
      <c r="W555" s="37"/>
      <c r="X555" s="52"/>
      <c r="Y555" s="52"/>
      <c r="Z555" s="37"/>
      <c r="AA555" s="18"/>
      <c r="AB555" s="18"/>
      <c r="AC555" s="18"/>
    </row>
    <row r="556" spans="23:29" customFormat="1" x14ac:dyDescent="0.25">
      <c r="W556" s="37"/>
      <c r="X556" s="52"/>
      <c r="Y556" s="52"/>
      <c r="Z556" s="37"/>
      <c r="AA556" s="18"/>
      <c r="AB556" s="18"/>
      <c r="AC556" s="18"/>
    </row>
    <row r="557" spans="23:29" customFormat="1" x14ac:dyDescent="0.25">
      <c r="W557" s="37"/>
      <c r="X557" s="52"/>
      <c r="Y557" s="52"/>
      <c r="Z557" s="37"/>
      <c r="AA557" s="18"/>
      <c r="AB557" s="18"/>
      <c r="AC557" s="18"/>
    </row>
    <row r="558" spans="23:29" customFormat="1" x14ac:dyDescent="0.25">
      <c r="W558" s="37"/>
      <c r="X558" s="52"/>
      <c r="Y558" s="52"/>
      <c r="Z558" s="37"/>
      <c r="AA558" s="18"/>
      <c r="AB558" s="18"/>
      <c r="AC558" s="18"/>
    </row>
    <row r="559" spans="23:29" customFormat="1" x14ac:dyDescent="0.25">
      <c r="W559" s="37"/>
      <c r="X559" s="52"/>
      <c r="Y559" s="52"/>
      <c r="Z559" s="37"/>
      <c r="AA559" s="18"/>
      <c r="AB559" s="18"/>
      <c r="AC559" s="18"/>
    </row>
    <row r="560" spans="23:29" customFormat="1" x14ac:dyDescent="0.25">
      <c r="W560" s="37"/>
      <c r="X560" s="52"/>
      <c r="Y560" s="52"/>
      <c r="Z560" s="37"/>
      <c r="AA560" s="18"/>
      <c r="AB560" s="18"/>
      <c r="AC560" s="18"/>
    </row>
    <row r="561" spans="23:29" customFormat="1" x14ac:dyDescent="0.25">
      <c r="W561" s="37"/>
      <c r="X561" s="52"/>
      <c r="Y561" s="52"/>
      <c r="Z561" s="37"/>
      <c r="AA561" s="18"/>
      <c r="AB561" s="18"/>
      <c r="AC561" s="18"/>
    </row>
    <row r="562" spans="23:29" customFormat="1" x14ac:dyDescent="0.25">
      <c r="W562" s="37"/>
      <c r="X562" s="52"/>
      <c r="Y562" s="52"/>
      <c r="Z562" s="37"/>
      <c r="AA562" s="18"/>
      <c r="AB562" s="18"/>
      <c r="AC562" s="18"/>
    </row>
    <row r="563" spans="23:29" customFormat="1" x14ac:dyDescent="0.25">
      <c r="W563" s="37"/>
      <c r="X563" s="52"/>
      <c r="Y563" s="52"/>
      <c r="Z563" s="37"/>
      <c r="AA563" s="18"/>
      <c r="AB563" s="18"/>
      <c r="AC563" s="18"/>
    </row>
    <row r="564" spans="23:29" customFormat="1" x14ac:dyDescent="0.25">
      <c r="W564" s="37"/>
      <c r="X564" s="52"/>
      <c r="Y564" s="52"/>
      <c r="Z564" s="37"/>
      <c r="AA564" s="18"/>
      <c r="AB564" s="18"/>
      <c r="AC564" s="18"/>
    </row>
    <row r="565" spans="23:29" customFormat="1" x14ac:dyDescent="0.25">
      <c r="W565" s="37"/>
      <c r="X565" s="52"/>
      <c r="Y565" s="52"/>
      <c r="Z565" s="37"/>
      <c r="AA565" s="18"/>
      <c r="AB565" s="18"/>
      <c r="AC565" s="18"/>
    </row>
    <row r="566" spans="23:29" customFormat="1" x14ac:dyDescent="0.25">
      <c r="W566" s="37"/>
      <c r="X566" s="52"/>
      <c r="Y566" s="52"/>
      <c r="Z566" s="37"/>
      <c r="AA566" s="18"/>
      <c r="AB566" s="18"/>
      <c r="AC566" s="18"/>
    </row>
    <row r="567" spans="23:29" customFormat="1" x14ac:dyDescent="0.25">
      <c r="W567" s="37"/>
      <c r="X567" s="52"/>
      <c r="Y567" s="52"/>
      <c r="Z567" s="37"/>
      <c r="AA567" s="18"/>
      <c r="AB567" s="18"/>
      <c r="AC567" s="18"/>
    </row>
    <row r="568" spans="23:29" customFormat="1" x14ac:dyDescent="0.25">
      <c r="W568" s="37"/>
      <c r="X568" s="52"/>
      <c r="Y568" s="52"/>
      <c r="Z568" s="37"/>
      <c r="AA568" s="18"/>
      <c r="AB568" s="18"/>
      <c r="AC568" s="18"/>
    </row>
    <row r="569" spans="23:29" customFormat="1" x14ac:dyDescent="0.25">
      <c r="W569" s="37"/>
      <c r="X569" s="52"/>
      <c r="Y569" s="52"/>
      <c r="Z569" s="37"/>
      <c r="AA569" s="18"/>
      <c r="AB569" s="18"/>
      <c r="AC569" s="18"/>
    </row>
    <row r="570" spans="23:29" customFormat="1" x14ac:dyDescent="0.25">
      <c r="W570" s="37"/>
      <c r="X570" s="52"/>
      <c r="Y570" s="52"/>
      <c r="Z570" s="37"/>
      <c r="AA570" s="18"/>
      <c r="AB570" s="18"/>
      <c r="AC570" s="18"/>
    </row>
    <row r="571" spans="23:29" customFormat="1" x14ac:dyDescent="0.25">
      <c r="W571" s="37"/>
      <c r="X571" s="52"/>
      <c r="Y571" s="52"/>
      <c r="Z571" s="37"/>
      <c r="AA571" s="18"/>
      <c r="AB571" s="18"/>
      <c r="AC571" s="18"/>
    </row>
    <row r="572" spans="23:29" customFormat="1" x14ac:dyDescent="0.25">
      <c r="W572" s="37"/>
      <c r="X572" s="52"/>
      <c r="Y572" s="52"/>
      <c r="Z572" s="37"/>
      <c r="AA572" s="18"/>
      <c r="AB572" s="18"/>
      <c r="AC572" s="18"/>
    </row>
    <row r="573" spans="23:29" customFormat="1" x14ac:dyDescent="0.25">
      <c r="W573" s="37"/>
      <c r="X573" s="52"/>
      <c r="Y573" s="52"/>
      <c r="Z573" s="37"/>
      <c r="AA573" s="18"/>
      <c r="AB573" s="18"/>
      <c r="AC573" s="18"/>
    </row>
    <row r="574" spans="23:29" customFormat="1" x14ac:dyDescent="0.25">
      <c r="W574" s="37"/>
      <c r="X574" s="52"/>
      <c r="Y574" s="52"/>
      <c r="Z574" s="37"/>
      <c r="AA574" s="18"/>
      <c r="AB574" s="18"/>
      <c r="AC574" s="18"/>
    </row>
    <row r="575" spans="23:29" customFormat="1" x14ac:dyDescent="0.25">
      <c r="W575" s="37"/>
      <c r="X575" s="52"/>
      <c r="Y575" s="52"/>
      <c r="Z575" s="37"/>
      <c r="AA575" s="18"/>
      <c r="AB575" s="18"/>
      <c r="AC575" s="18"/>
    </row>
    <row r="576" spans="23:29" customFormat="1" x14ac:dyDescent="0.25">
      <c r="W576" s="37"/>
      <c r="X576" s="52"/>
      <c r="Y576" s="52"/>
      <c r="Z576" s="37"/>
      <c r="AA576" s="18"/>
      <c r="AB576" s="18"/>
      <c r="AC576" s="18"/>
    </row>
    <row r="577" spans="23:29" customFormat="1" x14ac:dyDescent="0.25">
      <c r="W577" s="37"/>
      <c r="X577" s="52"/>
      <c r="Y577" s="52"/>
      <c r="Z577" s="37"/>
      <c r="AA577" s="18"/>
      <c r="AB577" s="18"/>
      <c r="AC577" s="18"/>
    </row>
    <row r="578" spans="23:29" customFormat="1" x14ac:dyDescent="0.25">
      <c r="W578" s="37"/>
      <c r="X578" s="52"/>
      <c r="Y578" s="52"/>
      <c r="Z578" s="37"/>
      <c r="AA578" s="18"/>
      <c r="AB578" s="18"/>
      <c r="AC578" s="18"/>
    </row>
    <row r="579" spans="23:29" customFormat="1" x14ac:dyDescent="0.25">
      <c r="W579" s="37"/>
      <c r="X579" s="52"/>
      <c r="Y579" s="52"/>
      <c r="Z579" s="37"/>
      <c r="AA579" s="18"/>
      <c r="AB579" s="18"/>
      <c r="AC579" s="18"/>
    </row>
    <row r="580" spans="23:29" customFormat="1" x14ac:dyDescent="0.25">
      <c r="W580" s="37"/>
      <c r="X580" s="52"/>
      <c r="Y580" s="52"/>
      <c r="Z580" s="37"/>
      <c r="AA580" s="18"/>
      <c r="AB580" s="18"/>
      <c r="AC580" s="18"/>
    </row>
    <row r="581" spans="23:29" customFormat="1" x14ac:dyDescent="0.25">
      <c r="W581" s="37"/>
      <c r="X581" s="52"/>
      <c r="Y581" s="52"/>
      <c r="Z581" s="37"/>
      <c r="AA581" s="18"/>
      <c r="AB581" s="18"/>
      <c r="AC581" s="18"/>
    </row>
    <row r="582" spans="23:29" customFormat="1" x14ac:dyDescent="0.25">
      <c r="W582" s="37"/>
      <c r="X582" s="52"/>
      <c r="Y582" s="52"/>
      <c r="Z582" s="37"/>
      <c r="AA582" s="18"/>
      <c r="AB582" s="18"/>
      <c r="AC582" s="18"/>
    </row>
    <row r="583" spans="23:29" customFormat="1" x14ac:dyDescent="0.25">
      <c r="W583" s="37"/>
      <c r="X583" s="52"/>
      <c r="Y583" s="52"/>
      <c r="Z583" s="37"/>
      <c r="AA583" s="18"/>
      <c r="AB583" s="18"/>
      <c r="AC583" s="18"/>
    </row>
    <row r="584" spans="23:29" customFormat="1" x14ac:dyDescent="0.25">
      <c r="W584" s="37"/>
      <c r="X584" s="52"/>
      <c r="Y584" s="52"/>
      <c r="Z584" s="37"/>
      <c r="AA584" s="18"/>
      <c r="AB584" s="18"/>
      <c r="AC584" s="18"/>
    </row>
    <row r="585" spans="23:29" customFormat="1" x14ac:dyDescent="0.25">
      <c r="W585" s="37"/>
      <c r="X585" s="52"/>
      <c r="Y585" s="52"/>
      <c r="Z585" s="37"/>
      <c r="AA585" s="18"/>
      <c r="AB585" s="18"/>
      <c r="AC585" s="18"/>
    </row>
    <row r="586" spans="23:29" customFormat="1" x14ac:dyDescent="0.25">
      <c r="W586" s="37"/>
      <c r="X586" s="52"/>
      <c r="Y586" s="52"/>
      <c r="Z586" s="37"/>
      <c r="AA586" s="18"/>
      <c r="AB586" s="18"/>
      <c r="AC586" s="18"/>
    </row>
    <row r="587" spans="23:29" customFormat="1" x14ac:dyDescent="0.25">
      <c r="W587" s="37"/>
      <c r="X587" s="52"/>
      <c r="Y587" s="52"/>
      <c r="Z587" s="37"/>
      <c r="AA587" s="18"/>
      <c r="AB587" s="18"/>
      <c r="AC587" s="18"/>
    </row>
    <row r="588" spans="23:29" customFormat="1" x14ac:dyDescent="0.25">
      <c r="W588" s="37"/>
      <c r="X588" s="52"/>
      <c r="Y588" s="52"/>
      <c r="Z588" s="37"/>
      <c r="AA588" s="18"/>
      <c r="AB588" s="18"/>
      <c r="AC588" s="18"/>
    </row>
    <row r="589" spans="23:29" customFormat="1" x14ac:dyDescent="0.25">
      <c r="W589" s="37"/>
      <c r="X589" s="52"/>
      <c r="Y589" s="52"/>
      <c r="Z589" s="37"/>
      <c r="AA589" s="18"/>
      <c r="AB589" s="18"/>
      <c r="AC589" s="18"/>
    </row>
    <row r="590" spans="23:29" customFormat="1" x14ac:dyDescent="0.25">
      <c r="W590" s="37"/>
      <c r="X590" s="52"/>
      <c r="Y590" s="52"/>
      <c r="Z590" s="37"/>
      <c r="AA590" s="18"/>
      <c r="AB590" s="18"/>
      <c r="AC590" s="18"/>
    </row>
    <row r="591" spans="23:29" customFormat="1" x14ac:dyDescent="0.25">
      <c r="W591" s="37"/>
      <c r="X591" s="52"/>
      <c r="Y591" s="52"/>
      <c r="Z591" s="37"/>
      <c r="AA591" s="18"/>
      <c r="AB591" s="18"/>
      <c r="AC591" s="18"/>
    </row>
    <row r="592" spans="23:29" customFormat="1" x14ac:dyDescent="0.25">
      <c r="W592" s="37"/>
      <c r="X592" s="52"/>
      <c r="Y592" s="52"/>
      <c r="Z592" s="37"/>
      <c r="AA592" s="18"/>
      <c r="AB592" s="18"/>
      <c r="AC592" s="18"/>
    </row>
    <row r="593" spans="23:29" customFormat="1" x14ac:dyDescent="0.25">
      <c r="W593" s="37"/>
      <c r="X593" s="52"/>
      <c r="Y593" s="52"/>
      <c r="Z593" s="37"/>
      <c r="AA593" s="18"/>
      <c r="AB593" s="18"/>
      <c r="AC593" s="18"/>
    </row>
    <row r="594" spans="23:29" customFormat="1" x14ac:dyDescent="0.25">
      <c r="W594" s="37"/>
      <c r="X594" s="52"/>
      <c r="Y594" s="52"/>
      <c r="Z594" s="37"/>
      <c r="AA594" s="18"/>
      <c r="AB594" s="18"/>
      <c r="AC594" s="18"/>
    </row>
    <row r="595" spans="23:29" customFormat="1" x14ac:dyDescent="0.25">
      <c r="W595" s="37"/>
      <c r="X595" s="52"/>
      <c r="Y595" s="52"/>
      <c r="Z595" s="37"/>
      <c r="AA595" s="18"/>
      <c r="AB595" s="18"/>
      <c r="AC595" s="18"/>
    </row>
    <row r="596" spans="23:29" customFormat="1" x14ac:dyDescent="0.25">
      <c r="W596" s="37"/>
      <c r="X596" s="52"/>
      <c r="Y596" s="52"/>
      <c r="Z596" s="37"/>
      <c r="AA596" s="18"/>
      <c r="AB596" s="18"/>
      <c r="AC596" s="18"/>
    </row>
    <row r="597" spans="23:29" customFormat="1" x14ac:dyDescent="0.25">
      <c r="W597" s="37"/>
      <c r="X597" s="52"/>
      <c r="Y597" s="52"/>
      <c r="Z597" s="37"/>
      <c r="AA597" s="18"/>
      <c r="AB597" s="18"/>
      <c r="AC597" s="18"/>
    </row>
    <row r="598" spans="23:29" customFormat="1" x14ac:dyDescent="0.25">
      <c r="W598" s="37"/>
      <c r="X598" s="52"/>
      <c r="Y598" s="52"/>
      <c r="Z598" s="37"/>
      <c r="AA598" s="18"/>
      <c r="AB598" s="18"/>
      <c r="AC598" s="18"/>
    </row>
    <row r="599" spans="23:29" customFormat="1" x14ac:dyDescent="0.25">
      <c r="W599" s="37"/>
      <c r="X599" s="52"/>
      <c r="Y599" s="52"/>
      <c r="Z599" s="37"/>
      <c r="AA599" s="18"/>
      <c r="AB599" s="18"/>
      <c r="AC599" s="18"/>
    </row>
    <row r="600" spans="23:29" customFormat="1" x14ac:dyDescent="0.25">
      <c r="W600" s="37"/>
      <c r="X600" s="52"/>
      <c r="Y600" s="52"/>
      <c r="Z600" s="37"/>
      <c r="AA600" s="18"/>
      <c r="AB600" s="18"/>
      <c r="AC600" s="18"/>
    </row>
    <row r="601" spans="23:29" customFormat="1" x14ac:dyDescent="0.25">
      <c r="W601" s="37"/>
      <c r="X601" s="52"/>
      <c r="Y601" s="52"/>
      <c r="Z601" s="37"/>
      <c r="AA601" s="18"/>
      <c r="AB601" s="18"/>
      <c r="AC601" s="18"/>
    </row>
    <row r="602" spans="23:29" customFormat="1" x14ac:dyDescent="0.25">
      <c r="W602" s="37"/>
      <c r="X602" s="52"/>
      <c r="Y602" s="52"/>
      <c r="Z602" s="37"/>
      <c r="AA602" s="18"/>
      <c r="AB602" s="18"/>
      <c r="AC602" s="18"/>
    </row>
    <row r="603" spans="23:29" customFormat="1" x14ac:dyDescent="0.25">
      <c r="W603" s="37"/>
      <c r="X603" s="52"/>
      <c r="Y603" s="52"/>
      <c r="Z603" s="37"/>
      <c r="AA603" s="18"/>
      <c r="AB603" s="18"/>
      <c r="AC603" s="18"/>
    </row>
    <row r="604" spans="23:29" customFormat="1" x14ac:dyDescent="0.25">
      <c r="W604" s="37"/>
      <c r="X604" s="52"/>
      <c r="Y604" s="52"/>
      <c r="Z604" s="37"/>
      <c r="AA604" s="18"/>
      <c r="AB604" s="18"/>
      <c r="AC604" s="18"/>
    </row>
    <row r="605" spans="23:29" customFormat="1" x14ac:dyDescent="0.25">
      <c r="W605" s="37"/>
      <c r="X605" s="52"/>
      <c r="Y605" s="52"/>
      <c r="Z605" s="37"/>
      <c r="AA605" s="18"/>
      <c r="AB605" s="18"/>
      <c r="AC605" s="18"/>
    </row>
    <row r="606" spans="23:29" customFormat="1" x14ac:dyDescent="0.25">
      <c r="W606" s="37"/>
      <c r="X606" s="52"/>
      <c r="Y606" s="52"/>
      <c r="Z606" s="37"/>
      <c r="AA606" s="18"/>
      <c r="AB606" s="18"/>
      <c r="AC606" s="18"/>
    </row>
    <row r="607" spans="23:29" customFormat="1" x14ac:dyDescent="0.25">
      <c r="W607" s="37"/>
      <c r="X607" s="52"/>
      <c r="Y607" s="52"/>
      <c r="Z607" s="37"/>
      <c r="AA607" s="18"/>
      <c r="AB607" s="18"/>
      <c r="AC607" s="18"/>
    </row>
    <row r="608" spans="23:29" customFormat="1" x14ac:dyDescent="0.25">
      <c r="W608" s="37"/>
      <c r="X608" s="52"/>
      <c r="Y608" s="52"/>
      <c r="Z608" s="37"/>
      <c r="AA608" s="18"/>
      <c r="AB608" s="18"/>
      <c r="AC608" s="18"/>
    </row>
    <row r="609" spans="23:29" customFormat="1" x14ac:dyDescent="0.25">
      <c r="W609" s="37"/>
      <c r="X609" s="52"/>
      <c r="Y609" s="52"/>
      <c r="Z609" s="37"/>
      <c r="AA609" s="18"/>
      <c r="AB609" s="18"/>
      <c r="AC609" s="18"/>
    </row>
    <row r="610" spans="23:29" customFormat="1" x14ac:dyDescent="0.25">
      <c r="W610" s="37"/>
      <c r="X610" s="52"/>
      <c r="Y610" s="52"/>
      <c r="Z610" s="37"/>
      <c r="AA610" s="18"/>
      <c r="AB610" s="18"/>
      <c r="AC610" s="18"/>
    </row>
    <row r="611" spans="23:29" customFormat="1" x14ac:dyDescent="0.25">
      <c r="W611" s="37"/>
      <c r="X611" s="52"/>
      <c r="Y611" s="52"/>
      <c r="Z611" s="37"/>
      <c r="AA611" s="18"/>
      <c r="AB611" s="18"/>
      <c r="AC611" s="18"/>
    </row>
    <row r="612" spans="23:29" customFormat="1" x14ac:dyDescent="0.25">
      <c r="W612" s="37"/>
      <c r="X612" s="52"/>
      <c r="Y612" s="52"/>
      <c r="Z612" s="37"/>
      <c r="AA612" s="18"/>
      <c r="AB612" s="18"/>
      <c r="AC612" s="18"/>
    </row>
    <row r="613" spans="23:29" customFormat="1" x14ac:dyDescent="0.25">
      <c r="W613" s="37"/>
      <c r="X613" s="52"/>
      <c r="Y613" s="52"/>
      <c r="Z613" s="37"/>
      <c r="AA613" s="18"/>
      <c r="AB613" s="18"/>
      <c r="AC613" s="18"/>
    </row>
    <row r="614" spans="23:29" customFormat="1" x14ac:dyDescent="0.25">
      <c r="W614" s="37"/>
      <c r="X614" s="52"/>
      <c r="Y614" s="52"/>
      <c r="Z614" s="37"/>
      <c r="AA614" s="18"/>
      <c r="AB614" s="18"/>
      <c r="AC614" s="18"/>
    </row>
    <row r="615" spans="23:29" customFormat="1" x14ac:dyDescent="0.25">
      <c r="W615" s="37"/>
      <c r="X615" s="52"/>
      <c r="Y615" s="52"/>
      <c r="Z615" s="37"/>
      <c r="AA615" s="18"/>
      <c r="AB615" s="18"/>
      <c r="AC615" s="18"/>
    </row>
    <row r="616" spans="23:29" customFormat="1" x14ac:dyDescent="0.25">
      <c r="W616" s="37"/>
      <c r="X616" s="52"/>
      <c r="Y616" s="52"/>
      <c r="Z616" s="37"/>
      <c r="AA616" s="18"/>
      <c r="AB616" s="18"/>
      <c r="AC616" s="18"/>
    </row>
    <row r="617" spans="23:29" customFormat="1" x14ac:dyDescent="0.25">
      <c r="W617" s="37"/>
      <c r="X617" s="52"/>
      <c r="Y617" s="52"/>
      <c r="Z617" s="37"/>
      <c r="AA617" s="18"/>
      <c r="AB617" s="18"/>
      <c r="AC617" s="18"/>
    </row>
    <row r="618" spans="23:29" customFormat="1" x14ac:dyDescent="0.25">
      <c r="W618" s="37"/>
      <c r="X618" s="52"/>
      <c r="Y618" s="52"/>
      <c r="Z618" s="37"/>
      <c r="AA618" s="18"/>
      <c r="AB618" s="18"/>
      <c r="AC618" s="18"/>
    </row>
    <row r="619" spans="23:29" customFormat="1" x14ac:dyDescent="0.25">
      <c r="W619" s="37"/>
      <c r="X619" s="52"/>
      <c r="Y619" s="52"/>
      <c r="Z619" s="37"/>
      <c r="AA619" s="18"/>
      <c r="AB619" s="18"/>
      <c r="AC619" s="18"/>
    </row>
    <row r="620" spans="23:29" customFormat="1" x14ac:dyDescent="0.25">
      <c r="W620" s="37"/>
      <c r="X620" s="52"/>
      <c r="Y620" s="52"/>
      <c r="Z620" s="37"/>
      <c r="AA620" s="18"/>
      <c r="AB620" s="18"/>
      <c r="AC620" s="18"/>
    </row>
    <row r="621" spans="23:29" customFormat="1" x14ac:dyDescent="0.25">
      <c r="W621" s="37"/>
      <c r="X621" s="52"/>
      <c r="Y621" s="52"/>
      <c r="Z621" s="37"/>
      <c r="AA621" s="18"/>
      <c r="AB621" s="18"/>
      <c r="AC621" s="18"/>
    </row>
    <row r="622" spans="23:29" customFormat="1" x14ac:dyDescent="0.25">
      <c r="W622" s="37"/>
      <c r="X622" s="52"/>
      <c r="Y622" s="52"/>
      <c r="Z622" s="37"/>
      <c r="AA622" s="18"/>
      <c r="AB622" s="18"/>
      <c r="AC622" s="18"/>
    </row>
    <row r="623" spans="23:29" customFormat="1" x14ac:dyDescent="0.25">
      <c r="W623" s="37"/>
      <c r="X623" s="52"/>
      <c r="Y623" s="52"/>
      <c r="Z623" s="37"/>
      <c r="AA623" s="18"/>
      <c r="AB623" s="18"/>
      <c r="AC623" s="18"/>
    </row>
    <row r="624" spans="23:29" customFormat="1" x14ac:dyDescent="0.25">
      <c r="W624" s="37"/>
      <c r="X624" s="52"/>
      <c r="Y624" s="52"/>
      <c r="Z624" s="37"/>
      <c r="AA624" s="18"/>
      <c r="AB624" s="18"/>
      <c r="AC624" s="18"/>
    </row>
    <row r="625" spans="23:29" customFormat="1" x14ac:dyDescent="0.25">
      <c r="W625" s="37"/>
      <c r="X625" s="52"/>
      <c r="Y625" s="52"/>
      <c r="Z625" s="37"/>
      <c r="AA625" s="18"/>
      <c r="AB625" s="18"/>
      <c r="AC625" s="18"/>
    </row>
    <row r="626" spans="23:29" customFormat="1" x14ac:dyDescent="0.25">
      <c r="W626" s="37"/>
      <c r="X626" s="52"/>
      <c r="Y626" s="52"/>
      <c r="Z626" s="37"/>
      <c r="AA626" s="18"/>
      <c r="AB626" s="18"/>
      <c r="AC626" s="18"/>
    </row>
    <row r="627" spans="23:29" customFormat="1" x14ac:dyDescent="0.25">
      <c r="W627" s="37"/>
      <c r="X627" s="52"/>
      <c r="Y627" s="52"/>
      <c r="Z627" s="37"/>
      <c r="AA627" s="18"/>
      <c r="AB627" s="18"/>
      <c r="AC627" s="18"/>
    </row>
    <row r="628" spans="23:29" customFormat="1" x14ac:dyDescent="0.25">
      <c r="W628" s="37"/>
      <c r="X628" s="52"/>
      <c r="Y628" s="52"/>
      <c r="Z628" s="37"/>
      <c r="AA628" s="18"/>
      <c r="AB628" s="18"/>
      <c r="AC628" s="18"/>
    </row>
    <row r="629" spans="23:29" customFormat="1" x14ac:dyDescent="0.25">
      <c r="W629" s="37"/>
      <c r="X629" s="52"/>
      <c r="Y629" s="52"/>
      <c r="Z629" s="37"/>
      <c r="AA629" s="18"/>
      <c r="AB629" s="18"/>
      <c r="AC629" s="18"/>
    </row>
    <row r="630" spans="23:29" customFormat="1" x14ac:dyDescent="0.25">
      <c r="W630" s="37"/>
      <c r="X630" s="52"/>
      <c r="Y630" s="52"/>
      <c r="Z630" s="37"/>
      <c r="AA630" s="18"/>
      <c r="AB630" s="18"/>
      <c r="AC630" s="18"/>
    </row>
    <row r="631" spans="23:29" customFormat="1" x14ac:dyDescent="0.25">
      <c r="W631" s="37"/>
      <c r="X631" s="52"/>
      <c r="Y631" s="52"/>
      <c r="Z631" s="37"/>
      <c r="AA631" s="18"/>
      <c r="AB631" s="18"/>
      <c r="AC631" s="18"/>
    </row>
    <row r="632" spans="23:29" customFormat="1" x14ac:dyDescent="0.25">
      <c r="W632" s="37"/>
      <c r="X632" s="52"/>
      <c r="Y632" s="52"/>
      <c r="Z632" s="37"/>
      <c r="AA632" s="18"/>
      <c r="AB632" s="18"/>
      <c r="AC632" s="18"/>
    </row>
    <row r="633" spans="23:29" customFormat="1" x14ac:dyDescent="0.25">
      <c r="W633" s="37"/>
      <c r="X633" s="52"/>
      <c r="Y633" s="52"/>
      <c r="Z633" s="37"/>
      <c r="AA633" s="18"/>
      <c r="AB633" s="18"/>
      <c r="AC633" s="18"/>
    </row>
    <row r="634" spans="23:29" customFormat="1" x14ac:dyDescent="0.25">
      <c r="W634" s="37"/>
      <c r="X634" s="52"/>
      <c r="Y634" s="52"/>
      <c r="Z634" s="37"/>
      <c r="AA634" s="18"/>
      <c r="AB634" s="18"/>
      <c r="AC634" s="18"/>
    </row>
    <row r="635" spans="23:29" customFormat="1" x14ac:dyDescent="0.25">
      <c r="W635" s="37"/>
      <c r="X635" s="52"/>
      <c r="Y635" s="52"/>
      <c r="Z635" s="37"/>
      <c r="AA635" s="18"/>
      <c r="AB635" s="18"/>
      <c r="AC635" s="18"/>
    </row>
    <row r="636" spans="23:29" customFormat="1" x14ac:dyDescent="0.25">
      <c r="W636" s="37"/>
      <c r="X636" s="52"/>
      <c r="Y636" s="52"/>
      <c r="Z636" s="37"/>
      <c r="AA636" s="18"/>
      <c r="AB636" s="18"/>
      <c r="AC636" s="18"/>
    </row>
    <row r="637" spans="23:29" customFormat="1" x14ac:dyDescent="0.25">
      <c r="W637" s="37"/>
      <c r="X637" s="52"/>
      <c r="Y637" s="52"/>
      <c r="Z637" s="37"/>
      <c r="AA637" s="18"/>
      <c r="AB637" s="18"/>
      <c r="AC637" s="18"/>
    </row>
    <row r="638" spans="23:29" customFormat="1" x14ac:dyDescent="0.25">
      <c r="W638" s="37"/>
      <c r="X638" s="52"/>
      <c r="Y638" s="52"/>
      <c r="Z638" s="37"/>
      <c r="AA638" s="18"/>
      <c r="AB638" s="18"/>
      <c r="AC638" s="18"/>
    </row>
    <row r="639" spans="23:29" customFormat="1" x14ac:dyDescent="0.25">
      <c r="W639" s="37"/>
      <c r="X639" s="52"/>
      <c r="Y639" s="52"/>
      <c r="Z639" s="37"/>
      <c r="AA639" s="18"/>
      <c r="AB639" s="18"/>
      <c r="AC639" s="18"/>
    </row>
    <row r="640" spans="23:29" customFormat="1" x14ac:dyDescent="0.25">
      <c r="W640" s="37"/>
      <c r="X640" s="52"/>
      <c r="Y640" s="52"/>
      <c r="Z640" s="37"/>
      <c r="AA640" s="18"/>
      <c r="AB640" s="18"/>
      <c r="AC640" s="18"/>
    </row>
    <row r="641" spans="23:29" customFormat="1" x14ac:dyDescent="0.25">
      <c r="W641" s="37"/>
      <c r="X641" s="52"/>
      <c r="Y641" s="52"/>
      <c r="Z641" s="37"/>
      <c r="AA641" s="18"/>
      <c r="AB641" s="18"/>
      <c r="AC641" s="18"/>
    </row>
    <row r="642" spans="23:29" customFormat="1" x14ac:dyDescent="0.25">
      <c r="W642" s="37"/>
      <c r="X642" s="52"/>
      <c r="Y642" s="52"/>
      <c r="Z642" s="37"/>
      <c r="AA642" s="18"/>
      <c r="AB642" s="18"/>
      <c r="AC642" s="18"/>
    </row>
    <row r="643" spans="23:29" customFormat="1" x14ac:dyDescent="0.25">
      <c r="W643" s="37"/>
      <c r="X643" s="52"/>
      <c r="Y643" s="52"/>
      <c r="Z643" s="37"/>
      <c r="AA643" s="18"/>
      <c r="AB643" s="18"/>
      <c r="AC643" s="18"/>
    </row>
    <row r="644" spans="23:29" customFormat="1" x14ac:dyDescent="0.25">
      <c r="W644" s="37"/>
      <c r="X644" s="52"/>
      <c r="Y644" s="52"/>
      <c r="Z644" s="37"/>
      <c r="AA644" s="18"/>
      <c r="AB644" s="18"/>
      <c r="AC644" s="18"/>
    </row>
    <row r="645" spans="23:29" customFormat="1" x14ac:dyDescent="0.25">
      <c r="W645" s="37"/>
      <c r="X645" s="52"/>
      <c r="Y645" s="52"/>
      <c r="Z645" s="37"/>
      <c r="AA645" s="18"/>
      <c r="AB645" s="18"/>
      <c r="AC645" s="18"/>
    </row>
    <row r="646" spans="23:29" customFormat="1" x14ac:dyDescent="0.25">
      <c r="W646" s="37"/>
      <c r="X646" s="52"/>
      <c r="Y646" s="52"/>
      <c r="Z646" s="37"/>
      <c r="AA646" s="18"/>
      <c r="AB646" s="18"/>
      <c r="AC646" s="18"/>
    </row>
    <row r="647" spans="23:29" customFormat="1" x14ac:dyDescent="0.25">
      <c r="W647" s="37"/>
      <c r="X647" s="52"/>
      <c r="Y647" s="52"/>
      <c r="Z647" s="37"/>
      <c r="AA647" s="18"/>
      <c r="AB647" s="18"/>
      <c r="AC647" s="18"/>
    </row>
    <row r="648" spans="23:29" customFormat="1" x14ac:dyDescent="0.25">
      <c r="W648" s="37"/>
      <c r="X648" s="52"/>
      <c r="Y648" s="52"/>
      <c r="Z648" s="37"/>
      <c r="AA648" s="18"/>
      <c r="AB648" s="18"/>
      <c r="AC648" s="18"/>
    </row>
    <row r="649" spans="23:29" customFormat="1" x14ac:dyDescent="0.25">
      <c r="W649" s="37"/>
      <c r="X649" s="52"/>
      <c r="Y649" s="52"/>
      <c r="Z649" s="37"/>
      <c r="AA649" s="18"/>
      <c r="AB649" s="18"/>
      <c r="AC649" s="18"/>
    </row>
    <row r="650" spans="23:29" customFormat="1" x14ac:dyDescent="0.25">
      <c r="W650" s="37"/>
      <c r="X650" s="52"/>
      <c r="Y650" s="52"/>
      <c r="Z650" s="37"/>
      <c r="AA650" s="18"/>
      <c r="AB650" s="18"/>
      <c r="AC650" s="18"/>
    </row>
    <row r="651" spans="23:29" customFormat="1" x14ac:dyDescent="0.25">
      <c r="W651" s="37"/>
      <c r="X651" s="52"/>
      <c r="Y651" s="52"/>
      <c r="Z651" s="37"/>
      <c r="AA651" s="18"/>
      <c r="AB651" s="18"/>
      <c r="AC651" s="18"/>
    </row>
    <row r="652" spans="23:29" customFormat="1" x14ac:dyDescent="0.25">
      <c r="W652" s="37"/>
      <c r="X652" s="52"/>
      <c r="Y652" s="52"/>
      <c r="Z652" s="37"/>
      <c r="AA652" s="18"/>
      <c r="AB652" s="18"/>
      <c r="AC652" s="18"/>
    </row>
    <row r="653" spans="23:29" customFormat="1" x14ac:dyDescent="0.25">
      <c r="W653" s="37"/>
      <c r="X653" s="52"/>
      <c r="Y653" s="52"/>
      <c r="Z653" s="37"/>
      <c r="AA653" s="18"/>
      <c r="AB653" s="18"/>
      <c r="AC653" s="18"/>
    </row>
    <row r="654" spans="23:29" customFormat="1" x14ac:dyDescent="0.25">
      <c r="W654" s="37"/>
      <c r="X654" s="52"/>
      <c r="Y654" s="52"/>
      <c r="Z654" s="37"/>
      <c r="AA654" s="18"/>
      <c r="AB654" s="18"/>
      <c r="AC654" s="18"/>
    </row>
    <row r="655" spans="23:29" customFormat="1" x14ac:dyDescent="0.25">
      <c r="W655" s="37"/>
      <c r="X655" s="52"/>
      <c r="Y655" s="52"/>
      <c r="Z655" s="37"/>
      <c r="AA655" s="18"/>
      <c r="AB655" s="18"/>
      <c r="AC655" s="18"/>
    </row>
    <row r="656" spans="23:29" customFormat="1" x14ac:dyDescent="0.25">
      <c r="W656" s="37"/>
      <c r="X656" s="52"/>
      <c r="Y656" s="52"/>
      <c r="Z656" s="37"/>
      <c r="AA656" s="18"/>
      <c r="AB656" s="18"/>
      <c r="AC656" s="18"/>
    </row>
    <row r="657" spans="23:29" customFormat="1" x14ac:dyDescent="0.25">
      <c r="W657" s="37"/>
      <c r="X657" s="52"/>
      <c r="Y657" s="52"/>
      <c r="Z657" s="37"/>
      <c r="AA657" s="18"/>
      <c r="AB657" s="18"/>
      <c r="AC657" s="18"/>
    </row>
    <row r="658" spans="23:29" customFormat="1" x14ac:dyDescent="0.25">
      <c r="W658" s="37"/>
      <c r="X658" s="52"/>
      <c r="Y658" s="52"/>
      <c r="Z658" s="37"/>
      <c r="AA658" s="18"/>
      <c r="AB658" s="18"/>
      <c r="AC658" s="18"/>
    </row>
    <row r="659" spans="23:29" customFormat="1" x14ac:dyDescent="0.25">
      <c r="W659" s="37"/>
      <c r="X659" s="52"/>
      <c r="Y659" s="52"/>
      <c r="Z659" s="37"/>
      <c r="AA659" s="18"/>
      <c r="AB659" s="18"/>
      <c r="AC659" s="18"/>
    </row>
    <row r="660" spans="23:29" customFormat="1" x14ac:dyDescent="0.25">
      <c r="W660" s="37"/>
      <c r="X660" s="52"/>
      <c r="Y660" s="52"/>
      <c r="Z660" s="37"/>
      <c r="AA660" s="18"/>
      <c r="AB660" s="18"/>
      <c r="AC660" s="18"/>
    </row>
    <row r="661" spans="23:29" customFormat="1" x14ac:dyDescent="0.25">
      <c r="W661" s="37"/>
      <c r="X661" s="52"/>
      <c r="Y661" s="52"/>
      <c r="Z661" s="37"/>
      <c r="AA661" s="18"/>
      <c r="AB661" s="18"/>
      <c r="AC661" s="18"/>
    </row>
    <row r="662" spans="23:29" customFormat="1" x14ac:dyDescent="0.25">
      <c r="W662" s="37"/>
      <c r="X662" s="52"/>
      <c r="Y662" s="52"/>
      <c r="Z662" s="37"/>
      <c r="AA662" s="18"/>
      <c r="AB662" s="18"/>
      <c r="AC662" s="18"/>
    </row>
    <row r="663" spans="23:29" customFormat="1" x14ac:dyDescent="0.25">
      <c r="W663" s="37"/>
      <c r="X663" s="52"/>
      <c r="Y663" s="52"/>
      <c r="Z663" s="37"/>
      <c r="AA663" s="18"/>
      <c r="AB663" s="18"/>
      <c r="AC663" s="18"/>
    </row>
    <row r="664" spans="23:29" customFormat="1" x14ac:dyDescent="0.25">
      <c r="W664" s="37"/>
      <c r="X664" s="52"/>
      <c r="Y664" s="52"/>
      <c r="Z664" s="37"/>
      <c r="AA664" s="18"/>
      <c r="AB664" s="18"/>
      <c r="AC664" s="18"/>
    </row>
    <row r="665" spans="23:29" customFormat="1" x14ac:dyDescent="0.25">
      <c r="W665" s="37"/>
      <c r="X665" s="52"/>
      <c r="Y665" s="52"/>
      <c r="Z665" s="37"/>
      <c r="AA665" s="18"/>
      <c r="AB665" s="18"/>
      <c r="AC665" s="18"/>
    </row>
    <row r="666" spans="23:29" customFormat="1" x14ac:dyDescent="0.25">
      <c r="W666" s="37"/>
      <c r="X666" s="52"/>
      <c r="Y666" s="52"/>
      <c r="Z666" s="37"/>
      <c r="AA666" s="18"/>
      <c r="AB666" s="18"/>
      <c r="AC666" s="18"/>
    </row>
    <row r="667" spans="23:29" customFormat="1" x14ac:dyDescent="0.25">
      <c r="W667" s="37"/>
      <c r="X667" s="52"/>
      <c r="Y667" s="52"/>
      <c r="Z667" s="37"/>
      <c r="AA667" s="18"/>
      <c r="AB667" s="18"/>
      <c r="AC667" s="18"/>
    </row>
    <row r="668" spans="23:29" customFormat="1" x14ac:dyDescent="0.25">
      <c r="W668" s="37"/>
      <c r="X668" s="52"/>
      <c r="Y668" s="52"/>
      <c r="Z668" s="37"/>
      <c r="AA668" s="18"/>
      <c r="AB668" s="18"/>
      <c r="AC668" s="18"/>
    </row>
    <row r="669" spans="23:29" customFormat="1" x14ac:dyDescent="0.25">
      <c r="W669" s="37"/>
      <c r="X669" s="52"/>
      <c r="Y669" s="52"/>
      <c r="Z669" s="37"/>
      <c r="AA669" s="18"/>
      <c r="AB669" s="18"/>
      <c r="AC669" s="18"/>
    </row>
    <row r="670" spans="23:29" customFormat="1" x14ac:dyDescent="0.25">
      <c r="W670" s="37"/>
      <c r="X670" s="52"/>
      <c r="Y670" s="52"/>
      <c r="Z670" s="37"/>
      <c r="AA670" s="18"/>
      <c r="AB670" s="18"/>
      <c r="AC670" s="18"/>
    </row>
    <row r="671" spans="23:29" customFormat="1" x14ac:dyDescent="0.25">
      <c r="W671" s="37"/>
      <c r="X671" s="52"/>
      <c r="Y671" s="52"/>
      <c r="Z671" s="37"/>
      <c r="AA671" s="18"/>
      <c r="AB671" s="18"/>
      <c r="AC671" s="18"/>
    </row>
    <row r="672" spans="23:29" customFormat="1" x14ac:dyDescent="0.25">
      <c r="W672" s="37"/>
      <c r="X672" s="52"/>
      <c r="Y672" s="52"/>
      <c r="Z672" s="37"/>
      <c r="AA672" s="18"/>
      <c r="AB672" s="18"/>
      <c r="AC672" s="18"/>
    </row>
    <row r="673" spans="23:29" customFormat="1" x14ac:dyDescent="0.25">
      <c r="W673" s="37"/>
      <c r="X673" s="52"/>
      <c r="Y673" s="52"/>
      <c r="Z673" s="37"/>
      <c r="AA673" s="18"/>
      <c r="AB673" s="18"/>
      <c r="AC673" s="18"/>
    </row>
    <row r="674" spans="23:29" customFormat="1" x14ac:dyDescent="0.25">
      <c r="W674" s="37"/>
      <c r="X674" s="52"/>
      <c r="Y674" s="52"/>
      <c r="Z674" s="37"/>
      <c r="AA674" s="18"/>
      <c r="AB674" s="18"/>
      <c r="AC674" s="18"/>
    </row>
    <row r="675" spans="23:29" customFormat="1" x14ac:dyDescent="0.25">
      <c r="W675" s="37"/>
      <c r="X675" s="52"/>
      <c r="Y675" s="52"/>
      <c r="Z675" s="37"/>
      <c r="AA675" s="18"/>
      <c r="AB675" s="18"/>
      <c r="AC675" s="18"/>
    </row>
    <row r="676" spans="23:29" customFormat="1" x14ac:dyDescent="0.25">
      <c r="W676" s="37"/>
      <c r="X676" s="52"/>
      <c r="Y676" s="52"/>
      <c r="Z676" s="37"/>
      <c r="AA676" s="18"/>
      <c r="AB676" s="18"/>
      <c r="AC676" s="18"/>
    </row>
    <row r="677" spans="23:29" customFormat="1" x14ac:dyDescent="0.25">
      <c r="W677" s="37"/>
      <c r="X677" s="52"/>
      <c r="Y677" s="52"/>
      <c r="Z677" s="37"/>
      <c r="AA677" s="18"/>
      <c r="AB677" s="18"/>
      <c r="AC677" s="18"/>
    </row>
    <row r="678" spans="23:29" customFormat="1" x14ac:dyDescent="0.25">
      <c r="W678" s="37"/>
      <c r="X678" s="52"/>
      <c r="Y678" s="52"/>
      <c r="Z678" s="37"/>
      <c r="AA678" s="18"/>
      <c r="AB678" s="18"/>
      <c r="AC678" s="18"/>
    </row>
    <row r="679" spans="23:29" customFormat="1" x14ac:dyDescent="0.25">
      <c r="W679" s="37"/>
      <c r="X679" s="52"/>
      <c r="Y679" s="52"/>
      <c r="Z679" s="37"/>
      <c r="AA679" s="18"/>
      <c r="AB679" s="18"/>
      <c r="AC679" s="18"/>
    </row>
    <row r="680" spans="23:29" customFormat="1" x14ac:dyDescent="0.25">
      <c r="W680" s="37"/>
      <c r="X680" s="52"/>
      <c r="Y680" s="52"/>
      <c r="Z680" s="37"/>
      <c r="AA680" s="18"/>
      <c r="AB680" s="18"/>
      <c r="AC680" s="18"/>
    </row>
    <row r="681" spans="23:29" customFormat="1" x14ac:dyDescent="0.25">
      <c r="W681" s="37"/>
      <c r="X681" s="52"/>
      <c r="Y681" s="52"/>
      <c r="Z681" s="37"/>
      <c r="AA681" s="18"/>
      <c r="AB681" s="18"/>
      <c r="AC681" s="18"/>
    </row>
    <row r="682" spans="23:29" customFormat="1" x14ac:dyDescent="0.25">
      <c r="W682" s="37"/>
      <c r="X682" s="52"/>
      <c r="Y682" s="52"/>
      <c r="Z682" s="37"/>
      <c r="AA682" s="18"/>
      <c r="AB682" s="18"/>
      <c r="AC682" s="18"/>
    </row>
    <row r="683" spans="23:29" customFormat="1" x14ac:dyDescent="0.25">
      <c r="W683" s="37"/>
      <c r="X683" s="52"/>
      <c r="Y683" s="52"/>
      <c r="Z683" s="37"/>
      <c r="AA683" s="18"/>
      <c r="AB683" s="18"/>
      <c r="AC683" s="18"/>
    </row>
    <row r="684" spans="23:29" customFormat="1" x14ac:dyDescent="0.25">
      <c r="W684" s="37"/>
      <c r="X684" s="52"/>
      <c r="Y684" s="52"/>
      <c r="Z684" s="37"/>
      <c r="AA684" s="18"/>
      <c r="AB684" s="18"/>
      <c r="AC684" s="18"/>
    </row>
    <row r="685" spans="23:29" customFormat="1" x14ac:dyDescent="0.25">
      <c r="W685" s="37"/>
      <c r="X685" s="52"/>
      <c r="Y685" s="52"/>
      <c r="Z685" s="37"/>
      <c r="AA685" s="18"/>
      <c r="AB685" s="18"/>
      <c r="AC685" s="18"/>
    </row>
    <row r="686" spans="23:29" customFormat="1" x14ac:dyDescent="0.25">
      <c r="W686" s="37"/>
      <c r="X686" s="52"/>
      <c r="Y686" s="52"/>
      <c r="Z686" s="37"/>
      <c r="AA686" s="18"/>
      <c r="AB686" s="18"/>
      <c r="AC686" s="18"/>
    </row>
    <row r="687" spans="23:29" customFormat="1" x14ac:dyDescent="0.25">
      <c r="W687" s="37"/>
      <c r="X687" s="52"/>
      <c r="Y687" s="52"/>
      <c r="Z687" s="37"/>
      <c r="AA687" s="18"/>
      <c r="AB687" s="18"/>
      <c r="AC687" s="18"/>
    </row>
    <row r="688" spans="23:29" customFormat="1" x14ac:dyDescent="0.25">
      <c r="W688" s="37"/>
      <c r="X688" s="52"/>
      <c r="Y688" s="52"/>
      <c r="Z688" s="37"/>
      <c r="AA688" s="18"/>
      <c r="AB688" s="18"/>
      <c r="AC688" s="18"/>
    </row>
    <row r="689" spans="23:29" customFormat="1" x14ac:dyDescent="0.25">
      <c r="W689" s="37"/>
      <c r="X689" s="52"/>
      <c r="Y689" s="52"/>
      <c r="Z689" s="37"/>
      <c r="AA689" s="18"/>
      <c r="AB689" s="18"/>
      <c r="AC689" s="18"/>
    </row>
    <row r="690" spans="23:29" customFormat="1" x14ac:dyDescent="0.25">
      <c r="W690" s="37"/>
      <c r="X690" s="52"/>
      <c r="Y690" s="52"/>
      <c r="Z690" s="37"/>
      <c r="AA690" s="18"/>
      <c r="AB690" s="18"/>
      <c r="AC690" s="18"/>
    </row>
    <row r="691" spans="23:29" customFormat="1" x14ac:dyDescent="0.25">
      <c r="W691" s="37"/>
      <c r="X691" s="52"/>
      <c r="Y691" s="52"/>
      <c r="Z691" s="37"/>
      <c r="AA691" s="18"/>
      <c r="AB691" s="18"/>
      <c r="AC691" s="18"/>
    </row>
    <row r="692" spans="23:29" customFormat="1" x14ac:dyDescent="0.25">
      <c r="W692" s="37"/>
      <c r="X692" s="52"/>
      <c r="Y692" s="52"/>
      <c r="Z692" s="37"/>
      <c r="AA692" s="18"/>
      <c r="AB692" s="18"/>
      <c r="AC692" s="18"/>
    </row>
    <row r="693" spans="23:29" customFormat="1" x14ac:dyDescent="0.25">
      <c r="W693" s="37"/>
      <c r="X693" s="52"/>
      <c r="Y693" s="52"/>
      <c r="Z693" s="37"/>
      <c r="AA693" s="18"/>
      <c r="AB693" s="18"/>
      <c r="AC693" s="18"/>
    </row>
    <row r="694" spans="23:29" customFormat="1" x14ac:dyDescent="0.25">
      <c r="W694" s="37"/>
      <c r="X694" s="52"/>
      <c r="Y694" s="52"/>
      <c r="Z694" s="37"/>
      <c r="AA694" s="18"/>
      <c r="AB694" s="18"/>
      <c r="AC694" s="18"/>
    </row>
    <row r="695" spans="23:29" customFormat="1" x14ac:dyDescent="0.25">
      <c r="W695" s="37"/>
      <c r="X695" s="52"/>
      <c r="Y695" s="52"/>
      <c r="Z695" s="37"/>
      <c r="AA695" s="18"/>
      <c r="AB695" s="18"/>
      <c r="AC695" s="18"/>
    </row>
    <row r="696" spans="23:29" customFormat="1" x14ac:dyDescent="0.25">
      <c r="W696" s="37"/>
      <c r="X696" s="52"/>
      <c r="Y696" s="52"/>
      <c r="Z696" s="37"/>
      <c r="AA696" s="18"/>
      <c r="AB696" s="18"/>
      <c r="AC696" s="18"/>
    </row>
    <row r="697" spans="23:29" customFormat="1" x14ac:dyDescent="0.25">
      <c r="W697" s="37"/>
      <c r="X697" s="52"/>
      <c r="Y697" s="52"/>
      <c r="Z697" s="37"/>
      <c r="AA697" s="18"/>
      <c r="AB697" s="18"/>
      <c r="AC697" s="18"/>
    </row>
    <row r="698" spans="23:29" customFormat="1" x14ac:dyDescent="0.25">
      <c r="W698" s="37"/>
      <c r="X698" s="52"/>
      <c r="Y698" s="52"/>
      <c r="Z698" s="37"/>
      <c r="AA698" s="18"/>
      <c r="AB698" s="18"/>
      <c r="AC698" s="18"/>
    </row>
    <row r="699" spans="23:29" customFormat="1" x14ac:dyDescent="0.25">
      <c r="W699" s="37"/>
      <c r="X699" s="52"/>
      <c r="Y699" s="52"/>
      <c r="Z699" s="37"/>
      <c r="AA699" s="18"/>
      <c r="AB699" s="18"/>
      <c r="AC699" s="18"/>
    </row>
    <row r="700" spans="23:29" customFormat="1" x14ac:dyDescent="0.25">
      <c r="W700" s="37"/>
      <c r="X700" s="52"/>
      <c r="Y700" s="52"/>
      <c r="Z700" s="37"/>
      <c r="AA700" s="18"/>
      <c r="AB700" s="18"/>
      <c r="AC700" s="18"/>
    </row>
    <row r="701" spans="23:29" customFormat="1" x14ac:dyDescent="0.25">
      <c r="W701" s="37"/>
      <c r="X701" s="52"/>
      <c r="Y701" s="52"/>
      <c r="Z701" s="37"/>
      <c r="AA701" s="18"/>
      <c r="AB701" s="18"/>
      <c r="AC701" s="18"/>
    </row>
    <row r="702" spans="23:29" customFormat="1" x14ac:dyDescent="0.25">
      <c r="W702" s="37"/>
      <c r="X702" s="52"/>
      <c r="Y702" s="52"/>
      <c r="Z702" s="37"/>
      <c r="AA702" s="18"/>
      <c r="AB702" s="18"/>
      <c r="AC702" s="18"/>
    </row>
    <row r="703" spans="23:29" customFormat="1" x14ac:dyDescent="0.25">
      <c r="W703" s="37"/>
      <c r="X703" s="52"/>
      <c r="Y703" s="52"/>
      <c r="Z703" s="37"/>
      <c r="AA703" s="18"/>
      <c r="AB703" s="18"/>
      <c r="AC703" s="18"/>
    </row>
    <row r="704" spans="23:29" customFormat="1" x14ac:dyDescent="0.25">
      <c r="W704" s="37"/>
      <c r="X704" s="52"/>
      <c r="Y704" s="52"/>
      <c r="Z704" s="37"/>
      <c r="AA704" s="18"/>
      <c r="AB704" s="18"/>
      <c r="AC704" s="18"/>
    </row>
    <row r="705" spans="23:29" customFormat="1" x14ac:dyDescent="0.25">
      <c r="W705" s="37"/>
      <c r="X705" s="52"/>
      <c r="Y705" s="52"/>
      <c r="Z705" s="37"/>
      <c r="AA705" s="18"/>
      <c r="AB705" s="18"/>
      <c r="AC705" s="18"/>
    </row>
    <row r="706" spans="23:29" customFormat="1" x14ac:dyDescent="0.25">
      <c r="W706" s="37"/>
      <c r="X706" s="52"/>
      <c r="Y706" s="52"/>
      <c r="Z706" s="37"/>
      <c r="AA706" s="18"/>
      <c r="AB706" s="18"/>
      <c r="AC706" s="18"/>
    </row>
    <row r="707" spans="23:29" customFormat="1" x14ac:dyDescent="0.25">
      <c r="W707" s="37"/>
      <c r="X707" s="52"/>
      <c r="Y707" s="52"/>
      <c r="Z707" s="37"/>
      <c r="AA707" s="18"/>
      <c r="AB707" s="18"/>
      <c r="AC707" s="18"/>
    </row>
    <row r="708" spans="23:29" customFormat="1" x14ac:dyDescent="0.25">
      <c r="W708" s="37"/>
      <c r="X708" s="52"/>
      <c r="Y708" s="52"/>
      <c r="Z708" s="37"/>
      <c r="AA708" s="18"/>
      <c r="AB708" s="18"/>
      <c r="AC708" s="18"/>
    </row>
    <row r="709" spans="23:29" customFormat="1" x14ac:dyDescent="0.25">
      <c r="W709" s="37"/>
      <c r="X709" s="52"/>
      <c r="Y709" s="52"/>
      <c r="Z709" s="37"/>
      <c r="AA709" s="18"/>
      <c r="AB709" s="18"/>
      <c r="AC709" s="18"/>
    </row>
    <row r="710" spans="23:29" customFormat="1" x14ac:dyDescent="0.25">
      <c r="W710" s="37"/>
      <c r="X710" s="52"/>
      <c r="Y710" s="52"/>
      <c r="Z710" s="37"/>
      <c r="AA710" s="18"/>
      <c r="AB710" s="18"/>
      <c r="AC710" s="18"/>
    </row>
    <row r="711" spans="23:29" customFormat="1" x14ac:dyDescent="0.25">
      <c r="W711" s="37"/>
      <c r="X711" s="52"/>
      <c r="Y711" s="52"/>
      <c r="Z711" s="37"/>
      <c r="AA711" s="18"/>
      <c r="AB711" s="18"/>
      <c r="AC711" s="18"/>
    </row>
    <row r="712" spans="23:29" customFormat="1" x14ac:dyDescent="0.25">
      <c r="W712" s="37"/>
      <c r="X712" s="52"/>
      <c r="Y712" s="52"/>
      <c r="Z712" s="37"/>
      <c r="AA712" s="18"/>
      <c r="AB712" s="18"/>
      <c r="AC712" s="18"/>
    </row>
    <row r="713" spans="23:29" customFormat="1" x14ac:dyDescent="0.25">
      <c r="W713" s="37"/>
      <c r="X713" s="52"/>
      <c r="Y713" s="52"/>
      <c r="Z713" s="37"/>
      <c r="AA713" s="18"/>
      <c r="AB713" s="18"/>
      <c r="AC713" s="18"/>
    </row>
    <row r="714" spans="23:29" customFormat="1" x14ac:dyDescent="0.25">
      <c r="W714" s="37"/>
      <c r="X714" s="52"/>
      <c r="Y714" s="52"/>
      <c r="Z714" s="37"/>
      <c r="AA714" s="18"/>
      <c r="AB714" s="18"/>
      <c r="AC714" s="18"/>
    </row>
    <row r="715" spans="23:29" customFormat="1" x14ac:dyDescent="0.25">
      <c r="W715" s="37"/>
      <c r="X715" s="52"/>
      <c r="Y715" s="52"/>
      <c r="Z715" s="37"/>
      <c r="AA715" s="18"/>
      <c r="AB715" s="18"/>
      <c r="AC715" s="18"/>
    </row>
    <row r="716" spans="23:29" customFormat="1" x14ac:dyDescent="0.25">
      <c r="W716" s="37"/>
      <c r="X716" s="52"/>
      <c r="Y716" s="52"/>
      <c r="Z716" s="37"/>
      <c r="AA716" s="18"/>
      <c r="AB716" s="18"/>
      <c r="AC716" s="18"/>
    </row>
    <row r="717" spans="23:29" customFormat="1" x14ac:dyDescent="0.25">
      <c r="W717" s="37"/>
      <c r="X717" s="52"/>
      <c r="Y717" s="52"/>
      <c r="Z717" s="37"/>
      <c r="AA717" s="18"/>
      <c r="AB717" s="18"/>
      <c r="AC717" s="18"/>
    </row>
    <row r="718" spans="23:29" customFormat="1" x14ac:dyDescent="0.25">
      <c r="W718" s="37"/>
      <c r="X718" s="52"/>
      <c r="Y718" s="52"/>
      <c r="Z718" s="37"/>
      <c r="AA718" s="18"/>
      <c r="AB718" s="18"/>
      <c r="AC718" s="18"/>
    </row>
    <row r="719" spans="23:29" customFormat="1" x14ac:dyDescent="0.25">
      <c r="W719" s="37"/>
      <c r="X719" s="52"/>
      <c r="Y719" s="52"/>
      <c r="Z719" s="37"/>
      <c r="AA719" s="18"/>
      <c r="AB719" s="18"/>
      <c r="AC719" s="18"/>
    </row>
    <row r="720" spans="23:29" customFormat="1" x14ac:dyDescent="0.25">
      <c r="W720" s="37"/>
      <c r="X720" s="52"/>
      <c r="Y720" s="52"/>
      <c r="Z720" s="37"/>
      <c r="AA720" s="18"/>
      <c r="AB720" s="18"/>
      <c r="AC720" s="18"/>
    </row>
    <row r="721" spans="23:29" customFormat="1" x14ac:dyDescent="0.25">
      <c r="W721" s="37"/>
      <c r="X721" s="52"/>
      <c r="Y721" s="52"/>
      <c r="Z721" s="37"/>
      <c r="AA721" s="18"/>
      <c r="AB721" s="18"/>
      <c r="AC721" s="18"/>
    </row>
    <row r="722" spans="23:29" customFormat="1" x14ac:dyDescent="0.25">
      <c r="W722" s="37"/>
      <c r="X722" s="52"/>
      <c r="Y722" s="52"/>
      <c r="Z722" s="37"/>
      <c r="AA722" s="18"/>
      <c r="AB722" s="18"/>
      <c r="AC722" s="18"/>
    </row>
    <row r="723" spans="23:29" customFormat="1" x14ac:dyDescent="0.25">
      <c r="W723" s="37"/>
      <c r="X723" s="52"/>
      <c r="Y723" s="52"/>
      <c r="Z723" s="37"/>
      <c r="AA723" s="18"/>
      <c r="AB723" s="18"/>
      <c r="AC723" s="18"/>
    </row>
    <row r="724" spans="23:29" customFormat="1" x14ac:dyDescent="0.25">
      <c r="W724" s="37"/>
      <c r="X724" s="52"/>
      <c r="Y724" s="52"/>
      <c r="Z724" s="37"/>
      <c r="AA724" s="18"/>
      <c r="AB724" s="18"/>
      <c r="AC724" s="18"/>
    </row>
    <row r="725" spans="23:29" customFormat="1" x14ac:dyDescent="0.25">
      <c r="W725" s="37"/>
      <c r="X725" s="52"/>
      <c r="Y725" s="52"/>
      <c r="Z725" s="37"/>
      <c r="AA725" s="18"/>
      <c r="AB725" s="18"/>
      <c r="AC725" s="18"/>
    </row>
    <row r="726" spans="23:29" customFormat="1" x14ac:dyDescent="0.25">
      <c r="W726" s="37"/>
      <c r="X726" s="52"/>
      <c r="Y726" s="52"/>
      <c r="Z726" s="37"/>
      <c r="AA726" s="18"/>
      <c r="AB726" s="18"/>
      <c r="AC726" s="18"/>
    </row>
    <row r="727" spans="23:29" customFormat="1" x14ac:dyDescent="0.25">
      <c r="W727" s="37"/>
      <c r="X727" s="52"/>
      <c r="Y727" s="52"/>
      <c r="Z727" s="37"/>
      <c r="AA727" s="18"/>
      <c r="AB727" s="18"/>
      <c r="AC727" s="18"/>
    </row>
    <row r="728" spans="23:29" customFormat="1" x14ac:dyDescent="0.25">
      <c r="W728" s="37"/>
      <c r="X728" s="52"/>
      <c r="Y728" s="52"/>
      <c r="Z728" s="37"/>
      <c r="AA728" s="18"/>
      <c r="AB728" s="18"/>
      <c r="AC728" s="18"/>
    </row>
    <row r="729" spans="23:29" customFormat="1" x14ac:dyDescent="0.25">
      <c r="W729" s="37"/>
      <c r="X729" s="52"/>
      <c r="Y729" s="52"/>
      <c r="Z729" s="37"/>
      <c r="AA729" s="18"/>
      <c r="AB729" s="18"/>
      <c r="AC729" s="18"/>
    </row>
    <row r="730" spans="23:29" customFormat="1" x14ac:dyDescent="0.25">
      <c r="W730" s="37"/>
      <c r="X730" s="52"/>
      <c r="Y730" s="52"/>
      <c r="Z730" s="37"/>
      <c r="AA730" s="18"/>
      <c r="AB730" s="18"/>
      <c r="AC730" s="18"/>
    </row>
    <row r="731" spans="23:29" customFormat="1" x14ac:dyDescent="0.25">
      <c r="W731" s="37"/>
      <c r="X731" s="52"/>
      <c r="Y731" s="52"/>
      <c r="Z731" s="37"/>
      <c r="AA731" s="18"/>
      <c r="AB731" s="18"/>
      <c r="AC731" s="18"/>
    </row>
    <row r="732" spans="23:29" customFormat="1" x14ac:dyDescent="0.25">
      <c r="W732" s="37"/>
      <c r="X732" s="52"/>
      <c r="Y732" s="52"/>
      <c r="Z732" s="37"/>
      <c r="AA732" s="18"/>
      <c r="AB732" s="18"/>
      <c r="AC732" s="18"/>
    </row>
    <row r="733" spans="23:29" customFormat="1" x14ac:dyDescent="0.25">
      <c r="W733" s="37"/>
      <c r="X733" s="52"/>
      <c r="Y733" s="52"/>
      <c r="Z733" s="37"/>
      <c r="AA733" s="18"/>
      <c r="AB733" s="18"/>
      <c r="AC733" s="18"/>
    </row>
    <row r="734" spans="23:29" customFormat="1" x14ac:dyDescent="0.25">
      <c r="W734" s="37"/>
      <c r="X734" s="52"/>
      <c r="Y734" s="52"/>
      <c r="Z734" s="37"/>
      <c r="AA734" s="18"/>
      <c r="AB734" s="18"/>
      <c r="AC734" s="18"/>
    </row>
    <row r="735" spans="23:29" customFormat="1" x14ac:dyDescent="0.25">
      <c r="W735" s="37"/>
      <c r="X735" s="52"/>
      <c r="Y735" s="52"/>
      <c r="Z735" s="37"/>
      <c r="AA735" s="18"/>
      <c r="AB735" s="18"/>
      <c r="AC735" s="18"/>
    </row>
    <row r="736" spans="23:29" customFormat="1" x14ac:dyDescent="0.25">
      <c r="W736" s="37"/>
      <c r="X736" s="52"/>
      <c r="Y736" s="52"/>
      <c r="Z736" s="37"/>
      <c r="AA736" s="18"/>
      <c r="AB736" s="18"/>
      <c r="AC736" s="18"/>
    </row>
    <row r="737" spans="23:29" customFormat="1" x14ac:dyDescent="0.25">
      <c r="W737" s="37"/>
      <c r="X737" s="52"/>
      <c r="Y737" s="52"/>
      <c r="Z737" s="37"/>
      <c r="AA737" s="18"/>
      <c r="AB737" s="18"/>
      <c r="AC737" s="18"/>
    </row>
    <row r="738" spans="23:29" customFormat="1" x14ac:dyDescent="0.25">
      <c r="W738" s="37"/>
      <c r="X738" s="52"/>
      <c r="Y738" s="52"/>
      <c r="Z738" s="37"/>
      <c r="AA738" s="18"/>
      <c r="AB738" s="18"/>
      <c r="AC738" s="18"/>
    </row>
    <row r="739" spans="23:29" customFormat="1" x14ac:dyDescent="0.25">
      <c r="W739" s="37"/>
      <c r="X739" s="52"/>
      <c r="Y739" s="52"/>
      <c r="Z739" s="37"/>
      <c r="AA739" s="18"/>
      <c r="AB739" s="18"/>
      <c r="AC739" s="18"/>
    </row>
    <row r="740" spans="23:29" customFormat="1" x14ac:dyDescent="0.25">
      <c r="W740" s="37"/>
      <c r="X740" s="52"/>
      <c r="Y740" s="52"/>
      <c r="Z740" s="37"/>
      <c r="AA740" s="18"/>
      <c r="AB740" s="18"/>
      <c r="AC740" s="18"/>
    </row>
    <row r="741" spans="23:29" customFormat="1" x14ac:dyDescent="0.25">
      <c r="W741" s="37"/>
      <c r="X741" s="52"/>
      <c r="Y741" s="52"/>
      <c r="Z741" s="37"/>
      <c r="AA741" s="18"/>
      <c r="AB741" s="18"/>
      <c r="AC741" s="18"/>
    </row>
    <row r="742" spans="23:29" customFormat="1" x14ac:dyDescent="0.25">
      <c r="W742" s="37"/>
      <c r="X742" s="52"/>
      <c r="Y742" s="52"/>
      <c r="Z742" s="37"/>
      <c r="AA742" s="18"/>
      <c r="AB742" s="18"/>
      <c r="AC742" s="18"/>
    </row>
    <row r="743" spans="23:29" customFormat="1" x14ac:dyDescent="0.25">
      <c r="W743" s="37"/>
      <c r="X743" s="52"/>
      <c r="Y743" s="52"/>
      <c r="Z743" s="37"/>
      <c r="AA743" s="18"/>
      <c r="AB743" s="18"/>
      <c r="AC743" s="18"/>
    </row>
    <row r="744" spans="23:29" customFormat="1" x14ac:dyDescent="0.25">
      <c r="W744" s="37"/>
      <c r="X744" s="52"/>
      <c r="Y744" s="52"/>
      <c r="Z744" s="37"/>
      <c r="AA744" s="18"/>
      <c r="AB744" s="18"/>
      <c r="AC744" s="18"/>
    </row>
    <row r="745" spans="23:29" customFormat="1" x14ac:dyDescent="0.25">
      <c r="W745" s="37"/>
      <c r="X745" s="52"/>
      <c r="Y745" s="52"/>
      <c r="Z745" s="37"/>
      <c r="AA745" s="18"/>
      <c r="AB745" s="18"/>
      <c r="AC745" s="18"/>
    </row>
    <row r="746" spans="23:29" customFormat="1" x14ac:dyDescent="0.25">
      <c r="W746" s="37"/>
      <c r="X746" s="52"/>
      <c r="Y746" s="52"/>
      <c r="Z746" s="37"/>
      <c r="AA746" s="18"/>
      <c r="AB746" s="18"/>
      <c r="AC746" s="18"/>
    </row>
    <row r="747" spans="23:29" customFormat="1" x14ac:dyDescent="0.25">
      <c r="W747" s="37"/>
      <c r="X747" s="52"/>
      <c r="Y747" s="52"/>
      <c r="Z747" s="37"/>
      <c r="AA747" s="18"/>
      <c r="AB747" s="18"/>
      <c r="AC747" s="18"/>
    </row>
    <row r="748" spans="23:29" customFormat="1" x14ac:dyDescent="0.25">
      <c r="W748" s="37"/>
      <c r="X748" s="52"/>
      <c r="Y748" s="52"/>
      <c r="Z748" s="37"/>
      <c r="AA748" s="18"/>
      <c r="AB748" s="18"/>
      <c r="AC748" s="18"/>
    </row>
    <row r="749" spans="23:29" customFormat="1" x14ac:dyDescent="0.25">
      <c r="W749" s="37"/>
      <c r="X749" s="52"/>
      <c r="Y749" s="52"/>
      <c r="Z749" s="37"/>
      <c r="AA749" s="18"/>
      <c r="AB749" s="18"/>
      <c r="AC749" s="18"/>
    </row>
    <row r="750" spans="23:29" customFormat="1" x14ac:dyDescent="0.25">
      <c r="W750" s="37"/>
      <c r="X750" s="52"/>
      <c r="Y750" s="52"/>
      <c r="Z750" s="37"/>
      <c r="AA750" s="18"/>
      <c r="AB750" s="18"/>
      <c r="AC750" s="18"/>
    </row>
    <row r="751" spans="23:29" customFormat="1" x14ac:dyDescent="0.25">
      <c r="W751" s="37"/>
      <c r="X751" s="52"/>
      <c r="Y751" s="52"/>
      <c r="Z751" s="37"/>
      <c r="AA751" s="18"/>
      <c r="AB751" s="18"/>
      <c r="AC751" s="18"/>
    </row>
    <row r="752" spans="23:29" customFormat="1" x14ac:dyDescent="0.25">
      <c r="W752" s="37"/>
      <c r="X752" s="52"/>
      <c r="Y752" s="52"/>
      <c r="Z752" s="37"/>
      <c r="AA752" s="18"/>
      <c r="AB752" s="18"/>
      <c r="AC752" s="18"/>
    </row>
    <row r="753" spans="23:29" customFormat="1" x14ac:dyDescent="0.25">
      <c r="W753" s="37"/>
      <c r="X753" s="52"/>
      <c r="Y753" s="52"/>
      <c r="Z753" s="37"/>
      <c r="AA753" s="18"/>
      <c r="AB753" s="18"/>
      <c r="AC753" s="18"/>
    </row>
    <row r="754" spans="23:29" customFormat="1" x14ac:dyDescent="0.25">
      <c r="W754" s="37"/>
      <c r="X754" s="52"/>
      <c r="Y754" s="52"/>
      <c r="Z754" s="37"/>
      <c r="AA754" s="18"/>
      <c r="AB754" s="18"/>
      <c r="AC754" s="18"/>
    </row>
    <row r="755" spans="23:29" customFormat="1" x14ac:dyDescent="0.25">
      <c r="W755" s="37"/>
      <c r="X755" s="52"/>
      <c r="Y755" s="52"/>
      <c r="Z755" s="37"/>
      <c r="AA755" s="18"/>
      <c r="AB755" s="18"/>
      <c r="AC755" s="18"/>
    </row>
    <row r="756" spans="23:29" customFormat="1" x14ac:dyDescent="0.25">
      <c r="W756" s="37"/>
      <c r="X756" s="52"/>
      <c r="Y756" s="52"/>
      <c r="Z756" s="37"/>
      <c r="AA756" s="18"/>
      <c r="AB756" s="18"/>
      <c r="AC756" s="18"/>
    </row>
    <row r="757" spans="23:29" customFormat="1" x14ac:dyDescent="0.25">
      <c r="W757" s="37"/>
      <c r="X757" s="52"/>
      <c r="Y757" s="52"/>
      <c r="Z757" s="37"/>
      <c r="AA757" s="18"/>
      <c r="AB757" s="18"/>
      <c r="AC757" s="18"/>
    </row>
    <row r="758" spans="23:29" customFormat="1" x14ac:dyDescent="0.25">
      <c r="W758" s="37"/>
      <c r="X758" s="52"/>
      <c r="Y758" s="52"/>
      <c r="Z758" s="37"/>
      <c r="AA758" s="18"/>
      <c r="AB758" s="18"/>
      <c r="AC758" s="18"/>
    </row>
    <row r="759" spans="23:29" customFormat="1" x14ac:dyDescent="0.25">
      <c r="W759" s="37"/>
      <c r="X759" s="52"/>
      <c r="Y759" s="52"/>
      <c r="Z759" s="37"/>
      <c r="AA759" s="18"/>
      <c r="AB759" s="18"/>
      <c r="AC759" s="18"/>
    </row>
    <row r="760" spans="23:29" customFormat="1" x14ac:dyDescent="0.25">
      <c r="W760" s="37"/>
      <c r="X760" s="52"/>
      <c r="Y760" s="52"/>
      <c r="Z760" s="37"/>
      <c r="AA760" s="18"/>
      <c r="AB760" s="18"/>
      <c r="AC760" s="18"/>
    </row>
    <row r="761" spans="23:29" customFormat="1" x14ac:dyDescent="0.25">
      <c r="W761" s="37"/>
      <c r="X761" s="52"/>
      <c r="Y761" s="52"/>
      <c r="Z761" s="37"/>
      <c r="AA761" s="18"/>
      <c r="AB761" s="18"/>
      <c r="AC761" s="18"/>
    </row>
    <row r="762" spans="23:29" customFormat="1" x14ac:dyDescent="0.25">
      <c r="W762" s="37"/>
      <c r="X762" s="52"/>
      <c r="Y762" s="52"/>
      <c r="Z762" s="37"/>
      <c r="AA762" s="18"/>
      <c r="AB762" s="18"/>
      <c r="AC762" s="18"/>
    </row>
    <row r="763" spans="23:29" customFormat="1" x14ac:dyDescent="0.25">
      <c r="W763" s="37"/>
      <c r="X763" s="52"/>
      <c r="Y763" s="52"/>
      <c r="Z763" s="37"/>
      <c r="AA763" s="18"/>
      <c r="AB763" s="18"/>
      <c r="AC763" s="18"/>
    </row>
    <row r="764" spans="23:29" customFormat="1" x14ac:dyDescent="0.25">
      <c r="W764" s="37"/>
      <c r="X764" s="52"/>
      <c r="Y764" s="52"/>
      <c r="Z764" s="37"/>
      <c r="AA764" s="18"/>
      <c r="AB764" s="18"/>
      <c r="AC764" s="18"/>
    </row>
    <row r="765" spans="23:29" customFormat="1" x14ac:dyDescent="0.25">
      <c r="W765" s="37"/>
      <c r="X765" s="52"/>
      <c r="Y765" s="52"/>
      <c r="Z765" s="37"/>
      <c r="AA765" s="18"/>
      <c r="AB765" s="18"/>
      <c r="AC765" s="18"/>
    </row>
    <row r="766" spans="23:29" customFormat="1" x14ac:dyDescent="0.25">
      <c r="W766" s="37"/>
      <c r="X766" s="52"/>
      <c r="Y766" s="52"/>
      <c r="Z766" s="37"/>
      <c r="AA766" s="18"/>
      <c r="AB766" s="18"/>
      <c r="AC766" s="18"/>
    </row>
    <row r="767" spans="23:29" customFormat="1" x14ac:dyDescent="0.25">
      <c r="W767" s="37"/>
      <c r="X767" s="52"/>
      <c r="Y767" s="52"/>
      <c r="Z767" s="37"/>
      <c r="AA767" s="18"/>
      <c r="AB767" s="18"/>
      <c r="AC767" s="18"/>
    </row>
    <row r="768" spans="23:29" customFormat="1" x14ac:dyDescent="0.25">
      <c r="W768" s="37"/>
      <c r="X768" s="52"/>
      <c r="Y768" s="52"/>
      <c r="Z768" s="37"/>
      <c r="AA768" s="18"/>
      <c r="AB768" s="18"/>
      <c r="AC768" s="18"/>
    </row>
    <row r="769" spans="23:29" customFormat="1" x14ac:dyDescent="0.25">
      <c r="W769" s="37"/>
      <c r="X769" s="52"/>
      <c r="Y769" s="52"/>
      <c r="Z769" s="37"/>
      <c r="AA769" s="18"/>
      <c r="AB769" s="18"/>
      <c r="AC769" s="18"/>
    </row>
    <row r="770" spans="23:29" customFormat="1" x14ac:dyDescent="0.25">
      <c r="W770" s="37"/>
      <c r="X770" s="52"/>
      <c r="Y770" s="52"/>
      <c r="Z770" s="37"/>
      <c r="AA770" s="18"/>
      <c r="AB770" s="18"/>
      <c r="AC770" s="18"/>
    </row>
    <row r="771" spans="23:29" customFormat="1" x14ac:dyDescent="0.25">
      <c r="W771" s="37"/>
      <c r="X771" s="52"/>
      <c r="Y771" s="52"/>
      <c r="Z771" s="37"/>
      <c r="AA771" s="18"/>
      <c r="AB771" s="18"/>
      <c r="AC771" s="18"/>
    </row>
    <row r="772" spans="23:29" customFormat="1" x14ac:dyDescent="0.25">
      <c r="W772" s="37"/>
      <c r="X772" s="52"/>
      <c r="Y772" s="52"/>
      <c r="Z772" s="37"/>
      <c r="AA772" s="18"/>
      <c r="AB772" s="18"/>
      <c r="AC772" s="18"/>
    </row>
    <row r="773" spans="23:29" customFormat="1" x14ac:dyDescent="0.25">
      <c r="W773" s="37"/>
      <c r="X773" s="52"/>
      <c r="Y773" s="52"/>
      <c r="Z773" s="37"/>
      <c r="AA773" s="18"/>
      <c r="AB773" s="18"/>
      <c r="AC773" s="18"/>
    </row>
    <row r="774" spans="23:29" customFormat="1" x14ac:dyDescent="0.25">
      <c r="W774" s="37"/>
      <c r="X774" s="52"/>
      <c r="Y774" s="52"/>
      <c r="Z774" s="37"/>
      <c r="AA774" s="18"/>
      <c r="AB774" s="18"/>
      <c r="AC774" s="18"/>
    </row>
    <row r="775" spans="23:29" customFormat="1" x14ac:dyDescent="0.25">
      <c r="W775" s="37"/>
      <c r="X775" s="52"/>
      <c r="Y775" s="52"/>
      <c r="Z775" s="37"/>
      <c r="AA775" s="18"/>
      <c r="AB775" s="18"/>
      <c r="AC775" s="18"/>
    </row>
    <row r="776" spans="23:29" customFormat="1" x14ac:dyDescent="0.25">
      <c r="W776" s="37"/>
      <c r="X776" s="52"/>
      <c r="Y776" s="52"/>
      <c r="Z776" s="37"/>
      <c r="AA776" s="18"/>
      <c r="AB776" s="18"/>
      <c r="AC776" s="18"/>
    </row>
    <row r="777" spans="23:29" customFormat="1" x14ac:dyDescent="0.25">
      <c r="W777" s="37"/>
      <c r="X777" s="52"/>
      <c r="Y777" s="52"/>
      <c r="Z777" s="37"/>
      <c r="AA777" s="18"/>
      <c r="AB777" s="18"/>
      <c r="AC777" s="18"/>
    </row>
    <row r="778" spans="23:29" customFormat="1" x14ac:dyDescent="0.25">
      <c r="W778" s="37"/>
      <c r="X778" s="52"/>
      <c r="Y778" s="52"/>
      <c r="Z778" s="37"/>
      <c r="AA778" s="18"/>
      <c r="AB778" s="18"/>
      <c r="AC778" s="18"/>
    </row>
    <row r="779" spans="23:29" customFormat="1" x14ac:dyDescent="0.25">
      <c r="W779" s="37"/>
      <c r="X779" s="52"/>
      <c r="Y779" s="52"/>
      <c r="Z779" s="37"/>
      <c r="AA779" s="18"/>
      <c r="AB779" s="18"/>
      <c r="AC779" s="18"/>
    </row>
    <row r="780" spans="23:29" customFormat="1" x14ac:dyDescent="0.25">
      <c r="W780" s="37"/>
      <c r="X780" s="52"/>
      <c r="Y780" s="52"/>
      <c r="Z780" s="37"/>
      <c r="AA780" s="18"/>
      <c r="AB780" s="18"/>
      <c r="AC780" s="18"/>
    </row>
    <row r="781" spans="23:29" customFormat="1" x14ac:dyDescent="0.25">
      <c r="W781" s="37"/>
      <c r="X781" s="52"/>
      <c r="Y781" s="52"/>
      <c r="Z781" s="37"/>
      <c r="AA781" s="18"/>
      <c r="AB781" s="18"/>
      <c r="AC781" s="18"/>
    </row>
    <row r="782" spans="23:29" customFormat="1" x14ac:dyDescent="0.25">
      <c r="W782" s="37"/>
      <c r="X782" s="52"/>
      <c r="Y782" s="52"/>
      <c r="Z782" s="37"/>
      <c r="AA782" s="18"/>
      <c r="AB782" s="18"/>
      <c r="AC782" s="18"/>
    </row>
    <row r="783" spans="23:29" customFormat="1" x14ac:dyDescent="0.25">
      <c r="W783" s="37"/>
      <c r="X783" s="52"/>
      <c r="Y783" s="52"/>
      <c r="Z783" s="37"/>
      <c r="AA783" s="18"/>
      <c r="AB783" s="18"/>
      <c r="AC783" s="18"/>
    </row>
    <row r="784" spans="23:29" customFormat="1" x14ac:dyDescent="0.25">
      <c r="W784" s="37"/>
      <c r="X784" s="52"/>
      <c r="Y784" s="52"/>
      <c r="Z784" s="37"/>
      <c r="AA784" s="18"/>
      <c r="AB784" s="18"/>
      <c r="AC784" s="18"/>
    </row>
    <row r="785" spans="23:29" customFormat="1" x14ac:dyDescent="0.25">
      <c r="W785" s="37"/>
      <c r="X785" s="52"/>
      <c r="Y785" s="52"/>
      <c r="Z785" s="37"/>
      <c r="AA785" s="18"/>
      <c r="AB785" s="18"/>
      <c r="AC785" s="18"/>
    </row>
    <row r="786" spans="23:29" customFormat="1" x14ac:dyDescent="0.25">
      <c r="W786" s="37"/>
      <c r="X786" s="52"/>
      <c r="Y786" s="52"/>
      <c r="Z786" s="37"/>
      <c r="AA786" s="18"/>
      <c r="AB786" s="18"/>
      <c r="AC786" s="18"/>
    </row>
    <row r="787" spans="23:29" customFormat="1" x14ac:dyDescent="0.25">
      <c r="W787" s="37"/>
      <c r="X787" s="52"/>
      <c r="Y787" s="52"/>
      <c r="Z787" s="37"/>
      <c r="AA787" s="18"/>
      <c r="AB787" s="18"/>
      <c r="AC787" s="18"/>
    </row>
    <row r="788" spans="23:29" customFormat="1" x14ac:dyDescent="0.25">
      <c r="W788" s="37"/>
      <c r="X788" s="52"/>
      <c r="Y788" s="52"/>
      <c r="Z788" s="37"/>
      <c r="AA788" s="18"/>
      <c r="AB788" s="18"/>
      <c r="AC788" s="18"/>
    </row>
    <row r="789" spans="23:29" customFormat="1" x14ac:dyDescent="0.25">
      <c r="W789" s="37"/>
      <c r="X789" s="52"/>
      <c r="Y789" s="52"/>
      <c r="Z789" s="37"/>
      <c r="AA789" s="18"/>
      <c r="AB789" s="18"/>
      <c r="AC789" s="18"/>
    </row>
    <row r="790" spans="23:29" customFormat="1" x14ac:dyDescent="0.25">
      <c r="W790" s="37"/>
      <c r="X790" s="52"/>
      <c r="Y790" s="52"/>
      <c r="Z790" s="37"/>
      <c r="AA790" s="18"/>
      <c r="AB790" s="18"/>
      <c r="AC790" s="18"/>
    </row>
    <row r="791" spans="23:29" customFormat="1" x14ac:dyDescent="0.25">
      <c r="W791" s="37"/>
      <c r="X791" s="52"/>
      <c r="Y791" s="52"/>
      <c r="Z791" s="37"/>
      <c r="AA791" s="18"/>
      <c r="AB791" s="18"/>
      <c r="AC791" s="18"/>
    </row>
    <row r="792" spans="23:29" customFormat="1" x14ac:dyDescent="0.25">
      <c r="W792" s="37"/>
      <c r="X792" s="52"/>
      <c r="Y792" s="52"/>
      <c r="Z792" s="37"/>
      <c r="AA792" s="18"/>
      <c r="AB792" s="18"/>
      <c r="AC792" s="18"/>
    </row>
    <row r="793" spans="23:29" customFormat="1" x14ac:dyDescent="0.25">
      <c r="W793" s="37"/>
      <c r="X793" s="52"/>
      <c r="Y793" s="52"/>
      <c r="Z793" s="37"/>
      <c r="AA793" s="18"/>
      <c r="AB793" s="18"/>
      <c r="AC793" s="18"/>
    </row>
    <row r="794" spans="23:29" customFormat="1" x14ac:dyDescent="0.25">
      <c r="W794" s="37"/>
      <c r="X794" s="52"/>
      <c r="Y794" s="52"/>
      <c r="Z794" s="37"/>
      <c r="AA794" s="18"/>
      <c r="AB794" s="18"/>
      <c r="AC794" s="18"/>
    </row>
    <row r="795" spans="23:29" customFormat="1" x14ac:dyDescent="0.25">
      <c r="W795" s="37"/>
      <c r="X795" s="52"/>
      <c r="Y795" s="52"/>
      <c r="Z795" s="37"/>
      <c r="AA795" s="18"/>
      <c r="AB795" s="18"/>
      <c r="AC795" s="18"/>
    </row>
    <row r="796" spans="23:29" customFormat="1" x14ac:dyDescent="0.25">
      <c r="W796" s="37"/>
      <c r="X796" s="52"/>
      <c r="Y796" s="52"/>
      <c r="Z796" s="37"/>
      <c r="AA796" s="18"/>
      <c r="AB796" s="18"/>
      <c r="AC796" s="18"/>
    </row>
    <row r="797" spans="23:29" customFormat="1" x14ac:dyDescent="0.25">
      <c r="W797" s="37"/>
      <c r="X797" s="52"/>
      <c r="Y797" s="52"/>
      <c r="Z797" s="37"/>
      <c r="AA797" s="18"/>
      <c r="AB797" s="18"/>
      <c r="AC797" s="18"/>
    </row>
    <row r="798" spans="23:29" customFormat="1" x14ac:dyDescent="0.25">
      <c r="W798" s="37"/>
      <c r="X798" s="52"/>
      <c r="Y798" s="52"/>
      <c r="Z798" s="37"/>
      <c r="AA798" s="18"/>
      <c r="AB798" s="18"/>
      <c r="AC798" s="18"/>
    </row>
    <row r="799" spans="23:29" customFormat="1" x14ac:dyDescent="0.25">
      <c r="W799" s="37"/>
      <c r="X799" s="52"/>
      <c r="Y799" s="52"/>
      <c r="Z799" s="37"/>
      <c r="AA799" s="18"/>
      <c r="AB799" s="18"/>
      <c r="AC799" s="18"/>
    </row>
    <row r="800" spans="23:29" customFormat="1" x14ac:dyDescent="0.25">
      <c r="W800" s="37"/>
      <c r="X800" s="52"/>
      <c r="Y800" s="52"/>
      <c r="Z800" s="37"/>
      <c r="AA800" s="18"/>
      <c r="AB800" s="18"/>
      <c r="AC800" s="18"/>
    </row>
    <row r="801" spans="23:29" customFormat="1" x14ac:dyDescent="0.25">
      <c r="W801" s="37"/>
      <c r="X801" s="52"/>
      <c r="Y801" s="52"/>
      <c r="Z801" s="37"/>
      <c r="AA801" s="18"/>
      <c r="AB801" s="18"/>
      <c r="AC801" s="18"/>
    </row>
    <row r="802" spans="23:29" customFormat="1" x14ac:dyDescent="0.25">
      <c r="W802" s="37"/>
      <c r="X802" s="52"/>
      <c r="Y802" s="52"/>
      <c r="Z802" s="37"/>
      <c r="AA802" s="18"/>
      <c r="AB802" s="18"/>
      <c r="AC802" s="18"/>
    </row>
    <row r="803" spans="23:29" customFormat="1" x14ac:dyDescent="0.25">
      <c r="W803" s="37"/>
      <c r="X803" s="52"/>
      <c r="Y803" s="52"/>
      <c r="Z803" s="37"/>
      <c r="AA803" s="18"/>
      <c r="AB803" s="18"/>
      <c r="AC803" s="18"/>
    </row>
    <row r="804" spans="23:29" customFormat="1" x14ac:dyDescent="0.25">
      <c r="W804" s="37"/>
      <c r="X804" s="52"/>
      <c r="Y804" s="52"/>
      <c r="Z804" s="37"/>
      <c r="AA804" s="18"/>
      <c r="AB804" s="18"/>
      <c r="AC804" s="18"/>
    </row>
    <row r="805" spans="23:29" customFormat="1" x14ac:dyDescent="0.25">
      <c r="W805" s="37"/>
      <c r="X805" s="52"/>
      <c r="Y805" s="52"/>
      <c r="Z805" s="37"/>
      <c r="AA805" s="18"/>
      <c r="AB805" s="18"/>
      <c r="AC805" s="18"/>
    </row>
    <row r="806" spans="23:29" customFormat="1" x14ac:dyDescent="0.25">
      <c r="W806" s="37"/>
      <c r="X806" s="52"/>
      <c r="Y806" s="52"/>
      <c r="Z806" s="37"/>
      <c r="AA806" s="18"/>
      <c r="AB806" s="18"/>
      <c r="AC806" s="18"/>
    </row>
    <row r="807" spans="23:29" customFormat="1" x14ac:dyDescent="0.25">
      <c r="W807" s="37"/>
      <c r="X807" s="52"/>
      <c r="Y807" s="52"/>
      <c r="Z807" s="37"/>
      <c r="AA807" s="18"/>
      <c r="AB807" s="18"/>
      <c r="AC807" s="18"/>
    </row>
    <row r="808" spans="23:29" customFormat="1" x14ac:dyDescent="0.25">
      <c r="W808" s="37"/>
      <c r="X808" s="52"/>
      <c r="Y808" s="52"/>
      <c r="Z808" s="37"/>
      <c r="AA808" s="18"/>
      <c r="AB808" s="18"/>
      <c r="AC808" s="18"/>
    </row>
    <row r="809" spans="23:29" customFormat="1" x14ac:dyDescent="0.25">
      <c r="W809" s="37"/>
      <c r="X809" s="52"/>
      <c r="Y809" s="52"/>
      <c r="Z809" s="37"/>
      <c r="AA809" s="18"/>
      <c r="AB809" s="18"/>
      <c r="AC809" s="18"/>
    </row>
    <row r="810" spans="23:29" customFormat="1" x14ac:dyDescent="0.25">
      <c r="W810" s="37"/>
      <c r="X810" s="52"/>
      <c r="Y810" s="52"/>
      <c r="Z810" s="37"/>
      <c r="AA810" s="18"/>
      <c r="AB810" s="18"/>
      <c r="AC810" s="18"/>
    </row>
    <row r="811" spans="23:29" customFormat="1" x14ac:dyDescent="0.25">
      <c r="W811" s="37"/>
      <c r="X811" s="52"/>
      <c r="Y811" s="52"/>
      <c r="Z811" s="37"/>
      <c r="AA811" s="18"/>
      <c r="AB811" s="18"/>
      <c r="AC811" s="18"/>
    </row>
    <row r="812" spans="23:29" customFormat="1" x14ac:dyDescent="0.25">
      <c r="W812" s="37"/>
      <c r="X812" s="52"/>
      <c r="Y812" s="52"/>
      <c r="Z812" s="37"/>
      <c r="AA812" s="18"/>
      <c r="AB812" s="18"/>
      <c r="AC812" s="18"/>
    </row>
    <row r="813" spans="23:29" customFormat="1" x14ac:dyDescent="0.25">
      <c r="W813" s="37"/>
      <c r="X813" s="52"/>
      <c r="Y813" s="52"/>
      <c r="Z813" s="37"/>
      <c r="AA813" s="18"/>
      <c r="AB813" s="18"/>
      <c r="AC813" s="18"/>
    </row>
    <row r="814" spans="23:29" customFormat="1" x14ac:dyDescent="0.25">
      <c r="W814" s="37"/>
      <c r="X814" s="52"/>
      <c r="Y814" s="52"/>
      <c r="Z814" s="37"/>
      <c r="AA814" s="18"/>
      <c r="AB814" s="18"/>
      <c r="AC814" s="18"/>
    </row>
    <row r="815" spans="23:29" customFormat="1" x14ac:dyDescent="0.25">
      <c r="W815" s="37"/>
      <c r="X815" s="52"/>
      <c r="Y815" s="52"/>
      <c r="Z815" s="37"/>
      <c r="AA815" s="18"/>
      <c r="AB815" s="18"/>
      <c r="AC815" s="18"/>
    </row>
    <row r="816" spans="23:29" customFormat="1" x14ac:dyDescent="0.25">
      <c r="W816" s="37"/>
      <c r="X816" s="52"/>
      <c r="Y816" s="52"/>
      <c r="Z816" s="37"/>
      <c r="AA816" s="18"/>
      <c r="AB816" s="18"/>
      <c r="AC816" s="18"/>
    </row>
    <row r="817" spans="23:29" customFormat="1" x14ac:dyDescent="0.25">
      <c r="W817" s="37"/>
      <c r="X817" s="52"/>
      <c r="Y817" s="52"/>
      <c r="Z817" s="37"/>
      <c r="AA817" s="18"/>
      <c r="AB817" s="18"/>
      <c r="AC817" s="18"/>
    </row>
    <row r="818" spans="23:29" customFormat="1" x14ac:dyDescent="0.25">
      <c r="W818" s="37"/>
      <c r="X818" s="52"/>
      <c r="Y818" s="52"/>
      <c r="Z818" s="37"/>
      <c r="AA818" s="18"/>
      <c r="AB818" s="18"/>
      <c r="AC818" s="18"/>
    </row>
    <row r="819" spans="23:29" customFormat="1" x14ac:dyDescent="0.25">
      <c r="W819" s="37"/>
      <c r="X819" s="52"/>
      <c r="Y819" s="52"/>
      <c r="Z819" s="37"/>
      <c r="AA819" s="18"/>
      <c r="AB819" s="18"/>
      <c r="AC819" s="18"/>
    </row>
    <row r="820" spans="23:29" customFormat="1" x14ac:dyDescent="0.25">
      <c r="W820" s="37"/>
      <c r="X820" s="52"/>
      <c r="Y820" s="52"/>
      <c r="Z820" s="37"/>
      <c r="AA820" s="18"/>
      <c r="AB820" s="18"/>
      <c r="AC820" s="18"/>
    </row>
    <row r="821" spans="23:29" customFormat="1" x14ac:dyDescent="0.25">
      <c r="W821" s="37"/>
      <c r="X821" s="52"/>
      <c r="Y821" s="52"/>
      <c r="Z821" s="37"/>
      <c r="AA821" s="18"/>
      <c r="AB821" s="18"/>
      <c r="AC821" s="18"/>
    </row>
    <row r="822" spans="23:29" customFormat="1" x14ac:dyDescent="0.25">
      <c r="W822" s="37"/>
      <c r="X822" s="52"/>
      <c r="Y822" s="52"/>
      <c r="Z822" s="37"/>
      <c r="AA822" s="18"/>
      <c r="AB822" s="18"/>
      <c r="AC822" s="18"/>
    </row>
    <row r="823" spans="23:29" customFormat="1" x14ac:dyDescent="0.25">
      <c r="W823" s="37"/>
      <c r="X823" s="52"/>
      <c r="Y823" s="52"/>
      <c r="Z823" s="37"/>
      <c r="AA823" s="18"/>
      <c r="AB823" s="18"/>
      <c r="AC823" s="18"/>
    </row>
    <row r="824" spans="23:29" customFormat="1" x14ac:dyDescent="0.25">
      <c r="W824" s="37"/>
      <c r="X824" s="52"/>
      <c r="Y824" s="52"/>
      <c r="Z824" s="37"/>
      <c r="AA824" s="18"/>
      <c r="AB824" s="18"/>
      <c r="AC824" s="18"/>
    </row>
    <row r="825" spans="23:29" customFormat="1" x14ac:dyDescent="0.25">
      <c r="W825" s="37"/>
      <c r="X825" s="52"/>
      <c r="Y825" s="52"/>
      <c r="Z825" s="37"/>
      <c r="AA825" s="18"/>
      <c r="AB825" s="18"/>
      <c r="AC825" s="18"/>
    </row>
    <row r="826" spans="23:29" customFormat="1" x14ac:dyDescent="0.25">
      <c r="W826" s="37"/>
      <c r="X826" s="52"/>
      <c r="Y826" s="52"/>
      <c r="Z826" s="37"/>
      <c r="AA826" s="18"/>
      <c r="AB826" s="18"/>
      <c r="AC826" s="18"/>
    </row>
    <row r="827" spans="23:29" customFormat="1" x14ac:dyDescent="0.25">
      <c r="W827" s="37"/>
      <c r="X827" s="52"/>
      <c r="Y827" s="52"/>
      <c r="Z827" s="37"/>
      <c r="AA827" s="18"/>
      <c r="AB827" s="18"/>
      <c r="AC827" s="18"/>
    </row>
    <row r="828" spans="23:29" customFormat="1" x14ac:dyDescent="0.25">
      <c r="W828" s="37"/>
      <c r="X828" s="52"/>
      <c r="Y828" s="52"/>
      <c r="Z828" s="37"/>
      <c r="AA828" s="18"/>
      <c r="AB828" s="18"/>
      <c r="AC828" s="18"/>
    </row>
    <row r="829" spans="23:29" customFormat="1" x14ac:dyDescent="0.25">
      <c r="W829" s="37"/>
      <c r="X829" s="52"/>
      <c r="Y829" s="52"/>
      <c r="Z829" s="37"/>
      <c r="AA829" s="18"/>
      <c r="AB829" s="18"/>
      <c r="AC829" s="18"/>
    </row>
    <row r="830" spans="23:29" customFormat="1" x14ac:dyDescent="0.25">
      <c r="W830" s="37"/>
      <c r="X830" s="52"/>
      <c r="Y830" s="52"/>
      <c r="Z830" s="37"/>
      <c r="AA830" s="18"/>
      <c r="AB830" s="18"/>
      <c r="AC830" s="18"/>
    </row>
    <row r="831" spans="23:29" customFormat="1" x14ac:dyDescent="0.25">
      <c r="W831" s="37"/>
      <c r="X831" s="52"/>
      <c r="Y831" s="52"/>
      <c r="Z831" s="37"/>
      <c r="AA831" s="18"/>
      <c r="AB831" s="18"/>
      <c r="AC831" s="18"/>
    </row>
    <row r="832" spans="23:29" customFormat="1" x14ac:dyDescent="0.25">
      <c r="W832" s="37"/>
      <c r="X832" s="52"/>
      <c r="Y832" s="52"/>
      <c r="Z832" s="37"/>
      <c r="AA832" s="18"/>
      <c r="AB832" s="18"/>
      <c r="AC832" s="18"/>
    </row>
    <row r="833" spans="23:29" customFormat="1" x14ac:dyDescent="0.25">
      <c r="W833" s="37"/>
      <c r="X833" s="52"/>
      <c r="Y833" s="52"/>
      <c r="Z833" s="37"/>
      <c r="AA833" s="18"/>
      <c r="AB833" s="18"/>
      <c r="AC833" s="18"/>
    </row>
    <row r="834" spans="23:29" customFormat="1" x14ac:dyDescent="0.25">
      <c r="W834" s="37"/>
      <c r="X834" s="52"/>
      <c r="Y834" s="52"/>
      <c r="Z834" s="37"/>
      <c r="AA834" s="18"/>
      <c r="AB834" s="18"/>
      <c r="AC834" s="18"/>
    </row>
    <row r="835" spans="23:29" customFormat="1" x14ac:dyDescent="0.25">
      <c r="W835" s="37"/>
      <c r="X835" s="52"/>
      <c r="Y835" s="52"/>
      <c r="Z835" s="37"/>
      <c r="AA835" s="18"/>
      <c r="AB835" s="18"/>
      <c r="AC835" s="18"/>
    </row>
    <row r="836" spans="23:29" customFormat="1" x14ac:dyDescent="0.25">
      <c r="W836" s="37"/>
      <c r="X836" s="52"/>
      <c r="Y836" s="52"/>
      <c r="Z836" s="37"/>
      <c r="AA836" s="18"/>
      <c r="AB836" s="18"/>
      <c r="AC836" s="18"/>
    </row>
    <row r="837" spans="23:29" customFormat="1" x14ac:dyDescent="0.25">
      <c r="W837" s="37"/>
      <c r="X837" s="52"/>
      <c r="Y837" s="52"/>
      <c r="Z837" s="37"/>
      <c r="AA837" s="18"/>
      <c r="AB837" s="18"/>
      <c r="AC837" s="18"/>
    </row>
    <row r="838" spans="23:29" customFormat="1" x14ac:dyDescent="0.25">
      <c r="W838" s="37"/>
      <c r="X838" s="52"/>
      <c r="Y838" s="52"/>
      <c r="Z838" s="37"/>
      <c r="AA838" s="18"/>
      <c r="AB838" s="18"/>
      <c r="AC838" s="18"/>
    </row>
    <row r="839" spans="23:29" customFormat="1" x14ac:dyDescent="0.25">
      <c r="W839" s="37"/>
      <c r="X839" s="52"/>
      <c r="Y839" s="52"/>
      <c r="Z839" s="37"/>
      <c r="AA839" s="18"/>
      <c r="AB839" s="18"/>
      <c r="AC839" s="18"/>
    </row>
    <row r="840" spans="23:29" customFormat="1" x14ac:dyDescent="0.25">
      <c r="W840" s="37"/>
      <c r="X840" s="52"/>
      <c r="Y840" s="52"/>
      <c r="Z840" s="37"/>
      <c r="AA840" s="18"/>
      <c r="AB840" s="18"/>
      <c r="AC840" s="18"/>
    </row>
    <row r="841" spans="23:29" customFormat="1" x14ac:dyDescent="0.25">
      <c r="W841" s="37"/>
      <c r="X841" s="52"/>
      <c r="Y841" s="52"/>
      <c r="Z841" s="37"/>
      <c r="AA841" s="18"/>
      <c r="AB841" s="18"/>
      <c r="AC841" s="18"/>
    </row>
    <row r="842" spans="23:29" customFormat="1" x14ac:dyDescent="0.25">
      <c r="W842" s="37"/>
      <c r="X842" s="52"/>
      <c r="Y842" s="52"/>
      <c r="Z842" s="37"/>
      <c r="AA842" s="18"/>
      <c r="AB842" s="18"/>
      <c r="AC842" s="18"/>
    </row>
    <row r="843" spans="23:29" customFormat="1" x14ac:dyDescent="0.25">
      <c r="W843" s="37"/>
      <c r="X843" s="52"/>
      <c r="Y843" s="52"/>
      <c r="Z843" s="37"/>
      <c r="AA843" s="18"/>
      <c r="AB843" s="18"/>
      <c r="AC843" s="18"/>
    </row>
    <row r="844" spans="23:29" customFormat="1" x14ac:dyDescent="0.25">
      <c r="W844" s="37"/>
      <c r="X844" s="52"/>
      <c r="Y844" s="52"/>
      <c r="Z844" s="37"/>
      <c r="AA844" s="18"/>
      <c r="AB844" s="18"/>
      <c r="AC844" s="18"/>
    </row>
    <row r="845" spans="23:29" customFormat="1" x14ac:dyDescent="0.25">
      <c r="W845" s="37"/>
      <c r="X845" s="52"/>
      <c r="Y845" s="52"/>
      <c r="Z845" s="37"/>
      <c r="AA845" s="18"/>
      <c r="AB845" s="18"/>
      <c r="AC845" s="18"/>
    </row>
    <row r="846" spans="23:29" customFormat="1" x14ac:dyDescent="0.25">
      <c r="W846" s="37"/>
      <c r="X846" s="52"/>
      <c r="Y846" s="52"/>
      <c r="Z846" s="37"/>
      <c r="AA846" s="18"/>
      <c r="AB846" s="18"/>
      <c r="AC846" s="18"/>
    </row>
    <row r="847" spans="23:29" customFormat="1" x14ac:dyDescent="0.25">
      <c r="W847" s="37"/>
      <c r="X847" s="52"/>
      <c r="Y847" s="52"/>
      <c r="Z847" s="37"/>
      <c r="AA847" s="18"/>
      <c r="AB847" s="18"/>
      <c r="AC847" s="18"/>
    </row>
    <row r="848" spans="23:29" customFormat="1" x14ac:dyDescent="0.25">
      <c r="W848" s="37"/>
      <c r="X848" s="52"/>
      <c r="Y848" s="52"/>
      <c r="Z848" s="37"/>
      <c r="AA848" s="18"/>
      <c r="AB848" s="18"/>
      <c r="AC848" s="18"/>
    </row>
    <row r="849" spans="23:29" customFormat="1" x14ac:dyDescent="0.25">
      <c r="W849" s="37"/>
      <c r="X849" s="52"/>
      <c r="Y849" s="52"/>
      <c r="Z849" s="37"/>
      <c r="AA849" s="18"/>
      <c r="AB849" s="18"/>
      <c r="AC849" s="18"/>
    </row>
    <row r="850" spans="23:29" customFormat="1" x14ac:dyDescent="0.25">
      <c r="W850" s="37"/>
      <c r="X850" s="52"/>
      <c r="Y850" s="52"/>
      <c r="Z850" s="37"/>
      <c r="AA850" s="18"/>
      <c r="AB850" s="18"/>
      <c r="AC850" s="18"/>
    </row>
    <row r="851" spans="23:29" customFormat="1" x14ac:dyDescent="0.25">
      <c r="W851" s="37"/>
      <c r="X851" s="52"/>
      <c r="Y851" s="52"/>
      <c r="Z851" s="37"/>
      <c r="AA851" s="18"/>
      <c r="AB851" s="18"/>
      <c r="AC851" s="18"/>
    </row>
    <row r="852" spans="23:29" customFormat="1" x14ac:dyDescent="0.25">
      <c r="W852" s="37"/>
      <c r="X852" s="52"/>
      <c r="Y852" s="52"/>
      <c r="Z852" s="37"/>
      <c r="AA852" s="18"/>
      <c r="AB852" s="18"/>
      <c r="AC852" s="18"/>
    </row>
    <row r="853" spans="23:29" customFormat="1" x14ac:dyDescent="0.25">
      <c r="W853" s="37"/>
      <c r="X853" s="52"/>
      <c r="Y853" s="52"/>
      <c r="Z853" s="37"/>
      <c r="AA853" s="18"/>
      <c r="AB853" s="18"/>
      <c r="AC853" s="18"/>
    </row>
    <row r="854" spans="23:29" customFormat="1" x14ac:dyDescent="0.25">
      <c r="W854" s="37"/>
      <c r="X854" s="52"/>
      <c r="Y854" s="52"/>
      <c r="Z854" s="37"/>
      <c r="AA854" s="18"/>
      <c r="AB854" s="18"/>
      <c r="AC854" s="18"/>
    </row>
    <row r="855" spans="23:29" customFormat="1" x14ac:dyDescent="0.25">
      <c r="W855" s="37"/>
      <c r="X855" s="52"/>
      <c r="Y855" s="52"/>
      <c r="Z855" s="37"/>
      <c r="AA855" s="18"/>
      <c r="AB855" s="18"/>
      <c r="AC855" s="18"/>
    </row>
    <row r="856" spans="23:29" customFormat="1" x14ac:dyDescent="0.25">
      <c r="W856" s="37"/>
      <c r="X856" s="52"/>
      <c r="Y856" s="52"/>
      <c r="Z856" s="37"/>
      <c r="AA856" s="18"/>
      <c r="AB856" s="18"/>
      <c r="AC856" s="18"/>
    </row>
    <row r="857" spans="23:29" customFormat="1" x14ac:dyDescent="0.25">
      <c r="W857" s="37"/>
      <c r="X857" s="52"/>
      <c r="Y857" s="52"/>
      <c r="Z857" s="37"/>
      <c r="AA857" s="18"/>
      <c r="AB857" s="18"/>
      <c r="AC857" s="18"/>
    </row>
    <row r="858" spans="23:29" customFormat="1" x14ac:dyDescent="0.25">
      <c r="W858" s="37"/>
      <c r="X858" s="52"/>
      <c r="Y858" s="52"/>
      <c r="Z858" s="37"/>
      <c r="AA858" s="18"/>
      <c r="AB858" s="18"/>
      <c r="AC858" s="18"/>
    </row>
    <row r="859" spans="23:29" customFormat="1" x14ac:dyDescent="0.25">
      <c r="W859" s="37"/>
      <c r="X859" s="52"/>
      <c r="Y859" s="52"/>
      <c r="Z859" s="37"/>
      <c r="AA859" s="18"/>
      <c r="AB859" s="18"/>
      <c r="AC859" s="18"/>
    </row>
    <row r="860" spans="23:29" customFormat="1" x14ac:dyDescent="0.25">
      <c r="W860" s="37"/>
      <c r="X860" s="52"/>
      <c r="Y860" s="52"/>
      <c r="Z860" s="37"/>
      <c r="AA860" s="18"/>
      <c r="AB860" s="18"/>
      <c r="AC860" s="18"/>
    </row>
    <row r="861" spans="23:29" customFormat="1" x14ac:dyDescent="0.25">
      <c r="W861" s="37"/>
      <c r="X861" s="52"/>
      <c r="Y861" s="52"/>
      <c r="Z861" s="37"/>
      <c r="AA861" s="18"/>
      <c r="AB861" s="18"/>
      <c r="AC861" s="18"/>
    </row>
    <row r="862" spans="23:29" customFormat="1" x14ac:dyDescent="0.25">
      <c r="W862" s="37"/>
      <c r="X862" s="52"/>
      <c r="Y862" s="52"/>
      <c r="Z862" s="37"/>
      <c r="AA862" s="18"/>
      <c r="AB862" s="18"/>
      <c r="AC862" s="18"/>
    </row>
    <row r="863" spans="23:29" customFormat="1" x14ac:dyDescent="0.25">
      <c r="W863" s="37"/>
      <c r="X863" s="52"/>
      <c r="Y863" s="52"/>
      <c r="Z863" s="37"/>
      <c r="AA863" s="18"/>
      <c r="AB863" s="18"/>
      <c r="AC863" s="18"/>
    </row>
    <row r="864" spans="23:29" customFormat="1" x14ac:dyDescent="0.25">
      <c r="W864" s="37"/>
      <c r="X864" s="52"/>
      <c r="Y864" s="52"/>
      <c r="Z864" s="37"/>
      <c r="AA864" s="18"/>
      <c r="AB864" s="18"/>
      <c r="AC864" s="18"/>
    </row>
    <row r="865" spans="23:29" customFormat="1" x14ac:dyDescent="0.25">
      <c r="W865" s="37"/>
      <c r="X865" s="52"/>
      <c r="Y865" s="52"/>
      <c r="Z865" s="37"/>
      <c r="AA865" s="18"/>
      <c r="AB865" s="18"/>
      <c r="AC865" s="18"/>
    </row>
    <row r="866" spans="23:29" customFormat="1" x14ac:dyDescent="0.25">
      <c r="W866" s="37"/>
      <c r="X866" s="52"/>
      <c r="Y866" s="52"/>
      <c r="Z866" s="37"/>
      <c r="AA866" s="18"/>
      <c r="AB866" s="18"/>
      <c r="AC866" s="18"/>
    </row>
    <row r="867" spans="23:29" customFormat="1" x14ac:dyDescent="0.25">
      <c r="W867" s="37"/>
      <c r="X867" s="52"/>
      <c r="Y867" s="52"/>
      <c r="Z867" s="37"/>
      <c r="AA867" s="18"/>
      <c r="AB867" s="18"/>
      <c r="AC867" s="18"/>
    </row>
    <row r="868" spans="23:29" customFormat="1" x14ac:dyDescent="0.25">
      <c r="W868" s="37"/>
      <c r="X868" s="52"/>
      <c r="Y868" s="52"/>
      <c r="Z868" s="37"/>
      <c r="AA868" s="18"/>
      <c r="AB868" s="18"/>
      <c r="AC868" s="18"/>
    </row>
    <row r="869" spans="23:29" customFormat="1" x14ac:dyDescent="0.25">
      <c r="W869" s="37"/>
      <c r="X869" s="52"/>
      <c r="Y869" s="52"/>
      <c r="Z869" s="37"/>
      <c r="AA869" s="18"/>
      <c r="AB869" s="18"/>
      <c r="AC869" s="18"/>
    </row>
    <row r="870" spans="23:29" customFormat="1" x14ac:dyDescent="0.25">
      <c r="W870" s="37"/>
      <c r="X870" s="52"/>
      <c r="Y870" s="52"/>
      <c r="Z870" s="37"/>
      <c r="AA870" s="18"/>
      <c r="AB870" s="18"/>
      <c r="AC870" s="18"/>
    </row>
    <row r="871" spans="23:29" customFormat="1" x14ac:dyDescent="0.25">
      <c r="W871" s="37"/>
      <c r="X871" s="52"/>
      <c r="Y871" s="52"/>
      <c r="Z871" s="37"/>
      <c r="AA871" s="18"/>
      <c r="AB871" s="18"/>
      <c r="AC871" s="18"/>
    </row>
    <row r="872" spans="23:29" customFormat="1" x14ac:dyDescent="0.25">
      <c r="W872" s="37"/>
      <c r="X872" s="52"/>
      <c r="Y872" s="52"/>
      <c r="Z872" s="37"/>
      <c r="AA872" s="18"/>
      <c r="AB872" s="18"/>
      <c r="AC872" s="18"/>
    </row>
    <row r="873" spans="23:29" customFormat="1" x14ac:dyDescent="0.25">
      <c r="W873" s="37"/>
      <c r="X873" s="52"/>
      <c r="Y873" s="52"/>
      <c r="Z873" s="37"/>
      <c r="AA873" s="18"/>
      <c r="AB873" s="18"/>
      <c r="AC873" s="18"/>
    </row>
    <row r="874" spans="23:29" customFormat="1" x14ac:dyDescent="0.25">
      <c r="W874" s="37"/>
      <c r="X874" s="52"/>
      <c r="Y874" s="52"/>
      <c r="Z874" s="37"/>
      <c r="AA874" s="18"/>
      <c r="AB874" s="18"/>
      <c r="AC874" s="18"/>
    </row>
  </sheetData>
  <mergeCells count="6">
    <mergeCell ref="W31:Y31"/>
    <mergeCell ref="W32:Z32"/>
    <mergeCell ref="A1:AI1"/>
    <mergeCell ref="BS2:BU2"/>
    <mergeCell ref="AA18:AC18"/>
    <mergeCell ref="A28:B28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HK57"/>
  <sheetViews>
    <sheetView topLeftCell="FO1" zoomScale="70" zoomScaleNormal="70" workbookViewId="0">
      <selection activeCell="GG3" sqref="GG3:GG11"/>
    </sheetView>
  </sheetViews>
  <sheetFormatPr defaultRowHeight="15" x14ac:dyDescent="0.25"/>
  <cols>
    <col min="1" max="1" width="6.5703125" customWidth="1"/>
    <col min="2" max="2" width="39.28515625" customWidth="1"/>
    <col min="3" max="3" width="4" style="1" customWidth="1"/>
    <col min="4" max="4" width="5.28515625" style="6" customWidth="1"/>
    <col min="5" max="5" width="8.140625" customWidth="1"/>
    <col min="6" max="6" width="11.28515625" customWidth="1"/>
    <col min="7" max="7" width="4" style="1" customWidth="1"/>
    <col min="8" max="8" width="5.28515625" style="6" customWidth="1"/>
    <col min="9" max="9" width="7.85546875" style="2" customWidth="1"/>
    <col min="10" max="10" width="9.140625" style="2" customWidth="1"/>
    <col min="11" max="11" width="4" style="1" customWidth="1"/>
    <col min="12" max="12" width="5.28515625" style="6" customWidth="1"/>
    <col min="13" max="13" width="7.7109375" style="2" customWidth="1"/>
    <col min="14" max="14" width="8.85546875" style="2" customWidth="1"/>
    <col min="15" max="15" width="4.28515625" style="2" customWidth="1"/>
    <col min="16" max="17" width="7.7109375" style="2" customWidth="1"/>
    <col min="18" max="18" width="8.85546875" style="2" customWidth="1"/>
    <col min="19" max="19" width="4" style="1" customWidth="1"/>
    <col min="20" max="20" width="5.28515625" style="6" customWidth="1"/>
    <col min="21" max="21" width="8" style="2" customWidth="1"/>
    <col min="22" max="22" width="8.42578125" style="2" customWidth="1"/>
    <col min="23" max="23" width="3.85546875" customWidth="1"/>
    <col min="24" max="24" width="6.42578125" style="11" customWidth="1"/>
    <col min="25" max="25" width="9.140625" style="11" customWidth="1"/>
    <col min="26" max="26" width="8" customWidth="1"/>
    <col min="27" max="27" width="4.28515625" style="2" customWidth="1"/>
    <col min="28" max="28" width="5" style="2" customWidth="1"/>
    <col min="29" max="29" width="9.42578125" style="2" customWidth="1"/>
    <col min="30" max="30" width="10.28515625" style="2" customWidth="1"/>
    <col min="31" max="31" width="4" customWidth="1"/>
    <col min="32" max="32" width="7.5703125" customWidth="1"/>
    <col min="34" max="34" width="11" customWidth="1"/>
    <col min="35" max="35" width="5" customWidth="1"/>
    <col min="36" max="36" width="5.140625" customWidth="1"/>
    <col min="38" max="38" width="10.28515625" customWidth="1"/>
    <col min="39" max="39" width="4.7109375" customWidth="1"/>
    <col min="40" max="40" width="5.85546875" customWidth="1"/>
    <col min="42" max="42" width="11.7109375" customWidth="1"/>
    <col min="43" max="43" width="4" customWidth="1"/>
    <col min="44" max="44" width="5.85546875" customWidth="1"/>
    <col min="45" max="45" width="9.5703125" customWidth="1"/>
    <col min="46" max="46" width="10.28515625" customWidth="1"/>
    <col min="47" max="47" width="5.140625" customWidth="1"/>
    <col min="48" max="48" width="5.42578125" customWidth="1"/>
    <col min="49" max="49" width="8.5703125" customWidth="1"/>
    <col min="50" max="50" width="8.7109375" customWidth="1"/>
    <col min="51" max="52" width="5.28515625" customWidth="1"/>
    <col min="53" max="53" width="8.28515625" customWidth="1"/>
    <col min="54" max="54" width="8" customWidth="1"/>
    <col min="55" max="56" width="6.7109375" customWidth="1"/>
    <col min="57" max="57" width="7.5703125" customWidth="1"/>
    <col min="58" max="58" width="8.28515625" customWidth="1"/>
    <col min="59" max="59" width="5.7109375" customWidth="1"/>
    <col min="60" max="60" width="5.140625" customWidth="1"/>
    <col min="61" max="61" width="9" customWidth="1"/>
    <col min="62" max="62" width="8" customWidth="1"/>
    <col min="63" max="63" width="5.28515625" customWidth="1"/>
    <col min="64" max="64" width="5.85546875" customWidth="1"/>
    <col min="65" max="65" width="7.7109375" customWidth="1"/>
    <col min="66" max="66" width="7.5703125" customWidth="1"/>
    <col min="67" max="67" width="5.7109375" customWidth="1"/>
    <col min="68" max="68" width="5.28515625" customWidth="1"/>
    <col min="69" max="69" width="7.7109375" customWidth="1"/>
    <col min="70" max="70" width="8.7109375" customWidth="1"/>
    <col min="71" max="71" width="5.140625" customWidth="1"/>
    <col min="72" max="72" width="4.42578125" customWidth="1"/>
    <col min="73" max="73" width="7.7109375" customWidth="1"/>
    <col min="74" max="74" width="8.5703125" customWidth="1"/>
    <col min="75" max="75" width="5.85546875" customWidth="1"/>
    <col min="76" max="76" width="5.28515625" customWidth="1"/>
    <col min="77" max="77" width="7.7109375" customWidth="1"/>
    <col min="78" max="78" width="7.5703125" customWidth="1"/>
    <col min="79" max="79" width="5.28515625" customWidth="1"/>
    <col min="80" max="80" width="5.42578125" customWidth="1"/>
    <col min="81" max="81" width="8.5703125" customWidth="1"/>
    <col min="82" max="82" width="8.7109375" customWidth="1"/>
    <col min="83" max="83" width="5.140625" customWidth="1"/>
    <col min="84" max="84" width="4.85546875" customWidth="1"/>
    <col min="85" max="85" width="8.140625" customWidth="1"/>
    <col min="86" max="86" width="8.28515625" customWidth="1"/>
    <col min="87" max="88" width="5.7109375" customWidth="1"/>
    <col min="89" max="89" width="7.7109375" customWidth="1"/>
    <col min="90" max="90" width="8.140625" customWidth="1"/>
    <col min="91" max="91" width="5.140625" customWidth="1"/>
    <col min="92" max="92" width="5.42578125" customWidth="1"/>
    <col min="93" max="93" width="7.5703125" customWidth="1"/>
    <col min="94" max="94" width="8.140625" customWidth="1"/>
    <col min="95" max="96" width="5.28515625" customWidth="1"/>
    <col min="97" max="97" width="8" customWidth="1"/>
    <col min="98" max="98" width="7.7109375" customWidth="1"/>
    <col min="99" max="99" width="5.140625" customWidth="1"/>
    <col min="100" max="100" width="4.42578125" customWidth="1"/>
    <col min="101" max="102" width="8.140625" customWidth="1"/>
    <col min="103" max="103" width="4.42578125" customWidth="1"/>
    <col min="104" max="104" width="4.85546875" customWidth="1"/>
    <col min="105" max="106" width="8.140625" customWidth="1"/>
    <col min="107" max="108" width="5.7109375" customWidth="1"/>
    <col min="109" max="109" width="9.85546875" customWidth="1"/>
    <col min="110" max="110" width="8.42578125" customWidth="1"/>
    <col min="111" max="111" width="4.140625" customWidth="1"/>
    <col min="112" max="112" width="3.85546875" customWidth="1"/>
    <col min="113" max="113" width="7.140625" customWidth="1"/>
    <col min="114" max="114" width="8.42578125" customWidth="1"/>
    <col min="115" max="115" width="4.42578125" customWidth="1"/>
    <col min="116" max="116" width="3.85546875" customWidth="1"/>
    <col min="117" max="117" width="7.7109375" customWidth="1"/>
    <col min="118" max="118" width="8.42578125" customWidth="1"/>
    <col min="119" max="119" width="3.42578125" customWidth="1"/>
    <col min="120" max="120" width="4.42578125" customWidth="1"/>
    <col min="121" max="121" width="7.5703125" customWidth="1"/>
    <col min="122" max="122" width="7.7109375" customWidth="1"/>
    <col min="123" max="124" width="5.7109375" customWidth="1"/>
    <col min="125" max="125" width="7.140625" customWidth="1"/>
    <col min="126" max="178" width="8.28515625" customWidth="1"/>
    <col min="179" max="180" width="5.7109375" customWidth="1"/>
    <col min="181" max="181" width="7.28515625" customWidth="1"/>
    <col min="182" max="182" width="8" customWidth="1"/>
    <col min="183" max="183" width="5.7109375" customWidth="1"/>
    <col min="184" max="185" width="9" customWidth="1"/>
    <col min="186" max="186" width="10" customWidth="1"/>
    <col min="187" max="187" width="8.5703125" customWidth="1"/>
    <col min="188" max="188" width="5.7109375" customWidth="1"/>
    <col min="189" max="189" width="11.5703125" customWidth="1"/>
    <col min="190" max="190" width="12.28515625" customWidth="1"/>
    <col min="191" max="222" width="5.7109375" customWidth="1"/>
  </cols>
  <sheetData>
    <row r="1" spans="1:219" ht="33.75" customHeight="1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spans="1:219" ht="70.5" customHeight="1" thickBot="1" x14ac:dyDescent="0.3">
      <c r="A2" s="23" t="s">
        <v>4</v>
      </c>
      <c r="B2" s="57" t="s">
        <v>5</v>
      </c>
      <c r="C2" s="3" t="s">
        <v>0</v>
      </c>
      <c r="D2" s="9" t="s">
        <v>2</v>
      </c>
      <c r="E2" s="7" t="s">
        <v>1</v>
      </c>
      <c r="F2" s="7" t="s">
        <v>6</v>
      </c>
      <c r="G2" s="3" t="s">
        <v>0</v>
      </c>
      <c r="H2" s="9" t="s">
        <v>2</v>
      </c>
      <c r="I2" s="7" t="s">
        <v>1</v>
      </c>
      <c r="J2" s="7" t="s">
        <v>6</v>
      </c>
      <c r="K2" s="3" t="s">
        <v>0</v>
      </c>
      <c r="L2" s="9" t="s">
        <v>2</v>
      </c>
      <c r="M2" s="7" t="s">
        <v>1</v>
      </c>
      <c r="N2" s="7" t="s">
        <v>6</v>
      </c>
      <c r="O2" s="3" t="s">
        <v>0</v>
      </c>
      <c r="P2" s="9" t="s">
        <v>2</v>
      </c>
      <c r="Q2" s="7" t="s">
        <v>1</v>
      </c>
      <c r="R2" s="7" t="s">
        <v>6</v>
      </c>
      <c r="S2" s="3" t="s">
        <v>0</v>
      </c>
      <c r="T2" s="9" t="s">
        <v>2</v>
      </c>
      <c r="U2" s="7" t="s">
        <v>1</v>
      </c>
      <c r="V2" s="7" t="s">
        <v>6</v>
      </c>
      <c r="W2" s="3" t="s">
        <v>0</v>
      </c>
      <c r="X2" s="9" t="s">
        <v>2</v>
      </c>
      <c r="Y2" s="7" t="s">
        <v>1</v>
      </c>
      <c r="Z2" s="7" t="s">
        <v>6</v>
      </c>
      <c r="AA2" s="3" t="s">
        <v>0</v>
      </c>
      <c r="AB2" s="9" t="s">
        <v>2</v>
      </c>
      <c r="AC2" s="7" t="s">
        <v>1</v>
      </c>
      <c r="AD2" s="7" t="s">
        <v>6</v>
      </c>
      <c r="AE2" s="3" t="s">
        <v>0</v>
      </c>
      <c r="AF2" s="9" t="s">
        <v>2</v>
      </c>
      <c r="AG2" s="7" t="s">
        <v>1</v>
      </c>
      <c r="AH2" s="7" t="s">
        <v>6</v>
      </c>
      <c r="AI2" s="3" t="s">
        <v>0</v>
      </c>
      <c r="AJ2" s="9" t="s">
        <v>2</v>
      </c>
      <c r="AK2" s="7" t="s">
        <v>1</v>
      </c>
      <c r="AL2" s="7" t="s">
        <v>6</v>
      </c>
      <c r="AM2" s="3" t="s">
        <v>0</v>
      </c>
      <c r="AN2" s="9" t="s">
        <v>2</v>
      </c>
      <c r="AO2" s="7" t="s">
        <v>1</v>
      </c>
      <c r="AP2" s="7" t="s">
        <v>6</v>
      </c>
      <c r="AQ2" s="3" t="s">
        <v>0</v>
      </c>
      <c r="AR2" s="9" t="s">
        <v>2</v>
      </c>
      <c r="AS2" s="7" t="s">
        <v>1</v>
      </c>
      <c r="AT2" s="7" t="s">
        <v>6</v>
      </c>
      <c r="AU2" s="3" t="s">
        <v>0</v>
      </c>
      <c r="AV2" s="9" t="s">
        <v>2</v>
      </c>
      <c r="AW2" s="7" t="s">
        <v>1</v>
      </c>
      <c r="AX2" s="7" t="s">
        <v>6</v>
      </c>
      <c r="AY2" s="3" t="s">
        <v>0</v>
      </c>
      <c r="AZ2" s="9" t="s">
        <v>2</v>
      </c>
      <c r="BA2" s="7" t="s">
        <v>1</v>
      </c>
      <c r="BB2" s="7" t="s">
        <v>6</v>
      </c>
      <c r="BC2" s="3" t="s">
        <v>0</v>
      </c>
      <c r="BD2" s="9" t="s">
        <v>2</v>
      </c>
      <c r="BE2" s="7" t="s">
        <v>1</v>
      </c>
      <c r="BF2" s="7" t="s">
        <v>6</v>
      </c>
      <c r="BG2" s="3" t="s">
        <v>0</v>
      </c>
      <c r="BH2" s="9" t="s">
        <v>2</v>
      </c>
      <c r="BI2" s="7" t="s">
        <v>1</v>
      </c>
      <c r="BJ2" s="7" t="s">
        <v>6</v>
      </c>
      <c r="BK2" s="3" t="s">
        <v>0</v>
      </c>
      <c r="BL2" s="9" t="s">
        <v>2</v>
      </c>
      <c r="BM2" s="7" t="s">
        <v>1</v>
      </c>
      <c r="BN2" s="7" t="s">
        <v>6</v>
      </c>
      <c r="BO2" s="3" t="s">
        <v>0</v>
      </c>
      <c r="BP2" s="9" t="s">
        <v>2</v>
      </c>
      <c r="BQ2" s="7" t="s">
        <v>1</v>
      </c>
      <c r="BR2" s="7" t="s">
        <v>6</v>
      </c>
      <c r="BS2" s="3" t="s">
        <v>0</v>
      </c>
      <c r="BT2" s="9" t="s">
        <v>2</v>
      </c>
      <c r="BU2" s="7" t="s">
        <v>1</v>
      </c>
      <c r="BV2" s="7" t="s">
        <v>6</v>
      </c>
      <c r="BW2" s="3" t="s">
        <v>0</v>
      </c>
      <c r="BX2" s="9" t="s">
        <v>2</v>
      </c>
      <c r="BY2" s="7" t="s">
        <v>1</v>
      </c>
      <c r="BZ2" s="7" t="s">
        <v>6</v>
      </c>
      <c r="CA2" s="3" t="s">
        <v>0</v>
      </c>
      <c r="CB2" s="9" t="s">
        <v>2</v>
      </c>
      <c r="CC2" s="7" t="s">
        <v>1</v>
      </c>
      <c r="CD2" s="7" t="s">
        <v>6</v>
      </c>
      <c r="CE2" s="3" t="s">
        <v>0</v>
      </c>
      <c r="CF2" s="9" t="s">
        <v>2</v>
      </c>
      <c r="CG2" s="7" t="s">
        <v>1</v>
      </c>
      <c r="CH2" s="7" t="s">
        <v>6</v>
      </c>
      <c r="CI2" s="3" t="s">
        <v>0</v>
      </c>
      <c r="CJ2" s="9" t="s">
        <v>2</v>
      </c>
      <c r="CK2" s="7" t="s">
        <v>1</v>
      </c>
      <c r="CL2" s="7" t="s">
        <v>6</v>
      </c>
      <c r="CM2" s="3" t="s">
        <v>0</v>
      </c>
      <c r="CN2" s="9" t="s">
        <v>2</v>
      </c>
      <c r="CO2" s="7" t="s">
        <v>1</v>
      </c>
      <c r="CP2" s="7" t="s">
        <v>6</v>
      </c>
      <c r="CQ2" s="3" t="s">
        <v>0</v>
      </c>
      <c r="CR2" s="9" t="s">
        <v>2</v>
      </c>
      <c r="CS2" s="7" t="s">
        <v>1</v>
      </c>
      <c r="CT2" s="7" t="s">
        <v>6</v>
      </c>
      <c r="CU2" s="3" t="s">
        <v>0</v>
      </c>
      <c r="CV2" s="9" t="s">
        <v>2</v>
      </c>
      <c r="CW2" s="7" t="s">
        <v>1</v>
      </c>
      <c r="CX2" s="7" t="s">
        <v>6</v>
      </c>
      <c r="CY2" s="3" t="s">
        <v>0</v>
      </c>
      <c r="CZ2" s="9" t="s">
        <v>2</v>
      </c>
      <c r="DA2" s="7" t="s">
        <v>1</v>
      </c>
      <c r="DB2" s="7" t="s">
        <v>6</v>
      </c>
      <c r="DC2" s="3" t="s">
        <v>0</v>
      </c>
      <c r="DD2" s="9" t="s">
        <v>2</v>
      </c>
      <c r="DE2" s="7" t="s">
        <v>1</v>
      </c>
      <c r="DF2" s="7" t="s">
        <v>6</v>
      </c>
      <c r="DG2" s="3" t="s">
        <v>0</v>
      </c>
      <c r="DH2" s="9" t="s">
        <v>2</v>
      </c>
      <c r="DI2" s="7" t="s">
        <v>1</v>
      </c>
      <c r="DJ2" s="7" t="s">
        <v>6</v>
      </c>
      <c r="DK2" s="3" t="s">
        <v>0</v>
      </c>
      <c r="DL2" s="9" t="s">
        <v>2</v>
      </c>
      <c r="DM2" s="7" t="s">
        <v>1</v>
      </c>
      <c r="DN2" s="7" t="s">
        <v>6</v>
      </c>
      <c r="DO2" s="3" t="s">
        <v>0</v>
      </c>
      <c r="DP2" s="9" t="s">
        <v>2</v>
      </c>
      <c r="DQ2" s="7" t="s">
        <v>1</v>
      </c>
      <c r="DR2" s="7" t="s">
        <v>6</v>
      </c>
      <c r="DS2" s="3" t="s">
        <v>0</v>
      </c>
      <c r="DT2" s="9" t="s">
        <v>2</v>
      </c>
      <c r="DU2" s="7" t="s">
        <v>1</v>
      </c>
      <c r="DV2" s="7" t="s">
        <v>6</v>
      </c>
      <c r="DW2" s="3" t="s">
        <v>0</v>
      </c>
      <c r="DX2" s="9" t="s">
        <v>2</v>
      </c>
      <c r="DY2" s="7" t="s">
        <v>1</v>
      </c>
      <c r="DZ2" s="7" t="s">
        <v>6</v>
      </c>
      <c r="EA2" s="3" t="s">
        <v>0</v>
      </c>
      <c r="EB2" s="9" t="s">
        <v>2</v>
      </c>
      <c r="EC2" s="7" t="s">
        <v>1</v>
      </c>
      <c r="ED2" s="7" t="s">
        <v>6</v>
      </c>
      <c r="EE2" s="3" t="s">
        <v>0</v>
      </c>
      <c r="EF2" s="9" t="s">
        <v>2</v>
      </c>
      <c r="EG2" s="7" t="s">
        <v>1</v>
      </c>
      <c r="EH2" s="7" t="s">
        <v>6</v>
      </c>
      <c r="EI2" s="3" t="s">
        <v>0</v>
      </c>
      <c r="EJ2" s="9" t="s">
        <v>2</v>
      </c>
      <c r="EK2" s="7" t="s">
        <v>1</v>
      </c>
      <c r="EL2" s="7" t="s">
        <v>6</v>
      </c>
      <c r="EM2" s="3" t="s">
        <v>0</v>
      </c>
      <c r="EN2" s="9" t="s">
        <v>2</v>
      </c>
      <c r="EO2" s="7" t="s">
        <v>1</v>
      </c>
      <c r="EP2" s="7" t="s">
        <v>6</v>
      </c>
      <c r="EQ2" s="3" t="s">
        <v>0</v>
      </c>
      <c r="ER2" s="9" t="s">
        <v>2</v>
      </c>
      <c r="ES2" s="7" t="s">
        <v>1</v>
      </c>
      <c r="ET2" s="7" t="s">
        <v>6</v>
      </c>
      <c r="EU2" s="3" t="s">
        <v>0</v>
      </c>
      <c r="EV2" s="9" t="s">
        <v>2</v>
      </c>
      <c r="EW2" s="7" t="s">
        <v>1</v>
      </c>
      <c r="EX2" s="7" t="s">
        <v>6</v>
      </c>
      <c r="EY2" s="3" t="s">
        <v>0</v>
      </c>
      <c r="EZ2" s="9" t="s">
        <v>2</v>
      </c>
      <c r="FA2" s="7" t="s">
        <v>1</v>
      </c>
      <c r="FB2" s="7" t="s">
        <v>6</v>
      </c>
      <c r="FC2" s="3" t="s">
        <v>0</v>
      </c>
      <c r="FD2" s="9" t="s">
        <v>2</v>
      </c>
      <c r="FE2" s="7" t="s">
        <v>1</v>
      </c>
      <c r="FF2" s="7" t="s">
        <v>6</v>
      </c>
      <c r="FG2" s="3" t="s">
        <v>0</v>
      </c>
      <c r="FH2" s="9" t="s">
        <v>2</v>
      </c>
      <c r="FI2" s="7" t="s">
        <v>1</v>
      </c>
      <c r="FJ2" s="7" t="s">
        <v>6</v>
      </c>
      <c r="FK2" s="3" t="s">
        <v>0</v>
      </c>
      <c r="FL2" s="9" t="s">
        <v>2</v>
      </c>
      <c r="FM2" s="7" t="s">
        <v>1</v>
      </c>
      <c r="FN2" s="7" t="s">
        <v>6</v>
      </c>
      <c r="FO2" s="3" t="s">
        <v>0</v>
      </c>
      <c r="FP2" s="9" t="s">
        <v>2</v>
      </c>
      <c r="FQ2" s="7" t="s">
        <v>1</v>
      </c>
      <c r="FR2" s="7" t="s">
        <v>6</v>
      </c>
      <c r="FS2" s="3" t="s">
        <v>0</v>
      </c>
      <c r="FT2" s="9" t="s">
        <v>2</v>
      </c>
      <c r="FU2" s="7" t="s">
        <v>1</v>
      </c>
      <c r="FV2" s="7" t="s">
        <v>6</v>
      </c>
      <c r="FW2" s="3" t="s">
        <v>0</v>
      </c>
      <c r="FX2" s="9" t="s">
        <v>2</v>
      </c>
      <c r="FY2" s="7" t="s">
        <v>1</v>
      </c>
      <c r="FZ2" s="7" t="s">
        <v>6</v>
      </c>
      <c r="GA2" s="49" t="s">
        <v>19</v>
      </c>
      <c r="GB2" s="10" t="s">
        <v>20</v>
      </c>
      <c r="GC2" s="10" t="s">
        <v>21</v>
      </c>
      <c r="GD2" s="10" t="s">
        <v>22</v>
      </c>
      <c r="GE2" s="81" t="s">
        <v>23</v>
      </c>
      <c r="GF2" s="81"/>
      <c r="GG2" s="81"/>
      <c r="GH2" s="22" t="s">
        <v>24</v>
      </c>
    </row>
    <row r="3" spans="1:219" ht="72" customHeight="1" thickBot="1" x14ac:dyDescent="0.3">
      <c r="A3" s="21">
        <v>1</v>
      </c>
      <c r="B3" s="30" t="s">
        <v>13</v>
      </c>
      <c r="C3" s="3">
        <v>9</v>
      </c>
      <c r="D3" s="5">
        <v>8</v>
      </c>
      <c r="E3" s="12">
        <f>D3/C3</f>
        <v>0.88888888888888884</v>
      </c>
      <c r="F3" s="12">
        <f t="shared" ref="F3:F11" si="0">POWER(D3-$GC3,2)</f>
        <v>0.12641975308642012</v>
      </c>
      <c r="G3" s="3">
        <v>8</v>
      </c>
      <c r="H3" s="5">
        <v>7</v>
      </c>
      <c r="I3" s="12">
        <f>H3/G3</f>
        <v>0.875</v>
      </c>
      <c r="J3" s="12">
        <f t="shared" ref="J3:J11" si="1">POWER(H3-$GC3,2)</f>
        <v>1.8375308641975323</v>
      </c>
      <c r="K3" s="3">
        <v>8</v>
      </c>
      <c r="L3" s="3">
        <v>8</v>
      </c>
      <c r="M3" s="12">
        <f>L3/K3</f>
        <v>1</v>
      </c>
      <c r="N3" s="12">
        <f t="shared" ref="N3:N11" si="2">POWER(L3-$GC3,2)</f>
        <v>0.12641975308642012</v>
      </c>
      <c r="O3" s="3">
        <v>7</v>
      </c>
      <c r="P3" s="3">
        <v>7</v>
      </c>
      <c r="Q3" s="12">
        <f>P3/O3</f>
        <v>1</v>
      </c>
      <c r="R3" s="12">
        <f t="shared" ref="R3:R11" si="3">POWER(P3-$GC3,2)</f>
        <v>1.8375308641975323</v>
      </c>
      <c r="S3" s="3">
        <v>10</v>
      </c>
      <c r="T3" s="3">
        <v>10</v>
      </c>
      <c r="U3" s="12">
        <f>T3/S3</f>
        <v>1</v>
      </c>
      <c r="V3" s="12">
        <f t="shared" ref="V3:V11" si="4">POWER(T3-$GC3,2)</f>
        <v>2.7041975308641959</v>
      </c>
      <c r="W3" s="3">
        <v>8</v>
      </c>
      <c r="X3" s="5">
        <v>8</v>
      </c>
      <c r="Y3" s="12">
        <f>X3/W3</f>
        <v>1</v>
      </c>
      <c r="Z3" s="12">
        <f t="shared" ref="Z3:Z11" si="5">POWER(X3-$GC3,2)</f>
        <v>0.12641975308642012</v>
      </c>
      <c r="AA3" s="3">
        <v>10</v>
      </c>
      <c r="AB3" s="5">
        <v>9</v>
      </c>
      <c r="AC3" s="12">
        <f>AB3/AA3</f>
        <v>0.9</v>
      </c>
      <c r="AD3" s="12">
        <f t="shared" ref="AD3:AD11" si="6">POWER(AB3-$GC3,2)</f>
        <v>0.41530864197530798</v>
      </c>
      <c r="AE3" s="3">
        <v>8</v>
      </c>
      <c r="AF3" s="5">
        <v>8</v>
      </c>
      <c r="AG3" s="12">
        <f>AF3/AE3</f>
        <v>1</v>
      </c>
      <c r="AH3" s="12">
        <f t="shared" ref="AH3:AH11" si="7">POWER(AF3-$GC3,2)</f>
        <v>0.12641975308642012</v>
      </c>
      <c r="AI3" s="3">
        <v>9</v>
      </c>
      <c r="AJ3" s="5">
        <v>9</v>
      </c>
      <c r="AK3" s="12">
        <f>AJ3/AI3</f>
        <v>1</v>
      </c>
      <c r="AL3" s="12">
        <f t="shared" ref="AL3:AL11" si="8">POWER(AJ3-$GC3,2)</f>
        <v>0.41530864197530798</v>
      </c>
      <c r="AM3" s="3">
        <v>8</v>
      </c>
      <c r="AN3" s="5">
        <v>7</v>
      </c>
      <c r="AO3" s="12">
        <f>AN3/AM3</f>
        <v>0.875</v>
      </c>
      <c r="AP3" s="12">
        <f t="shared" ref="AP3:AP11" si="9">POWER(AN3-$GC3,2)</f>
        <v>1.8375308641975323</v>
      </c>
      <c r="AQ3" s="3">
        <v>10</v>
      </c>
      <c r="AR3" s="5">
        <v>9</v>
      </c>
      <c r="AS3" s="12">
        <f>AR3/AQ3</f>
        <v>0.9</v>
      </c>
      <c r="AT3" s="12">
        <f t="shared" ref="AT3:AT11" si="10">POWER(AR3-$GC3,2)</f>
        <v>0.41530864197530798</v>
      </c>
      <c r="AU3" s="3">
        <v>8</v>
      </c>
      <c r="AV3" s="5">
        <v>8</v>
      </c>
      <c r="AW3" s="12">
        <f>AV3/AU3</f>
        <v>1</v>
      </c>
      <c r="AX3" s="12">
        <f t="shared" ref="AX3:AX11" si="11">POWER(AV3-$GC3,2)</f>
        <v>0.12641975308642012</v>
      </c>
      <c r="AY3" s="3">
        <v>9</v>
      </c>
      <c r="AZ3" s="5">
        <v>9</v>
      </c>
      <c r="BA3" s="12">
        <f>AZ3/AY3</f>
        <v>1</v>
      </c>
      <c r="BB3" s="12">
        <f t="shared" ref="BB3:BB11" si="12">POWER(AZ3-$GC3,2)</f>
        <v>0.41530864197530798</v>
      </c>
      <c r="BC3" s="3">
        <v>9</v>
      </c>
      <c r="BD3" s="5">
        <v>8</v>
      </c>
      <c r="BE3" s="12">
        <f>BD3/BC3</f>
        <v>0.88888888888888884</v>
      </c>
      <c r="BF3" s="12">
        <f t="shared" ref="BF3:BF11" si="13">POWER(BD3-$GC3,2)</f>
        <v>0.12641975308642012</v>
      </c>
      <c r="BG3" s="3">
        <v>9</v>
      </c>
      <c r="BH3" s="5">
        <v>9</v>
      </c>
      <c r="BI3" s="12">
        <f>BH3/BG3</f>
        <v>1</v>
      </c>
      <c r="BJ3" s="12">
        <f t="shared" ref="BJ3:BJ11" si="14">POWER(BH3-$GC3,2)</f>
        <v>0.41530864197530798</v>
      </c>
      <c r="BK3" s="3">
        <v>7</v>
      </c>
      <c r="BL3" s="5">
        <v>7</v>
      </c>
      <c r="BM3" s="12">
        <f>BL3/BK3</f>
        <v>1</v>
      </c>
      <c r="BN3" s="12">
        <f t="shared" ref="BN3:BN11" si="15">POWER(BL3-$GC3,2)</f>
        <v>1.8375308641975323</v>
      </c>
      <c r="BO3" s="3">
        <v>10</v>
      </c>
      <c r="BP3" s="5">
        <v>8</v>
      </c>
      <c r="BQ3" s="12">
        <f>BP3/BO3</f>
        <v>0.8</v>
      </c>
      <c r="BR3" s="12">
        <f t="shared" ref="BR3:BR11" si="16">POWER(BP3-$GC3,2)</f>
        <v>0.12641975308642012</v>
      </c>
      <c r="BS3" s="3">
        <v>10</v>
      </c>
      <c r="BT3" s="5">
        <v>10</v>
      </c>
      <c r="BU3" s="12">
        <f>BT3/BS3</f>
        <v>1</v>
      </c>
      <c r="BV3" s="12">
        <f t="shared" ref="BV3:BV11" si="17">POWER(BT3-$GC3,2)</f>
        <v>2.7041975308641959</v>
      </c>
      <c r="BW3" s="3">
        <v>9</v>
      </c>
      <c r="BX3" s="5">
        <v>9</v>
      </c>
      <c r="BY3" s="12">
        <f>BX3/BW3</f>
        <v>1</v>
      </c>
      <c r="BZ3" s="12">
        <f t="shared" ref="BZ3:BZ11" si="18">POWER(BX3-$GC3,2)</f>
        <v>0.41530864197530798</v>
      </c>
      <c r="CA3" s="3">
        <v>10</v>
      </c>
      <c r="CB3" s="5">
        <v>9</v>
      </c>
      <c r="CC3" s="12">
        <f>CB3/CA3</f>
        <v>0.9</v>
      </c>
      <c r="CD3" s="12">
        <f t="shared" ref="CD3:CD11" si="19">POWER(CB3-$GC3,2)</f>
        <v>0.41530864197530798</v>
      </c>
      <c r="CE3" s="3">
        <v>10</v>
      </c>
      <c r="CF3" s="5">
        <v>7</v>
      </c>
      <c r="CG3" s="12">
        <f>CF3/CE3</f>
        <v>0.7</v>
      </c>
      <c r="CH3" s="12">
        <f t="shared" ref="CH3:CH14" si="20">POWER(CF3-$GC3,2)</f>
        <v>1.8375308641975323</v>
      </c>
      <c r="CI3" s="3">
        <v>8</v>
      </c>
      <c r="CJ3" s="5">
        <v>8</v>
      </c>
      <c r="CK3" s="12">
        <f>CJ3/CI3</f>
        <v>1</v>
      </c>
      <c r="CL3" s="12">
        <f t="shared" ref="CL3:CL11" si="21">POWER(CJ3-$GC3,2)</f>
        <v>0.12641975308642012</v>
      </c>
      <c r="CM3" s="3">
        <v>10</v>
      </c>
      <c r="CN3" s="5">
        <v>9</v>
      </c>
      <c r="CO3" s="12">
        <f>CN3/CM3</f>
        <v>0.9</v>
      </c>
      <c r="CP3" s="12">
        <f t="shared" ref="CP3:CP11" si="22">POWER(CN3-$GC3,2)</f>
        <v>0.41530864197530798</v>
      </c>
      <c r="CQ3" s="3">
        <v>9</v>
      </c>
      <c r="CR3" s="5">
        <v>9</v>
      </c>
      <c r="CS3" s="12">
        <f>CR3/CQ3</f>
        <v>1</v>
      </c>
      <c r="CT3" s="12">
        <f t="shared" ref="CT3:CT11" si="23">POWER(CR3-$GC3,2)</f>
        <v>0.41530864197530798</v>
      </c>
      <c r="CU3" s="3">
        <v>9</v>
      </c>
      <c r="CV3" s="5">
        <v>9</v>
      </c>
      <c r="CW3" s="12">
        <f>CV3/CU3</f>
        <v>1</v>
      </c>
      <c r="CX3" s="12">
        <f t="shared" ref="CX3:CX11" si="24">POWER(CV3-$GC3,2)</f>
        <v>0.41530864197530798</v>
      </c>
      <c r="CY3" s="3">
        <v>5</v>
      </c>
      <c r="CZ3" s="5">
        <v>3</v>
      </c>
      <c r="DA3" s="12">
        <f>CZ3/CY3</f>
        <v>0.6</v>
      </c>
      <c r="DB3" s="12">
        <f t="shared" ref="DB3:DB11" si="25">POWER(CZ3-$GC3,2)</f>
        <v>28.681975308641981</v>
      </c>
      <c r="DC3" s="3">
        <v>8</v>
      </c>
      <c r="DD3" s="5">
        <v>7</v>
      </c>
      <c r="DE3" s="12">
        <f>DD3/DC3</f>
        <v>0.875</v>
      </c>
      <c r="DF3" s="12">
        <f t="shared" ref="DF3:DF11" si="26">POWER(DD3-$GC3,2)</f>
        <v>1.8375308641975323</v>
      </c>
      <c r="DG3" s="3">
        <v>10</v>
      </c>
      <c r="DH3" s="5">
        <v>10</v>
      </c>
      <c r="DI3" s="12">
        <f>DH3/DG3</f>
        <v>1</v>
      </c>
      <c r="DJ3" s="12">
        <f t="shared" ref="DJ3:DJ11" si="27">POWER(DH3-$GC3,2)</f>
        <v>2.7041975308641959</v>
      </c>
      <c r="DK3" s="3">
        <v>10</v>
      </c>
      <c r="DL3" s="5">
        <v>8</v>
      </c>
      <c r="DM3" s="12">
        <f>DL3/DK3</f>
        <v>0.8</v>
      </c>
      <c r="DN3" s="12">
        <f t="shared" ref="DN3:DN11" si="28">POWER(DL3-$GC3,2)</f>
        <v>0.12641975308642012</v>
      </c>
      <c r="DO3" s="3">
        <v>7</v>
      </c>
      <c r="DP3" s="5">
        <v>7</v>
      </c>
      <c r="DQ3" s="12">
        <f>DP3/DO3</f>
        <v>1</v>
      </c>
      <c r="DR3" s="12">
        <f t="shared" ref="DR3:DR11" si="29">POWER(DP3-$GC3,2)</f>
        <v>1.8375308641975323</v>
      </c>
      <c r="DS3" s="3">
        <v>9</v>
      </c>
      <c r="DT3" s="5">
        <v>9</v>
      </c>
      <c r="DU3" s="12">
        <f>DT3/DS3</f>
        <v>1</v>
      </c>
      <c r="DV3" s="12">
        <f t="shared" ref="DV3:DV11" si="30">POWER(DT3-$GC3,2)</f>
        <v>0.41530864197530798</v>
      </c>
      <c r="DW3" s="3">
        <v>7</v>
      </c>
      <c r="DX3" s="5">
        <v>7</v>
      </c>
      <c r="DY3" s="12">
        <f>DX3/DW3</f>
        <v>1</v>
      </c>
      <c r="DZ3" s="12">
        <f t="shared" ref="DZ3:DZ11" si="31">POWER(DX3-$GC3,2)</f>
        <v>1.8375308641975323</v>
      </c>
      <c r="EA3" s="3">
        <v>8</v>
      </c>
      <c r="EB3" s="5">
        <v>7</v>
      </c>
      <c r="EC3" s="12">
        <f t="shared" ref="EC3:EC11" si="32">EB3/EA3</f>
        <v>0.875</v>
      </c>
      <c r="ED3" s="12">
        <f t="shared" ref="ED3:ED11" si="33">POWER(EB3-$GC3,2)</f>
        <v>1.8375308641975323</v>
      </c>
      <c r="EE3" s="3">
        <v>9</v>
      </c>
      <c r="EF3" s="5">
        <v>9</v>
      </c>
      <c r="EG3" s="12">
        <f t="shared" ref="EG3:EG11" si="34">EF3/EE3</f>
        <v>1</v>
      </c>
      <c r="EH3" s="12">
        <f t="shared" ref="EH3:EH11" si="35">POWER(EF3-$GC3,2)</f>
        <v>0.41530864197530798</v>
      </c>
      <c r="EI3" s="3">
        <v>9</v>
      </c>
      <c r="EJ3" s="3">
        <v>9</v>
      </c>
      <c r="EK3" s="12">
        <f t="shared" ref="EK3:EK11" si="36">EJ3/EI3</f>
        <v>1</v>
      </c>
      <c r="EL3" s="12">
        <f t="shared" ref="EL3:EL11" si="37">POWER(EJ3-$GC3,2)</f>
        <v>0.41530864197530798</v>
      </c>
      <c r="EM3" s="3">
        <v>10</v>
      </c>
      <c r="EN3" s="5">
        <v>10</v>
      </c>
      <c r="EO3" s="12">
        <f t="shared" ref="EO3:EO11" si="38">EN3/EM3</f>
        <v>1</v>
      </c>
      <c r="EP3" s="12">
        <f t="shared" ref="EP3:EP11" si="39">POWER(EN3-$GC3,2)</f>
        <v>2.7041975308641959</v>
      </c>
      <c r="EQ3" s="3">
        <v>9</v>
      </c>
      <c r="ER3" s="5">
        <v>8</v>
      </c>
      <c r="ES3" s="12">
        <f t="shared" ref="ES3:ES11" si="40">ER3/EQ3</f>
        <v>0.88888888888888884</v>
      </c>
      <c r="ET3" s="12">
        <f t="shared" ref="ET3:ET11" si="41">POWER(ER3-$GC3,2)</f>
        <v>0.12641975308642012</v>
      </c>
      <c r="EU3" s="3">
        <v>10</v>
      </c>
      <c r="EV3" s="5">
        <v>8</v>
      </c>
      <c r="EW3" s="12">
        <f t="shared" ref="EW3:EW11" si="42">EV3/EU3</f>
        <v>0.8</v>
      </c>
      <c r="EX3" s="12">
        <f t="shared" ref="EX3:EX11" si="43">POWER(EV3-$GC3,2)</f>
        <v>0.12641975308642012</v>
      </c>
      <c r="EY3" s="3">
        <v>9</v>
      </c>
      <c r="EZ3" s="5">
        <v>8</v>
      </c>
      <c r="FA3" s="12">
        <f t="shared" ref="FA3:FA11" si="44">EZ3/EY3</f>
        <v>0.88888888888888884</v>
      </c>
      <c r="FB3" s="12">
        <f t="shared" ref="FB3:FB11" si="45">POWER(EZ3-$GC3,2)</f>
        <v>0.12641975308642012</v>
      </c>
      <c r="FC3" s="3">
        <v>9</v>
      </c>
      <c r="FD3" s="3">
        <v>8</v>
      </c>
      <c r="FE3" s="12">
        <f t="shared" ref="FE3:FE11" si="46">FD3/FC3</f>
        <v>0.88888888888888884</v>
      </c>
      <c r="FF3" s="12">
        <f t="shared" ref="FF3:FF11" si="47">POWER(FD3-$GC3,2)</f>
        <v>0.12641975308642012</v>
      </c>
      <c r="FG3" s="3">
        <v>10</v>
      </c>
      <c r="FH3" s="5">
        <v>10</v>
      </c>
      <c r="FI3" s="12">
        <f t="shared" ref="FI3:FI11" si="48">FH3/FG3</f>
        <v>1</v>
      </c>
      <c r="FJ3" s="12">
        <f t="shared" ref="FJ3:FJ11" si="49">POWER(FH3-$GC3,2)</f>
        <v>2.7041975308641959</v>
      </c>
      <c r="FK3" s="3">
        <v>10</v>
      </c>
      <c r="FL3" s="5">
        <v>10</v>
      </c>
      <c r="FM3" s="12">
        <f t="shared" ref="FM3:FM11" si="50">FL3/FK3</f>
        <v>1</v>
      </c>
      <c r="FN3" s="12">
        <f t="shared" ref="FN3:FN11" si="51">POWER(FL3-$GC3,2)</f>
        <v>2.7041975308641959</v>
      </c>
      <c r="FO3" s="3">
        <v>10</v>
      </c>
      <c r="FP3" s="5">
        <v>10</v>
      </c>
      <c r="FQ3" s="12">
        <f t="shared" ref="FQ3:FQ11" si="52">FP3/FO3</f>
        <v>1</v>
      </c>
      <c r="FR3" s="12">
        <f t="shared" ref="FR3:FR11" si="53">POWER(FP3-$GC3,2)</f>
        <v>2.7041975308641959</v>
      </c>
      <c r="FS3" s="3">
        <v>9</v>
      </c>
      <c r="FT3" s="5">
        <v>9</v>
      </c>
      <c r="FU3" s="12">
        <f t="shared" ref="FU3:FU11" si="54">FT3/FS3</f>
        <v>1</v>
      </c>
      <c r="FV3" s="12">
        <f t="shared" ref="FV3:FV11" si="55">POWER(FT3-$GC3,2)</f>
        <v>0.41530864197530798</v>
      </c>
      <c r="FW3" s="3">
        <v>10</v>
      </c>
      <c r="FX3" s="5">
        <v>10</v>
      </c>
      <c r="FY3" s="12">
        <f>FX3/FW3</f>
        <v>1</v>
      </c>
      <c r="FZ3" s="12">
        <f>POWER(FX3-$GC3,2)</f>
        <v>2.7041975308641959</v>
      </c>
      <c r="GA3" s="4">
        <f>COUNT(C3,G3,K3,O3,S3,W3,AA3,AE3,AI3,AM3,AQ3,AU3,AY3,BC3,BG3,BK3,BO3,BS3,BW3,CA3,CE3,CI3,CM3,CQ3,CU3,CY3,DC3,DG3,DK3,DO3,DS3,FW3,DW3,EA3,EE3,EI3,EM3,EQ3,EU3,EY3,FC3,FG3,FK3,FO3,FS3)</f>
        <v>45</v>
      </c>
      <c r="GB3" s="15">
        <f>(E3+I3+M3+Q3+U3+Y3+AC3+AG3+AK3+AO3+AS3+AW3+BA3+BE3+BI3+BM3+BQ3+BU3+BY3+CC3+CG3+CK3+CO3+CS3+CW3+DA3+DE3+DI3+DM3+DQ3+DU3+FY3+DY3+EC3+EG3+EK3+EO3+ES3+EW3+FA3+FE3+FI3+FM3+FQ3+FU3)*100/GA3</f>
        <v>93.876543209876516</v>
      </c>
      <c r="GC3" s="15">
        <f>AVERAGE(D3,H3,L3,P3,T3,X3,AB3,AF3,AJ3,AN3,AR3,AV3,AZ3,BD3,BH3,BL3,BP3,BT3,BX3,CB3,CF3,CJ3,CN3,CR3,CV3,CZ3,DD3,DH3,DL3,DP3,DT3,FX3,DX3,EB3,EF3,EJ3,EN3,ER3,EV3,EZ3,FD3,FH3,FL3,FP3,FT3)</f>
        <v>8.3555555555555561</v>
      </c>
      <c r="GD3" s="15">
        <f>SQRT((F3+J3+N3+R3+V3+Z3+AD3+AH3++AL3+AP3+AT3+AX3+BB3+BF3+BJ3+BN3+BR3+BV3+BZ3+CD3+CH3+CL3+CP3+CT3+CX3+DB3+DF3+DJ3+DN3+DR3+DV3+FZ3+DZ3+ED3+EH3+EL3+EP3+ET3+EX3+FB3+FF3+FJ3+FN3+FR3+FV3)/GA3)</f>
        <v>1.2850517595378632</v>
      </c>
      <c r="GE3" s="16">
        <f>GB3</f>
        <v>93.876543209876516</v>
      </c>
      <c r="GF3" s="17" t="s">
        <v>3</v>
      </c>
      <c r="GG3" s="24">
        <f>GD3</f>
        <v>1.2850517595378632</v>
      </c>
      <c r="GH3" s="4" t="str">
        <f>IF(GB3&lt;40,"неудовлетворительно",IF((GB3&gt;=40)*AND(GB3&lt;60),"удовлетворительно",IF((GB3&gt;=60)*AND(GB3&lt;80),"хорошо","отлично")))</f>
        <v>отлично</v>
      </c>
    </row>
    <row r="4" spans="1:219" ht="39.75" customHeight="1" thickBot="1" x14ac:dyDescent="0.3">
      <c r="A4" s="21">
        <v>2</v>
      </c>
      <c r="B4" s="31" t="s">
        <v>14</v>
      </c>
      <c r="C4" s="3">
        <v>9</v>
      </c>
      <c r="D4" s="5">
        <v>9</v>
      </c>
      <c r="E4" s="12">
        <f t="shared" ref="E4:E14" si="56">D4/C4</f>
        <v>1</v>
      </c>
      <c r="F4" s="12">
        <f t="shared" si="0"/>
        <v>0.64000000000000112</v>
      </c>
      <c r="G4" s="3">
        <v>9</v>
      </c>
      <c r="H4" s="5">
        <v>8</v>
      </c>
      <c r="I4" s="12">
        <f t="shared" ref="I4:I14" si="57">H4/G4</f>
        <v>0.88888888888888884</v>
      </c>
      <c r="J4" s="12">
        <f t="shared" si="1"/>
        <v>3.9999999999999716E-2</v>
      </c>
      <c r="K4" s="3">
        <v>9</v>
      </c>
      <c r="L4" s="3">
        <v>9</v>
      </c>
      <c r="M4" s="12">
        <f t="shared" ref="M4:M14" si="58">L4/K4</f>
        <v>1</v>
      </c>
      <c r="N4" s="12">
        <f t="shared" si="2"/>
        <v>0.64000000000000112</v>
      </c>
      <c r="O4" s="3">
        <v>6</v>
      </c>
      <c r="P4" s="3">
        <v>6</v>
      </c>
      <c r="Q4" s="12">
        <f t="shared" ref="Q4:Q14" si="59">P4/O4</f>
        <v>1</v>
      </c>
      <c r="R4" s="12">
        <f t="shared" si="3"/>
        <v>4.8399999999999972</v>
      </c>
      <c r="S4" s="3">
        <v>9</v>
      </c>
      <c r="T4" s="3">
        <v>9</v>
      </c>
      <c r="U4" s="12">
        <f t="shared" ref="U4:U14" si="60">T4/S4</f>
        <v>1</v>
      </c>
      <c r="V4" s="12">
        <f t="shared" si="4"/>
        <v>0.64000000000000112</v>
      </c>
      <c r="W4" s="3">
        <v>7</v>
      </c>
      <c r="X4" s="5">
        <v>7</v>
      </c>
      <c r="Y4" s="12">
        <f t="shared" ref="Y4:Y14" si="61">X4/W4</f>
        <v>1</v>
      </c>
      <c r="Z4" s="12">
        <f t="shared" si="5"/>
        <v>1.4399999999999984</v>
      </c>
      <c r="AA4" s="3">
        <v>10</v>
      </c>
      <c r="AB4" s="5">
        <v>8</v>
      </c>
      <c r="AC4" s="12">
        <f t="shared" ref="AC4:AC14" si="62">AB4/AA4</f>
        <v>0.8</v>
      </c>
      <c r="AD4" s="12">
        <f t="shared" si="6"/>
        <v>3.9999999999999716E-2</v>
      </c>
      <c r="AE4" s="3">
        <v>9</v>
      </c>
      <c r="AF4" s="5">
        <v>9</v>
      </c>
      <c r="AG4" s="12">
        <f t="shared" ref="AG4:AG14" si="63">AF4/AE4</f>
        <v>1</v>
      </c>
      <c r="AH4" s="12">
        <f t="shared" si="7"/>
        <v>0.64000000000000112</v>
      </c>
      <c r="AI4" s="3">
        <v>9</v>
      </c>
      <c r="AJ4" s="5">
        <v>9</v>
      </c>
      <c r="AK4" s="12">
        <f t="shared" ref="AK4:AK14" si="64">AJ4/AI4</f>
        <v>1</v>
      </c>
      <c r="AL4" s="12">
        <f t="shared" si="8"/>
        <v>0.64000000000000112</v>
      </c>
      <c r="AM4" s="3">
        <v>7</v>
      </c>
      <c r="AN4" s="5">
        <v>7</v>
      </c>
      <c r="AO4" s="12">
        <f t="shared" ref="AO4:AO14" si="65">AN4/AM4</f>
        <v>1</v>
      </c>
      <c r="AP4" s="12">
        <f t="shared" si="9"/>
        <v>1.4399999999999984</v>
      </c>
      <c r="AQ4" s="3">
        <v>10</v>
      </c>
      <c r="AR4" s="5">
        <v>8</v>
      </c>
      <c r="AS4" s="12">
        <f t="shared" ref="AS4:AS14" si="66">AR4/AQ4</f>
        <v>0.8</v>
      </c>
      <c r="AT4" s="12">
        <f t="shared" si="10"/>
        <v>3.9999999999999716E-2</v>
      </c>
      <c r="AU4" s="3">
        <v>9</v>
      </c>
      <c r="AV4" s="5">
        <v>9</v>
      </c>
      <c r="AW4" s="12">
        <f t="shared" ref="AW4:AW11" si="67">AV4/AU4</f>
        <v>1</v>
      </c>
      <c r="AX4" s="12">
        <f t="shared" si="11"/>
        <v>0.64000000000000112</v>
      </c>
      <c r="AY4" s="3">
        <v>9</v>
      </c>
      <c r="AZ4" s="5">
        <v>9</v>
      </c>
      <c r="BA4" s="12">
        <f t="shared" ref="BA4:BA11" si="68">AZ4/AY4</f>
        <v>1</v>
      </c>
      <c r="BB4" s="12">
        <f t="shared" si="12"/>
        <v>0.64000000000000112</v>
      </c>
      <c r="BC4" s="3">
        <v>8</v>
      </c>
      <c r="BD4" s="5">
        <v>8</v>
      </c>
      <c r="BE4" s="12">
        <f t="shared" ref="BE4:BE11" si="69">BD4/BC4</f>
        <v>1</v>
      </c>
      <c r="BF4" s="12">
        <f t="shared" si="13"/>
        <v>3.9999999999999716E-2</v>
      </c>
      <c r="BG4" s="3">
        <v>10</v>
      </c>
      <c r="BH4" s="5">
        <v>9</v>
      </c>
      <c r="BI4" s="12">
        <f t="shared" ref="BI4:BI11" si="70">BH4/BG4</f>
        <v>0.9</v>
      </c>
      <c r="BJ4" s="12">
        <f t="shared" si="14"/>
        <v>0.64000000000000112</v>
      </c>
      <c r="BK4" s="3">
        <v>7</v>
      </c>
      <c r="BL4" s="5">
        <v>7</v>
      </c>
      <c r="BM4" s="12">
        <f t="shared" ref="BM4:BM11" si="71">BL4/BK4</f>
        <v>1</v>
      </c>
      <c r="BN4" s="12">
        <f t="shared" si="15"/>
        <v>1.4399999999999984</v>
      </c>
      <c r="BO4" s="3">
        <v>10</v>
      </c>
      <c r="BP4" s="5">
        <v>8</v>
      </c>
      <c r="BQ4" s="12">
        <f t="shared" ref="BQ4:BQ11" si="72">BP4/BO4</f>
        <v>0.8</v>
      </c>
      <c r="BR4" s="12">
        <f t="shared" si="16"/>
        <v>3.9999999999999716E-2</v>
      </c>
      <c r="BS4" s="3">
        <v>9</v>
      </c>
      <c r="BT4" s="5">
        <v>8</v>
      </c>
      <c r="BU4" s="12">
        <f t="shared" ref="BU4:BU11" si="73">BT4/BS4</f>
        <v>0.88888888888888884</v>
      </c>
      <c r="BV4" s="12">
        <f t="shared" si="17"/>
        <v>3.9999999999999716E-2</v>
      </c>
      <c r="BW4" s="3">
        <v>9</v>
      </c>
      <c r="BX4" s="5">
        <v>9</v>
      </c>
      <c r="BY4" s="12">
        <f t="shared" ref="BY4:BY11" si="74">BX4/BW4</f>
        <v>1</v>
      </c>
      <c r="BZ4" s="12">
        <f t="shared" si="18"/>
        <v>0.64000000000000112</v>
      </c>
      <c r="CA4" s="3">
        <v>10</v>
      </c>
      <c r="CB4" s="5">
        <v>9</v>
      </c>
      <c r="CC4" s="12">
        <f t="shared" ref="CC4:CC11" si="75">CB4/CA4</f>
        <v>0.9</v>
      </c>
      <c r="CD4" s="12">
        <f t="shared" si="19"/>
        <v>0.64000000000000112</v>
      </c>
      <c r="CE4" s="3">
        <v>10</v>
      </c>
      <c r="CF4" s="5">
        <v>6</v>
      </c>
      <c r="CG4" s="12">
        <f t="shared" ref="CG4:CG11" si="76">CF4/CE4</f>
        <v>0.6</v>
      </c>
      <c r="CH4" s="12">
        <f t="shared" si="20"/>
        <v>4.8399999999999972</v>
      </c>
      <c r="CI4" s="3">
        <v>7</v>
      </c>
      <c r="CJ4" s="5">
        <v>7</v>
      </c>
      <c r="CK4" s="12">
        <f t="shared" ref="CK4:CK11" si="77">CJ4/CI4</f>
        <v>1</v>
      </c>
      <c r="CL4" s="12">
        <f t="shared" si="21"/>
        <v>1.4399999999999984</v>
      </c>
      <c r="CM4" s="3">
        <v>10</v>
      </c>
      <c r="CN4" s="5">
        <v>9</v>
      </c>
      <c r="CO4" s="12">
        <f t="shared" ref="CO4:CO11" si="78">CN4/CM4</f>
        <v>0.9</v>
      </c>
      <c r="CP4" s="12">
        <f t="shared" si="22"/>
        <v>0.64000000000000112</v>
      </c>
      <c r="CQ4" s="3">
        <v>10</v>
      </c>
      <c r="CR4" s="5">
        <v>9</v>
      </c>
      <c r="CS4" s="12">
        <f t="shared" ref="CS4:CS11" si="79">CR4/CQ4</f>
        <v>0.9</v>
      </c>
      <c r="CT4" s="12">
        <f t="shared" si="23"/>
        <v>0.64000000000000112</v>
      </c>
      <c r="CU4" s="3">
        <v>9</v>
      </c>
      <c r="CV4" s="5">
        <v>9</v>
      </c>
      <c r="CW4" s="12">
        <f t="shared" ref="CW4:CW11" si="80">CV4/CU4</f>
        <v>1</v>
      </c>
      <c r="CX4" s="12">
        <f t="shared" si="24"/>
        <v>0.64000000000000112</v>
      </c>
      <c r="CY4" s="3">
        <v>9</v>
      </c>
      <c r="CZ4" s="5">
        <v>8</v>
      </c>
      <c r="DA4" s="12">
        <f t="shared" ref="DA4:DA11" si="81">CZ4/CY4</f>
        <v>0.88888888888888884</v>
      </c>
      <c r="DB4" s="12">
        <f t="shared" si="25"/>
        <v>3.9999999999999716E-2</v>
      </c>
      <c r="DC4" s="3">
        <v>9</v>
      </c>
      <c r="DD4" s="5">
        <v>6</v>
      </c>
      <c r="DE4" s="12">
        <f t="shared" ref="DE4:DE11" si="82">DD4/DC4</f>
        <v>0.66666666666666663</v>
      </c>
      <c r="DF4" s="12">
        <f t="shared" si="26"/>
        <v>4.8399999999999972</v>
      </c>
      <c r="DG4" s="3">
        <v>9</v>
      </c>
      <c r="DH4" s="5">
        <v>9</v>
      </c>
      <c r="DI4" s="12">
        <f t="shared" ref="DI4:DI11" si="83">DH4/DG4</f>
        <v>1</v>
      </c>
      <c r="DJ4" s="12">
        <f t="shared" si="27"/>
        <v>0.64000000000000112</v>
      </c>
      <c r="DK4" s="3">
        <v>9</v>
      </c>
      <c r="DL4" s="5">
        <v>9</v>
      </c>
      <c r="DM4" s="12">
        <f t="shared" ref="DM4:DM11" si="84">DL4/DK4</f>
        <v>1</v>
      </c>
      <c r="DN4" s="12">
        <f t="shared" si="28"/>
        <v>0.64000000000000112</v>
      </c>
      <c r="DO4" s="3">
        <v>7</v>
      </c>
      <c r="DP4" s="5">
        <v>7</v>
      </c>
      <c r="DQ4" s="12">
        <f t="shared" ref="DQ4:DQ11" si="85">DP4/DO4</f>
        <v>1</v>
      </c>
      <c r="DR4" s="12">
        <f t="shared" si="29"/>
        <v>1.4399999999999984</v>
      </c>
      <c r="DS4" s="3">
        <v>9</v>
      </c>
      <c r="DT4" s="5">
        <v>8</v>
      </c>
      <c r="DU4" s="12">
        <f t="shared" ref="DU4:DU11" si="86">DT4/DS4</f>
        <v>0.88888888888888884</v>
      </c>
      <c r="DV4" s="12">
        <f t="shared" si="30"/>
        <v>3.9999999999999716E-2</v>
      </c>
      <c r="DW4" s="3">
        <v>8</v>
      </c>
      <c r="DX4" s="5">
        <v>6</v>
      </c>
      <c r="DY4" s="12">
        <f t="shared" ref="DY4:DY11" si="87">DX4/DW4</f>
        <v>0.75</v>
      </c>
      <c r="DZ4" s="12">
        <f t="shared" si="31"/>
        <v>4.8399999999999972</v>
      </c>
      <c r="EA4" s="3">
        <v>7</v>
      </c>
      <c r="EB4" s="5">
        <v>6</v>
      </c>
      <c r="EC4" s="12">
        <f t="shared" si="32"/>
        <v>0.8571428571428571</v>
      </c>
      <c r="ED4" s="12">
        <f t="shared" si="33"/>
        <v>4.8399999999999972</v>
      </c>
      <c r="EE4" s="3">
        <v>8</v>
      </c>
      <c r="EF4" s="5">
        <v>8</v>
      </c>
      <c r="EG4" s="12">
        <f t="shared" si="34"/>
        <v>1</v>
      </c>
      <c r="EH4" s="12">
        <f t="shared" si="35"/>
        <v>3.9999999999999716E-2</v>
      </c>
      <c r="EI4" s="3">
        <v>8</v>
      </c>
      <c r="EJ4" s="3">
        <v>8</v>
      </c>
      <c r="EK4" s="12">
        <f t="shared" si="36"/>
        <v>1</v>
      </c>
      <c r="EL4" s="12">
        <f t="shared" si="37"/>
        <v>3.9999999999999716E-2</v>
      </c>
      <c r="EM4" s="3">
        <v>10</v>
      </c>
      <c r="EN4" s="5">
        <v>10</v>
      </c>
      <c r="EO4" s="12">
        <f t="shared" si="38"/>
        <v>1</v>
      </c>
      <c r="EP4" s="12">
        <f t="shared" si="39"/>
        <v>3.2400000000000024</v>
      </c>
      <c r="EQ4" s="3">
        <v>8</v>
      </c>
      <c r="ER4" s="5">
        <v>8</v>
      </c>
      <c r="ES4" s="12">
        <f t="shared" si="40"/>
        <v>1</v>
      </c>
      <c r="ET4" s="12">
        <f t="shared" si="41"/>
        <v>3.9999999999999716E-2</v>
      </c>
      <c r="EU4" s="3">
        <v>8</v>
      </c>
      <c r="EV4" s="5">
        <v>7</v>
      </c>
      <c r="EW4" s="12">
        <f t="shared" si="42"/>
        <v>0.875</v>
      </c>
      <c r="EX4" s="12">
        <f t="shared" si="43"/>
        <v>1.4399999999999984</v>
      </c>
      <c r="EY4" s="3">
        <v>7</v>
      </c>
      <c r="EZ4" s="5">
        <v>7</v>
      </c>
      <c r="FA4" s="12">
        <f t="shared" si="44"/>
        <v>1</v>
      </c>
      <c r="FB4" s="12">
        <f t="shared" si="45"/>
        <v>1.4399999999999984</v>
      </c>
      <c r="FC4" s="3">
        <v>9</v>
      </c>
      <c r="FD4" s="3">
        <v>8</v>
      </c>
      <c r="FE4" s="12">
        <f t="shared" si="46"/>
        <v>0.88888888888888884</v>
      </c>
      <c r="FF4" s="12">
        <f t="shared" si="47"/>
        <v>3.9999999999999716E-2</v>
      </c>
      <c r="FG4" s="3">
        <v>10</v>
      </c>
      <c r="FH4" s="5">
        <v>10</v>
      </c>
      <c r="FI4" s="12">
        <f t="shared" si="48"/>
        <v>1</v>
      </c>
      <c r="FJ4" s="12">
        <f t="shared" si="49"/>
        <v>3.2400000000000024</v>
      </c>
      <c r="FK4" s="3">
        <v>10</v>
      </c>
      <c r="FL4" s="5">
        <v>10</v>
      </c>
      <c r="FM4" s="12">
        <f t="shared" si="50"/>
        <v>1</v>
      </c>
      <c r="FN4" s="12">
        <f t="shared" si="51"/>
        <v>3.2400000000000024</v>
      </c>
      <c r="FO4" s="3">
        <v>10</v>
      </c>
      <c r="FP4" s="5">
        <v>10</v>
      </c>
      <c r="FQ4" s="12">
        <f t="shared" si="52"/>
        <v>1</v>
      </c>
      <c r="FR4" s="12">
        <f t="shared" si="53"/>
        <v>3.2400000000000024</v>
      </c>
      <c r="FS4" s="3">
        <v>9</v>
      </c>
      <c r="FT4" s="5">
        <v>9</v>
      </c>
      <c r="FU4" s="12">
        <f t="shared" si="54"/>
        <v>1</v>
      </c>
      <c r="FV4" s="12">
        <f t="shared" si="55"/>
        <v>0.64000000000000112</v>
      </c>
      <c r="FW4" s="3">
        <v>10</v>
      </c>
      <c r="FX4" s="5">
        <v>10</v>
      </c>
      <c r="FY4" s="12">
        <f t="shared" ref="FY4:FY11" si="88">FX4/FW4</f>
        <v>1</v>
      </c>
      <c r="FZ4" s="12">
        <f t="shared" ref="FZ4:FZ11" si="89">POWER(FX4-$GC4,2)</f>
        <v>3.2400000000000024</v>
      </c>
      <c r="GA4" s="4">
        <f t="shared" ref="GA4:GA14" si="90">COUNT(C4,G4,K4,O4,S4,W4,AA4,AE4,AI4,AM4,AQ4,AU4,AY4,BC4,BG4,BK4,BO4,BS4,BW4,CA4,CE4,CI4,CM4,CQ4,CU4,CY4,DC4,DG4,DK4,DO4,DS4,FW4,DW4,EA4,EE4,EI4,EM4,EQ4,EU4,EY4,FC4,FG4,FK4,FO4,FS4)</f>
        <v>45</v>
      </c>
      <c r="GB4" s="15">
        <f t="shared" ref="GB4:GB14" si="91">(E4+I4+M4+Q4+U4+Y4+AC4+AG4+AK4+AO4+AS4+AW4+BA4+BE4+BI4+BM4+BQ4+BU4+BY4+CC4+CG4+CK4+CO4+CS4+CW4+DA4+DE4+DI4+DM4+DQ4+DU4+FY4+DY4+EC4+EG4+EK4+EO4+ES4+EW4+FA4+FE4+FI4+FM4+FQ4+FU4)*100/GA4</f>
        <v>93.762786596119923</v>
      </c>
      <c r="GC4" s="15">
        <f t="shared" ref="GC4:GC11" si="92">AVERAGE(D4,H4,L4,P4,T4,X4,AB4,AF4,AJ4,AN4,AR4,AV4,AZ4,BD4,BH4,BL4,BP4,BT4,BX4,CB4,CF4,CJ4,CN4,CR4,CV4,CZ4,DD4,DH4,DL4,DP4,DT4,FX4,DX4,EB4,EF4,EJ4,EN4,ER4,EV4,EZ4,FD4,FH4,FL4,FP4,FT4)</f>
        <v>8.1999999999999993</v>
      </c>
      <c r="GD4" s="15">
        <f t="shared" ref="GD4:GD14" si="93">SQRT((F4+J4+N4+R4+V4+Z4+AD4+AH4++AL4+AP4+AT4+AX4+BB4+BF4+BJ4+BN4+BR4+BV4+BZ4+CD4+CH4+CL4+CP4+CT4+CX4+DB4+DF4+DJ4+DN4+DR4+DV4+FZ4+DZ4+ED4+EH4+EL4+EP4+ET4+EX4+FB4+FF4+FJ4+FN4+FR4+FV4)/GA4)</f>
        <v>1.16619037896906</v>
      </c>
      <c r="GE4" s="16">
        <f t="shared" ref="GE4:GE11" si="94">GB4</f>
        <v>93.762786596119923</v>
      </c>
      <c r="GF4" s="17" t="s">
        <v>3</v>
      </c>
      <c r="GG4" s="24">
        <f t="shared" ref="GG4:GG11" si="95">GD4</f>
        <v>1.16619037896906</v>
      </c>
      <c r="GH4" s="4" t="str">
        <f t="shared" ref="GH4:GH11" si="96">IF(GB4&lt;40,"неудовлетворительно",IF((GB4&gt;=40)*AND(GB4&lt;60),"удовлетворительно",IF((GB4&gt;=60)*AND(GB4&lt;80),"хорошо","отлично")))</f>
        <v>отлично</v>
      </c>
    </row>
    <row r="5" spans="1:219" ht="52.5" customHeight="1" thickBot="1" x14ac:dyDescent="0.3">
      <c r="A5" s="21">
        <v>3</v>
      </c>
      <c r="B5" s="31" t="s">
        <v>15</v>
      </c>
      <c r="C5" s="3">
        <v>10</v>
      </c>
      <c r="D5" s="5">
        <v>9</v>
      </c>
      <c r="E5" s="12">
        <f t="shared" si="56"/>
        <v>0.9</v>
      </c>
      <c r="F5" s="12">
        <f t="shared" si="0"/>
        <v>0.33382716049382682</v>
      </c>
      <c r="G5" s="3">
        <v>8</v>
      </c>
      <c r="H5" s="5">
        <v>7</v>
      </c>
      <c r="I5" s="12">
        <f t="shared" si="57"/>
        <v>0.875</v>
      </c>
      <c r="J5" s="12">
        <f t="shared" si="1"/>
        <v>2.022716049382717</v>
      </c>
      <c r="K5" s="3">
        <v>9</v>
      </c>
      <c r="L5" s="3">
        <v>9</v>
      </c>
      <c r="M5" s="12">
        <f t="shared" si="58"/>
        <v>1</v>
      </c>
      <c r="N5" s="12">
        <f t="shared" si="2"/>
        <v>0.33382716049382682</v>
      </c>
      <c r="O5" s="3">
        <v>6</v>
      </c>
      <c r="P5" s="3">
        <v>6</v>
      </c>
      <c r="Q5" s="12">
        <f t="shared" si="59"/>
        <v>1</v>
      </c>
      <c r="R5" s="12">
        <f t="shared" si="3"/>
        <v>5.8671604938271615</v>
      </c>
      <c r="S5" s="3">
        <v>9</v>
      </c>
      <c r="T5" s="3">
        <v>9</v>
      </c>
      <c r="U5" s="12">
        <f t="shared" si="60"/>
        <v>1</v>
      </c>
      <c r="V5" s="12">
        <f t="shared" si="4"/>
        <v>0.33382716049382682</v>
      </c>
      <c r="W5" s="3">
        <v>9</v>
      </c>
      <c r="X5" s="5">
        <v>9</v>
      </c>
      <c r="Y5" s="12">
        <f t="shared" si="61"/>
        <v>1</v>
      </c>
      <c r="Z5" s="12">
        <f t="shared" si="5"/>
        <v>0.33382716049382682</v>
      </c>
      <c r="AA5" s="3">
        <v>10</v>
      </c>
      <c r="AB5" s="5">
        <v>9</v>
      </c>
      <c r="AC5" s="12">
        <f t="shared" si="62"/>
        <v>0.9</v>
      </c>
      <c r="AD5" s="12">
        <f t="shared" si="6"/>
        <v>0.33382716049382682</v>
      </c>
      <c r="AE5" s="3">
        <v>9</v>
      </c>
      <c r="AF5" s="5">
        <v>8</v>
      </c>
      <c r="AG5" s="12">
        <f t="shared" si="63"/>
        <v>0.88888888888888884</v>
      </c>
      <c r="AH5" s="12">
        <f t="shared" si="7"/>
        <v>0.17827160493827185</v>
      </c>
      <c r="AI5" s="3">
        <v>9</v>
      </c>
      <c r="AJ5" s="5">
        <v>9</v>
      </c>
      <c r="AK5" s="12">
        <f t="shared" si="64"/>
        <v>1</v>
      </c>
      <c r="AL5" s="12">
        <f t="shared" si="8"/>
        <v>0.33382716049382682</v>
      </c>
      <c r="AM5" s="3">
        <v>8</v>
      </c>
      <c r="AN5" s="5">
        <v>7</v>
      </c>
      <c r="AO5" s="12">
        <f t="shared" si="65"/>
        <v>0.875</v>
      </c>
      <c r="AP5" s="12">
        <f t="shared" si="9"/>
        <v>2.022716049382717</v>
      </c>
      <c r="AQ5" s="3">
        <v>10</v>
      </c>
      <c r="AR5" s="5">
        <v>8</v>
      </c>
      <c r="AS5" s="12">
        <f t="shared" si="66"/>
        <v>0.8</v>
      </c>
      <c r="AT5" s="12">
        <f t="shared" si="10"/>
        <v>0.17827160493827185</v>
      </c>
      <c r="AU5" s="3">
        <v>8</v>
      </c>
      <c r="AV5" s="5">
        <v>8</v>
      </c>
      <c r="AW5" s="12">
        <f t="shared" si="67"/>
        <v>1</v>
      </c>
      <c r="AX5" s="12">
        <f t="shared" si="11"/>
        <v>0.17827160493827185</v>
      </c>
      <c r="AY5" s="3">
        <v>9</v>
      </c>
      <c r="AZ5" s="5">
        <v>9</v>
      </c>
      <c r="BA5" s="12">
        <f t="shared" si="68"/>
        <v>1</v>
      </c>
      <c r="BB5" s="12">
        <f t="shared" si="12"/>
        <v>0.33382716049382682</v>
      </c>
      <c r="BC5" s="3">
        <v>8</v>
      </c>
      <c r="BD5" s="5">
        <v>8</v>
      </c>
      <c r="BE5" s="12">
        <f t="shared" si="69"/>
        <v>1</v>
      </c>
      <c r="BF5" s="12">
        <f t="shared" si="13"/>
        <v>0.17827160493827185</v>
      </c>
      <c r="BG5" s="3">
        <v>8</v>
      </c>
      <c r="BH5" s="5">
        <v>8</v>
      </c>
      <c r="BI5" s="12">
        <f t="shared" si="70"/>
        <v>1</v>
      </c>
      <c r="BJ5" s="12">
        <f t="shared" si="14"/>
        <v>0.17827160493827185</v>
      </c>
      <c r="BK5" s="3">
        <v>8</v>
      </c>
      <c r="BL5" s="5">
        <v>8</v>
      </c>
      <c r="BM5" s="12">
        <f t="shared" si="71"/>
        <v>1</v>
      </c>
      <c r="BN5" s="12">
        <f t="shared" si="15"/>
        <v>0.17827160493827185</v>
      </c>
      <c r="BO5" s="3">
        <v>10</v>
      </c>
      <c r="BP5" s="5">
        <v>9</v>
      </c>
      <c r="BQ5" s="12">
        <f t="shared" si="72"/>
        <v>0.9</v>
      </c>
      <c r="BR5" s="12">
        <f t="shared" si="16"/>
        <v>0.33382716049382682</v>
      </c>
      <c r="BS5" s="3">
        <v>9</v>
      </c>
      <c r="BT5" s="5">
        <v>9</v>
      </c>
      <c r="BU5" s="12">
        <f t="shared" si="73"/>
        <v>1</v>
      </c>
      <c r="BV5" s="12">
        <f t="shared" si="17"/>
        <v>0.33382716049382682</v>
      </c>
      <c r="BW5" s="3">
        <v>9</v>
      </c>
      <c r="BX5" s="5">
        <v>9</v>
      </c>
      <c r="BY5" s="12">
        <f t="shared" si="74"/>
        <v>1</v>
      </c>
      <c r="BZ5" s="12">
        <f t="shared" si="18"/>
        <v>0.33382716049382682</v>
      </c>
      <c r="CA5" s="3">
        <v>10</v>
      </c>
      <c r="CB5" s="5">
        <v>7</v>
      </c>
      <c r="CC5" s="12">
        <f t="shared" si="75"/>
        <v>0.7</v>
      </c>
      <c r="CD5" s="12">
        <f t="shared" si="19"/>
        <v>2.022716049382717</v>
      </c>
      <c r="CE5" s="3">
        <v>10</v>
      </c>
      <c r="CF5" s="5">
        <v>5</v>
      </c>
      <c r="CG5" s="12">
        <f t="shared" si="76"/>
        <v>0.5</v>
      </c>
      <c r="CH5" s="12">
        <f t="shared" si="20"/>
        <v>11.711604938271607</v>
      </c>
      <c r="CI5" s="3">
        <v>8</v>
      </c>
      <c r="CJ5" s="5">
        <v>7</v>
      </c>
      <c r="CK5" s="12">
        <f t="shared" si="77"/>
        <v>0.875</v>
      </c>
      <c r="CL5" s="12">
        <f t="shared" si="21"/>
        <v>2.022716049382717</v>
      </c>
      <c r="CM5" s="3">
        <v>10</v>
      </c>
      <c r="CN5" s="5">
        <v>8</v>
      </c>
      <c r="CO5" s="12">
        <f t="shared" si="78"/>
        <v>0.8</v>
      </c>
      <c r="CP5" s="12">
        <f t="shared" si="22"/>
        <v>0.17827160493827185</v>
      </c>
      <c r="CQ5" s="3">
        <v>10</v>
      </c>
      <c r="CR5" s="5">
        <v>9</v>
      </c>
      <c r="CS5" s="12">
        <f t="shared" si="79"/>
        <v>0.9</v>
      </c>
      <c r="CT5" s="12">
        <f t="shared" si="23"/>
        <v>0.33382716049382682</v>
      </c>
      <c r="CU5" s="3">
        <v>9</v>
      </c>
      <c r="CV5" s="5">
        <v>9</v>
      </c>
      <c r="CW5" s="12">
        <f t="shared" si="80"/>
        <v>1</v>
      </c>
      <c r="CX5" s="12">
        <f t="shared" si="24"/>
        <v>0.33382716049382682</v>
      </c>
      <c r="CY5" s="3">
        <v>10</v>
      </c>
      <c r="CZ5" s="5">
        <v>7</v>
      </c>
      <c r="DA5" s="12">
        <f t="shared" si="81"/>
        <v>0.7</v>
      </c>
      <c r="DB5" s="12">
        <f t="shared" si="25"/>
        <v>2.022716049382717</v>
      </c>
      <c r="DC5" s="3">
        <v>8</v>
      </c>
      <c r="DD5" s="5">
        <v>7</v>
      </c>
      <c r="DE5" s="12">
        <f t="shared" si="82"/>
        <v>0.875</v>
      </c>
      <c r="DF5" s="12">
        <f t="shared" si="26"/>
        <v>2.022716049382717</v>
      </c>
      <c r="DG5" s="3">
        <v>10</v>
      </c>
      <c r="DH5" s="5">
        <v>10</v>
      </c>
      <c r="DI5" s="12">
        <f t="shared" si="83"/>
        <v>1</v>
      </c>
      <c r="DJ5" s="12">
        <f t="shared" si="27"/>
        <v>2.489382716049382</v>
      </c>
      <c r="DK5" s="3">
        <v>10</v>
      </c>
      <c r="DL5" s="5">
        <v>8</v>
      </c>
      <c r="DM5" s="12">
        <f t="shared" si="84"/>
        <v>0.8</v>
      </c>
      <c r="DN5" s="12">
        <f t="shared" si="28"/>
        <v>0.17827160493827185</v>
      </c>
      <c r="DO5" s="3">
        <v>8</v>
      </c>
      <c r="DP5" s="5">
        <v>8</v>
      </c>
      <c r="DQ5" s="12">
        <f t="shared" si="85"/>
        <v>1</v>
      </c>
      <c r="DR5" s="12">
        <f t="shared" si="29"/>
        <v>0.17827160493827185</v>
      </c>
      <c r="DS5" s="3">
        <v>8</v>
      </c>
      <c r="DT5" s="5">
        <v>8</v>
      </c>
      <c r="DU5" s="12">
        <f t="shared" si="86"/>
        <v>1</v>
      </c>
      <c r="DV5" s="12">
        <f t="shared" si="30"/>
        <v>0.17827160493827185</v>
      </c>
      <c r="DW5" s="3">
        <v>9</v>
      </c>
      <c r="DX5" s="5">
        <v>9</v>
      </c>
      <c r="DY5" s="12">
        <f t="shared" si="87"/>
        <v>1</v>
      </c>
      <c r="DZ5" s="12">
        <f t="shared" si="31"/>
        <v>0.33382716049382682</v>
      </c>
      <c r="EA5" s="3">
        <v>10</v>
      </c>
      <c r="EB5" s="5">
        <v>9</v>
      </c>
      <c r="EC5" s="12">
        <f t="shared" si="32"/>
        <v>0.9</v>
      </c>
      <c r="ED5" s="12">
        <f t="shared" si="33"/>
        <v>0.33382716049382682</v>
      </c>
      <c r="EE5" s="3">
        <v>10</v>
      </c>
      <c r="EF5" s="5">
        <v>10</v>
      </c>
      <c r="EG5" s="12">
        <f t="shared" si="34"/>
        <v>1</v>
      </c>
      <c r="EH5" s="12">
        <f t="shared" si="35"/>
        <v>2.489382716049382</v>
      </c>
      <c r="EI5" s="3">
        <v>9</v>
      </c>
      <c r="EJ5" s="3">
        <v>9</v>
      </c>
      <c r="EK5" s="12">
        <f t="shared" si="36"/>
        <v>1</v>
      </c>
      <c r="EL5" s="12">
        <f t="shared" si="37"/>
        <v>0.33382716049382682</v>
      </c>
      <c r="EM5" s="3">
        <v>10</v>
      </c>
      <c r="EN5" s="5">
        <v>9</v>
      </c>
      <c r="EO5" s="12">
        <f t="shared" si="38"/>
        <v>0.9</v>
      </c>
      <c r="EP5" s="12">
        <f t="shared" si="39"/>
        <v>0.33382716049382682</v>
      </c>
      <c r="EQ5" s="3">
        <v>8</v>
      </c>
      <c r="ER5" s="5">
        <v>7</v>
      </c>
      <c r="ES5" s="12">
        <f t="shared" si="40"/>
        <v>0.875</v>
      </c>
      <c r="ET5" s="12">
        <f t="shared" si="41"/>
        <v>2.022716049382717</v>
      </c>
      <c r="EU5" s="3">
        <v>7</v>
      </c>
      <c r="EV5" s="5">
        <v>7</v>
      </c>
      <c r="EW5" s="12">
        <f t="shared" si="42"/>
        <v>1</v>
      </c>
      <c r="EX5" s="12">
        <f t="shared" si="43"/>
        <v>2.022716049382717</v>
      </c>
      <c r="EY5" s="3">
        <v>9</v>
      </c>
      <c r="EZ5" s="5">
        <v>9</v>
      </c>
      <c r="FA5" s="12">
        <f t="shared" si="44"/>
        <v>1</v>
      </c>
      <c r="FB5" s="12">
        <f t="shared" si="45"/>
        <v>0.33382716049382682</v>
      </c>
      <c r="FC5" s="3">
        <v>10</v>
      </c>
      <c r="FD5" s="3">
        <v>10</v>
      </c>
      <c r="FE5" s="12">
        <f t="shared" si="46"/>
        <v>1</v>
      </c>
      <c r="FF5" s="12">
        <f t="shared" si="47"/>
        <v>2.489382716049382</v>
      </c>
      <c r="FG5" s="3">
        <v>10</v>
      </c>
      <c r="FH5" s="5">
        <v>10</v>
      </c>
      <c r="FI5" s="12">
        <f t="shared" si="48"/>
        <v>1</v>
      </c>
      <c r="FJ5" s="12">
        <f t="shared" si="49"/>
        <v>2.489382716049382</v>
      </c>
      <c r="FK5" s="3">
        <v>10</v>
      </c>
      <c r="FL5" s="5">
        <v>10</v>
      </c>
      <c r="FM5" s="12">
        <f t="shared" si="50"/>
        <v>1</v>
      </c>
      <c r="FN5" s="12">
        <f t="shared" si="51"/>
        <v>2.489382716049382</v>
      </c>
      <c r="FO5" s="3">
        <v>10</v>
      </c>
      <c r="FP5" s="5">
        <v>10</v>
      </c>
      <c r="FQ5" s="12">
        <f t="shared" si="52"/>
        <v>1</v>
      </c>
      <c r="FR5" s="12">
        <f t="shared" si="53"/>
        <v>2.489382716049382</v>
      </c>
      <c r="FS5" s="3">
        <v>9</v>
      </c>
      <c r="FT5" s="5">
        <v>9</v>
      </c>
      <c r="FU5" s="12">
        <f t="shared" si="54"/>
        <v>1</v>
      </c>
      <c r="FV5" s="12">
        <f t="shared" si="55"/>
        <v>0.33382716049382682</v>
      </c>
      <c r="FW5" s="3">
        <v>10</v>
      </c>
      <c r="FX5" s="5">
        <v>10</v>
      </c>
      <c r="FY5" s="12">
        <f t="shared" si="88"/>
        <v>1</v>
      </c>
      <c r="FZ5" s="12">
        <f t="shared" si="89"/>
        <v>2.489382716049382</v>
      </c>
      <c r="GA5" s="4">
        <f t="shared" si="90"/>
        <v>45</v>
      </c>
      <c r="GB5" s="15">
        <f t="shared" si="91"/>
        <v>93.25308641975306</v>
      </c>
      <c r="GC5" s="15">
        <f t="shared" si="92"/>
        <v>8.4222222222222225</v>
      </c>
      <c r="GD5" s="15">
        <f t="shared" si="93"/>
        <v>1.1448219442125565</v>
      </c>
      <c r="GE5" s="16">
        <f t="shared" si="94"/>
        <v>93.25308641975306</v>
      </c>
      <c r="GF5" s="17" t="s">
        <v>3</v>
      </c>
      <c r="GG5" s="24">
        <f t="shared" si="95"/>
        <v>1.1448219442125565</v>
      </c>
      <c r="GH5" s="4" t="str">
        <f t="shared" si="96"/>
        <v>отлично</v>
      </c>
    </row>
    <row r="6" spans="1:219" ht="30.75" customHeight="1" thickBot="1" x14ac:dyDescent="0.3">
      <c r="A6" s="21">
        <v>4</v>
      </c>
      <c r="B6" s="31" t="s">
        <v>10</v>
      </c>
      <c r="C6" s="3">
        <v>4</v>
      </c>
      <c r="D6" s="5">
        <v>4</v>
      </c>
      <c r="E6" s="8">
        <f t="shared" si="56"/>
        <v>1</v>
      </c>
      <c r="F6" s="12">
        <f t="shared" si="0"/>
        <v>13.937777777777779</v>
      </c>
      <c r="G6" s="3">
        <v>9</v>
      </c>
      <c r="H6" s="5">
        <v>8</v>
      </c>
      <c r="I6" s="12">
        <f t="shared" si="57"/>
        <v>0.88888888888888884</v>
      </c>
      <c r="J6" s="12">
        <f t="shared" si="1"/>
        <v>7.1111111111111083E-2</v>
      </c>
      <c r="K6" s="3">
        <v>9</v>
      </c>
      <c r="L6" s="3">
        <v>9</v>
      </c>
      <c r="M6" s="12">
        <f t="shared" si="58"/>
        <v>1</v>
      </c>
      <c r="N6" s="12">
        <f t="shared" si="2"/>
        <v>1.6044444444444443</v>
      </c>
      <c r="O6" s="3">
        <v>9</v>
      </c>
      <c r="P6" s="3">
        <v>9</v>
      </c>
      <c r="Q6" s="12">
        <f t="shared" si="59"/>
        <v>1</v>
      </c>
      <c r="R6" s="12">
        <f t="shared" si="3"/>
        <v>1.6044444444444443</v>
      </c>
      <c r="S6" s="3">
        <v>9</v>
      </c>
      <c r="T6" s="3">
        <v>9</v>
      </c>
      <c r="U6" s="12">
        <f t="shared" si="60"/>
        <v>1</v>
      </c>
      <c r="V6" s="12">
        <f t="shared" si="4"/>
        <v>1.6044444444444443</v>
      </c>
      <c r="W6" s="3">
        <v>9</v>
      </c>
      <c r="X6" s="5">
        <v>9</v>
      </c>
      <c r="Y6" s="12">
        <f t="shared" si="61"/>
        <v>1</v>
      </c>
      <c r="Z6" s="12">
        <f t="shared" si="5"/>
        <v>1.6044444444444443</v>
      </c>
      <c r="AA6" s="3">
        <v>10</v>
      </c>
      <c r="AB6" s="5">
        <v>8</v>
      </c>
      <c r="AC6" s="12">
        <f t="shared" si="62"/>
        <v>0.8</v>
      </c>
      <c r="AD6" s="12">
        <f t="shared" si="6"/>
        <v>7.1111111111111083E-2</v>
      </c>
      <c r="AE6" s="3">
        <v>7</v>
      </c>
      <c r="AF6" s="5">
        <v>7</v>
      </c>
      <c r="AG6" s="12">
        <f t="shared" si="63"/>
        <v>1</v>
      </c>
      <c r="AH6" s="12">
        <f t="shared" si="7"/>
        <v>0.53777777777777791</v>
      </c>
      <c r="AI6" s="3">
        <v>9</v>
      </c>
      <c r="AJ6" s="5">
        <v>8</v>
      </c>
      <c r="AK6" s="12">
        <f t="shared" si="64"/>
        <v>0.88888888888888884</v>
      </c>
      <c r="AL6" s="12">
        <f t="shared" si="8"/>
        <v>7.1111111111111083E-2</v>
      </c>
      <c r="AM6" s="3">
        <v>9</v>
      </c>
      <c r="AN6" s="5">
        <v>9</v>
      </c>
      <c r="AO6" s="12">
        <f t="shared" si="65"/>
        <v>1</v>
      </c>
      <c r="AP6" s="12">
        <f t="shared" si="9"/>
        <v>1.6044444444444443</v>
      </c>
      <c r="AQ6" s="3">
        <v>10</v>
      </c>
      <c r="AR6" s="5">
        <v>9</v>
      </c>
      <c r="AS6" s="12">
        <f t="shared" si="66"/>
        <v>0.9</v>
      </c>
      <c r="AT6" s="12">
        <f t="shared" si="10"/>
        <v>1.6044444444444443</v>
      </c>
      <c r="AU6" s="3">
        <v>8</v>
      </c>
      <c r="AV6" s="5">
        <v>8</v>
      </c>
      <c r="AW6" s="12">
        <f t="shared" si="67"/>
        <v>1</v>
      </c>
      <c r="AX6" s="12">
        <f t="shared" si="11"/>
        <v>7.1111111111111083E-2</v>
      </c>
      <c r="AY6" s="3">
        <v>8</v>
      </c>
      <c r="AZ6" s="5">
        <v>8</v>
      </c>
      <c r="BA6" s="12">
        <f t="shared" si="68"/>
        <v>1</v>
      </c>
      <c r="BB6" s="12">
        <f t="shared" si="12"/>
        <v>7.1111111111111083E-2</v>
      </c>
      <c r="BC6" s="3">
        <v>3</v>
      </c>
      <c r="BD6" s="5">
        <v>3</v>
      </c>
      <c r="BE6" s="12">
        <f t="shared" si="69"/>
        <v>1</v>
      </c>
      <c r="BF6" s="12">
        <f t="shared" si="13"/>
        <v>22.404444444444444</v>
      </c>
      <c r="BG6" s="3">
        <v>7</v>
      </c>
      <c r="BH6" s="5">
        <v>7</v>
      </c>
      <c r="BI6" s="12">
        <f t="shared" si="70"/>
        <v>1</v>
      </c>
      <c r="BJ6" s="12">
        <f t="shared" si="14"/>
        <v>0.53777777777777791</v>
      </c>
      <c r="BK6" s="3">
        <v>6</v>
      </c>
      <c r="BL6" s="5">
        <v>6</v>
      </c>
      <c r="BM6" s="12">
        <f t="shared" si="71"/>
        <v>1</v>
      </c>
      <c r="BN6" s="12">
        <f t="shared" si="15"/>
        <v>3.0044444444444447</v>
      </c>
      <c r="BO6" s="3">
        <v>7</v>
      </c>
      <c r="BP6" s="5">
        <v>6</v>
      </c>
      <c r="BQ6" s="12">
        <f t="shared" si="72"/>
        <v>0.8571428571428571</v>
      </c>
      <c r="BR6" s="12">
        <f t="shared" si="16"/>
        <v>3.0044444444444447</v>
      </c>
      <c r="BS6" s="3">
        <v>7</v>
      </c>
      <c r="BT6" s="5">
        <v>7</v>
      </c>
      <c r="BU6" s="12">
        <f t="shared" si="73"/>
        <v>1</v>
      </c>
      <c r="BV6" s="12">
        <f t="shared" si="17"/>
        <v>0.53777777777777791</v>
      </c>
      <c r="BW6" s="3">
        <v>9</v>
      </c>
      <c r="BX6" s="5">
        <v>9</v>
      </c>
      <c r="BY6" s="12">
        <f t="shared" si="74"/>
        <v>1</v>
      </c>
      <c r="BZ6" s="12">
        <f t="shared" si="18"/>
        <v>1.6044444444444443</v>
      </c>
      <c r="CA6" s="3">
        <v>10</v>
      </c>
      <c r="CB6" s="5">
        <v>8</v>
      </c>
      <c r="CC6" s="12">
        <f t="shared" si="75"/>
        <v>0.8</v>
      </c>
      <c r="CD6" s="12">
        <f t="shared" si="19"/>
        <v>7.1111111111111083E-2</v>
      </c>
      <c r="CE6" s="3">
        <v>10</v>
      </c>
      <c r="CF6" s="5">
        <v>5</v>
      </c>
      <c r="CG6" s="12">
        <f t="shared" si="76"/>
        <v>0.5</v>
      </c>
      <c r="CH6" s="12">
        <f t="shared" si="20"/>
        <v>7.471111111111111</v>
      </c>
      <c r="CI6" s="3">
        <v>7</v>
      </c>
      <c r="CJ6" s="5">
        <v>5</v>
      </c>
      <c r="CK6" s="12">
        <f t="shared" si="77"/>
        <v>0.7142857142857143</v>
      </c>
      <c r="CL6" s="12">
        <f t="shared" si="21"/>
        <v>7.471111111111111</v>
      </c>
      <c r="CM6" s="3">
        <v>10</v>
      </c>
      <c r="CN6" s="5">
        <v>10</v>
      </c>
      <c r="CO6" s="12">
        <f t="shared" si="78"/>
        <v>1</v>
      </c>
      <c r="CP6" s="12">
        <f t="shared" si="22"/>
        <v>5.1377777777777771</v>
      </c>
      <c r="CQ6" s="3">
        <v>9</v>
      </c>
      <c r="CR6" s="5">
        <v>8</v>
      </c>
      <c r="CS6" s="12">
        <f t="shared" si="79"/>
        <v>0.88888888888888884</v>
      </c>
      <c r="CT6" s="12">
        <f t="shared" si="23"/>
        <v>7.1111111111111083E-2</v>
      </c>
      <c r="CU6" s="3">
        <v>10</v>
      </c>
      <c r="CV6" s="5">
        <v>9</v>
      </c>
      <c r="CW6" s="12">
        <f t="shared" si="80"/>
        <v>0.9</v>
      </c>
      <c r="CX6" s="12">
        <f t="shared" si="24"/>
        <v>1.6044444444444443</v>
      </c>
      <c r="CY6" s="3">
        <v>6</v>
      </c>
      <c r="CZ6" s="5">
        <v>5</v>
      </c>
      <c r="DA6" s="12">
        <f t="shared" si="81"/>
        <v>0.83333333333333337</v>
      </c>
      <c r="DB6" s="12">
        <f t="shared" si="25"/>
        <v>7.471111111111111</v>
      </c>
      <c r="DC6" s="3">
        <v>9</v>
      </c>
      <c r="DD6" s="5">
        <v>6</v>
      </c>
      <c r="DE6" s="12">
        <f t="shared" si="82"/>
        <v>0.66666666666666663</v>
      </c>
      <c r="DF6" s="12">
        <f t="shared" si="26"/>
        <v>3.0044444444444447</v>
      </c>
      <c r="DG6" s="3">
        <v>8</v>
      </c>
      <c r="DH6" s="5">
        <v>9</v>
      </c>
      <c r="DI6" s="12">
        <f t="shared" si="83"/>
        <v>1.125</v>
      </c>
      <c r="DJ6" s="12">
        <f t="shared" si="27"/>
        <v>1.6044444444444443</v>
      </c>
      <c r="DK6" s="3">
        <v>9</v>
      </c>
      <c r="DL6" s="5">
        <v>9</v>
      </c>
      <c r="DM6" s="12">
        <f t="shared" si="84"/>
        <v>1</v>
      </c>
      <c r="DN6" s="12">
        <f t="shared" si="28"/>
        <v>1.6044444444444443</v>
      </c>
      <c r="DO6" s="3">
        <v>8</v>
      </c>
      <c r="DP6" s="5">
        <v>6</v>
      </c>
      <c r="DQ6" s="12">
        <f t="shared" si="85"/>
        <v>0.75</v>
      </c>
      <c r="DR6" s="12">
        <f t="shared" si="29"/>
        <v>3.0044444444444447</v>
      </c>
      <c r="DS6" s="3">
        <v>8</v>
      </c>
      <c r="DT6" s="5">
        <v>8</v>
      </c>
      <c r="DU6" s="12">
        <f t="shared" si="86"/>
        <v>1</v>
      </c>
      <c r="DV6" s="12">
        <f t="shared" si="30"/>
        <v>7.1111111111111083E-2</v>
      </c>
      <c r="DW6" s="3">
        <v>4</v>
      </c>
      <c r="DX6" s="5">
        <v>4</v>
      </c>
      <c r="DY6" s="12">
        <f t="shared" si="87"/>
        <v>1</v>
      </c>
      <c r="DZ6" s="12">
        <f t="shared" si="31"/>
        <v>13.937777777777779</v>
      </c>
      <c r="EA6" s="3">
        <v>9</v>
      </c>
      <c r="EB6" s="5">
        <v>8</v>
      </c>
      <c r="EC6" s="12">
        <f t="shared" si="32"/>
        <v>0.88888888888888884</v>
      </c>
      <c r="ED6" s="12">
        <f t="shared" si="33"/>
        <v>7.1111111111111083E-2</v>
      </c>
      <c r="EE6" s="3">
        <v>9</v>
      </c>
      <c r="EF6" s="5">
        <v>9</v>
      </c>
      <c r="EG6" s="12">
        <f t="shared" si="34"/>
        <v>1</v>
      </c>
      <c r="EH6" s="12">
        <f t="shared" si="35"/>
        <v>1.6044444444444443</v>
      </c>
      <c r="EI6" s="3">
        <v>9</v>
      </c>
      <c r="EJ6" s="3">
        <v>9</v>
      </c>
      <c r="EK6" s="12">
        <f t="shared" si="36"/>
        <v>1</v>
      </c>
      <c r="EL6" s="12">
        <f t="shared" si="37"/>
        <v>1.6044444444444443</v>
      </c>
      <c r="EM6" s="3">
        <v>10</v>
      </c>
      <c r="EN6" s="5">
        <v>9</v>
      </c>
      <c r="EO6" s="12">
        <f t="shared" si="38"/>
        <v>0.9</v>
      </c>
      <c r="EP6" s="12">
        <f t="shared" si="39"/>
        <v>1.6044444444444443</v>
      </c>
      <c r="EQ6" s="3">
        <v>10</v>
      </c>
      <c r="ER6" s="5">
        <v>10</v>
      </c>
      <c r="ES6" s="12">
        <f t="shared" si="40"/>
        <v>1</v>
      </c>
      <c r="ET6" s="12">
        <f t="shared" si="41"/>
        <v>5.1377777777777771</v>
      </c>
      <c r="EU6" s="3">
        <v>9</v>
      </c>
      <c r="EV6" s="5">
        <v>8</v>
      </c>
      <c r="EW6" s="12">
        <f t="shared" si="42"/>
        <v>0.88888888888888884</v>
      </c>
      <c r="EX6" s="12">
        <f t="shared" si="43"/>
        <v>7.1111111111111083E-2</v>
      </c>
      <c r="EY6" s="3">
        <v>4</v>
      </c>
      <c r="EZ6" s="5">
        <v>4</v>
      </c>
      <c r="FA6" s="12">
        <f t="shared" si="44"/>
        <v>1</v>
      </c>
      <c r="FB6" s="12">
        <f t="shared" si="45"/>
        <v>13.937777777777779</v>
      </c>
      <c r="FC6" s="3">
        <v>9</v>
      </c>
      <c r="FD6" s="3">
        <v>7</v>
      </c>
      <c r="FE6" s="12">
        <f t="shared" si="46"/>
        <v>0.77777777777777779</v>
      </c>
      <c r="FF6" s="12">
        <f t="shared" si="47"/>
        <v>0.53777777777777791</v>
      </c>
      <c r="FG6" s="3">
        <v>10</v>
      </c>
      <c r="FH6" s="5">
        <v>10</v>
      </c>
      <c r="FI6" s="12">
        <f t="shared" si="48"/>
        <v>1</v>
      </c>
      <c r="FJ6" s="12">
        <f t="shared" si="49"/>
        <v>5.1377777777777771</v>
      </c>
      <c r="FK6" s="3">
        <v>10</v>
      </c>
      <c r="FL6" s="5">
        <v>10</v>
      </c>
      <c r="FM6" s="12">
        <f t="shared" si="50"/>
        <v>1</v>
      </c>
      <c r="FN6" s="12">
        <f t="shared" si="51"/>
        <v>5.1377777777777771</v>
      </c>
      <c r="FO6" s="3">
        <v>10</v>
      </c>
      <c r="FP6" s="5">
        <v>10</v>
      </c>
      <c r="FQ6" s="12">
        <f t="shared" si="52"/>
        <v>1</v>
      </c>
      <c r="FR6" s="12">
        <f t="shared" si="53"/>
        <v>5.1377777777777771</v>
      </c>
      <c r="FS6" s="3">
        <v>9</v>
      </c>
      <c r="FT6" s="5">
        <v>9</v>
      </c>
      <c r="FU6" s="12">
        <f t="shared" si="54"/>
        <v>1</v>
      </c>
      <c r="FV6" s="12">
        <f t="shared" si="55"/>
        <v>1.6044444444444443</v>
      </c>
      <c r="FW6" s="3">
        <v>10</v>
      </c>
      <c r="FX6" s="5">
        <v>10</v>
      </c>
      <c r="FY6" s="12">
        <f t="shared" si="88"/>
        <v>1</v>
      </c>
      <c r="FZ6" s="12">
        <f t="shared" si="89"/>
        <v>5.1377777777777771</v>
      </c>
      <c r="GA6" s="4">
        <f t="shared" si="90"/>
        <v>45</v>
      </c>
      <c r="GB6" s="15">
        <f t="shared" si="91"/>
        <v>93.263668430335102</v>
      </c>
      <c r="GC6" s="15">
        <f t="shared" si="92"/>
        <v>7.7333333333333334</v>
      </c>
      <c r="GD6" s="15">
        <f t="shared" si="93"/>
        <v>1.8547236990991407</v>
      </c>
      <c r="GE6" s="16">
        <f t="shared" si="94"/>
        <v>93.263668430335102</v>
      </c>
      <c r="GF6" s="17" t="s">
        <v>3</v>
      </c>
      <c r="GG6" s="24">
        <f t="shared" si="95"/>
        <v>1.8547236990991407</v>
      </c>
      <c r="GH6" s="4" t="str">
        <f t="shared" si="96"/>
        <v>отлично</v>
      </c>
    </row>
    <row r="7" spans="1:219" ht="54" customHeight="1" thickBot="1" x14ac:dyDescent="0.3">
      <c r="A7" s="21">
        <v>5</v>
      </c>
      <c r="B7" s="31" t="s">
        <v>11</v>
      </c>
      <c r="C7" s="3">
        <v>10</v>
      </c>
      <c r="D7" s="5">
        <v>10</v>
      </c>
      <c r="E7" s="8">
        <f t="shared" si="56"/>
        <v>1</v>
      </c>
      <c r="F7" s="12">
        <f t="shared" si="0"/>
        <v>3.6523456790123467</v>
      </c>
      <c r="G7" s="3">
        <v>9</v>
      </c>
      <c r="H7" s="5">
        <v>9</v>
      </c>
      <c r="I7" s="12">
        <f t="shared" si="57"/>
        <v>1</v>
      </c>
      <c r="J7" s="12">
        <f t="shared" si="1"/>
        <v>0.830123456790124</v>
      </c>
      <c r="K7" s="3">
        <v>9</v>
      </c>
      <c r="L7" s="3">
        <v>9</v>
      </c>
      <c r="M7" s="12">
        <f t="shared" si="58"/>
        <v>1</v>
      </c>
      <c r="N7" s="12">
        <f t="shared" si="2"/>
        <v>0.830123456790124</v>
      </c>
      <c r="O7" s="3">
        <v>7</v>
      </c>
      <c r="P7" s="3">
        <v>7</v>
      </c>
      <c r="Q7" s="12">
        <f t="shared" si="59"/>
        <v>1</v>
      </c>
      <c r="R7" s="12">
        <f t="shared" si="3"/>
        <v>1.1856790123456784</v>
      </c>
      <c r="S7" s="3">
        <v>9</v>
      </c>
      <c r="T7" s="3">
        <v>9</v>
      </c>
      <c r="U7" s="12">
        <f t="shared" si="60"/>
        <v>1</v>
      </c>
      <c r="V7" s="12">
        <f t="shared" si="4"/>
        <v>0.830123456790124</v>
      </c>
      <c r="W7" s="3">
        <v>7</v>
      </c>
      <c r="X7" s="5">
        <v>5</v>
      </c>
      <c r="Y7" s="12">
        <f t="shared" si="61"/>
        <v>0.7142857142857143</v>
      </c>
      <c r="Z7" s="12">
        <f t="shared" si="5"/>
        <v>9.5412345679012329</v>
      </c>
      <c r="AA7" s="3">
        <v>10</v>
      </c>
      <c r="AB7" s="5">
        <v>9</v>
      </c>
      <c r="AC7" s="12">
        <f t="shared" si="62"/>
        <v>0.9</v>
      </c>
      <c r="AD7" s="12">
        <f t="shared" si="6"/>
        <v>0.830123456790124</v>
      </c>
      <c r="AE7" s="3">
        <v>8</v>
      </c>
      <c r="AF7" s="5">
        <v>8</v>
      </c>
      <c r="AG7" s="12">
        <f t="shared" si="63"/>
        <v>1</v>
      </c>
      <c r="AH7" s="12">
        <f t="shared" si="7"/>
        <v>7.9012345679011792E-3</v>
      </c>
      <c r="AI7" s="3">
        <v>10</v>
      </c>
      <c r="AJ7" s="5">
        <v>9</v>
      </c>
      <c r="AK7" s="12">
        <f t="shared" si="64"/>
        <v>0.9</v>
      </c>
      <c r="AL7" s="12">
        <f t="shared" si="8"/>
        <v>0.830123456790124</v>
      </c>
      <c r="AM7" s="3">
        <v>8</v>
      </c>
      <c r="AN7" s="5">
        <v>7</v>
      </c>
      <c r="AO7" s="12">
        <f t="shared" si="65"/>
        <v>0.875</v>
      </c>
      <c r="AP7" s="12">
        <f t="shared" si="9"/>
        <v>1.1856790123456784</v>
      </c>
      <c r="AQ7" s="3">
        <v>10</v>
      </c>
      <c r="AR7" s="5">
        <v>8</v>
      </c>
      <c r="AS7" s="12">
        <f t="shared" si="66"/>
        <v>0.8</v>
      </c>
      <c r="AT7" s="12">
        <f t="shared" si="10"/>
        <v>7.9012345679011792E-3</v>
      </c>
      <c r="AU7" s="3">
        <v>8</v>
      </c>
      <c r="AV7" s="5">
        <v>8</v>
      </c>
      <c r="AW7" s="12">
        <f t="shared" si="67"/>
        <v>1</v>
      </c>
      <c r="AX7" s="12">
        <f t="shared" si="11"/>
        <v>7.9012345679011792E-3</v>
      </c>
      <c r="AY7" s="3">
        <v>10</v>
      </c>
      <c r="AZ7" s="5">
        <v>9</v>
      </c>
      <c r="BA7" s="12">
        <f t="shared" si="68"/>
        <v>0.9</v>
      </c>
      <c r="BB7" s="12">
        <f t="shared" si="12"/>
        <v>0.830123456790124</v>
      </c>
      <c r="BC7" s="3">
        <v>3</v>
      </c>
      <c r="BD7" s="5">
        <v>3</v>
      </c>
      <c r="BE7" s="12">
        <f t="shared" si="69"/>
        <v>1</v>
      </c>
      <c r="BF7" s="12">
        <f t="shared" si="13"/>
        <v>25.896790123456785</v>
      </c>
      <c r="BG7" s="3">
        <v>8</v>
      </c>
      <c r="BH7" s="5">
        <v>8</v>
      </c>
      <c r="BI7" s="12">
        <f t="shared" si="70"/>
        <v>1</v>
      </c>
      <c r="BJ7" s="12">
        <f t="shared" si="14"/>
        <v>7.9012345679011792E-3</v>
      </c>
      <c r="BK7" s="3">
        <v>7</v>
      </c>
      <c r="BL7" s="5">
        <v>7</v>
      </c>
      <c r="BM7" s="12">
        <f t="shared" si="71"/>
        <v>1</v>
      </c>
      <c r="BN7" s="12">
        <f t="shared" si="15"/>
        <v>1.1856790123456784</v>
      </c>
      <c r="BO7" s="3">
        <v>6</v>
      </c>
      <c r="BP7" s="5">
        <v>5</v>
      </c>
      <c r="BQ7" s="12">
        <f t="shared" si="72"/>
        <v>0.83333333333333337</v>
      </c>
      <c r="BR7" s="12">
        <f t="shared" si="16"/>
        <v>9.5412345679012329</v>
      </c>
      <c r="BS7" s="3">
        <v>9</v>
      </c>
      <c r="BT7" s="5">
        <v>9</v>
      </c>
      <c r="BU7" s="12">
        <f t="shared" si="73"/>
        <v>1</v>
      </c>
      <c r="BV7" s="12">
        <f t="shared" si="17"/>
        <v>0.830123456790124</v>
      </c>
      <c r="BW7" s="3">
        <v>9</v>
      </c>
      <c r="BX7" s="5">
        <v>9</v>
      </c>
      <c r="BY7" s="12">
        <f t="shared" si="74"/>
        <v>1</v>
      </c>
      <c r="BZ7" s="12">
        <f t="shared" si="18"/>
        <v>0.830123456790124</v>
      </c>
      <c r="CA7" s="3">
        <v>10</v>
      </c>
      <c r="CB7" s="5">
        <v>9</v>
      </c>
      <c r="CC7" s="12">
        <f t="shared" si="75"/>
        <v>0.9</v>
      </c>
      <c r="CD7" s="12">
        <f t="shared" si="19"/>
        <v>0.830123456790124</v>
      </c>
      <c r="CE7" s="3">
        <v>10</v>
      </c>
      <c r="CF7" s="5">
        <v>5</v>
      </c>
      <c r="CG7" s="12">
        <f t="shared" si="76"/>
        <v>0.5</v>
      </c>
      <c r="CH7" s="12">
        <f t="shared" si="20"/>
        <v>9.5412345679012329</v>
      </c>
      <c r="CI7" s="3">
        <v>9</v>
      </c>
      <c r="CJ7" s="5">
        <v>9</v>
      </c>
      <c r="CK7" s="12">
        <f t="shared" si="77"/>
        <v>1</v>
      </c>
      <c r="CL7" s="12">
        <f t="shared" si="21"/>
        <v>0.830123456790124</v>
      </c>
      <c r="CM7" s="3">
        <v>10</v>
      </c>
      <c r="CN7" s="5">
        <v>8</v>
      </c>
      <c r="CO7" s="12">
        <f t="shared" si="78"/>
        <v>0.8</v>
      </c>
      <c r="CP7" s="12">
        <f t="shared" si="22"/>
        <v>7.9012345679011792E-3</v>
      </c>
      <c r="CQ7" s="3">
        <v>10</v>
      </c>
      <c r="CR7" s="5">
        <v>9</v>
      </c>
      <c r="CS7" s="12">
        <f t="shared" si="79"/>
        <v>0.9</v>
      </c>
      <c r="CT7" s="12">
        <f t="shared" si="23"/>
        <v>0.830123456790124</v>
      </c>
      <c r="CU7" s="3">
        <v>10</v>
      </c>
      <c r="CV7" s="5">
        <v>9</v>
      </c>
      <c r="CW7" s="12">
        <f t="shared" si="80"/>
        <v>0.9</v>
      </c>
      <c r="CX7" s="12">
        <f t="shared" si="24"/>
        <v>0.830123456790124</v>
      </c>
      <c r="CY7" s="3">
        <v>9</v>
      </c>
      <c r="CZ7" s="5">
        <v>8</v>
      </c>
      <c r="DA7" s="12">
        <f t="shared" si="81"/>
        <v>0.88888888888888884</v>
      </c>
      <c r="DB7" s="12">
        <f t="shared" si="25"/>
        <v>7.9012345679011792E-3</v>
      </c>
      <c r="DC7" s="3">
        <v>7</v>
      </c>
      <c r="DD7" s="5">
        <v>6</v>
      </c>
      <c r="DE7" s="12">
        <f t="shared" si="82"/>
        <v>0.8571428571428571</v>
      </c>
      <c r="DF7" s="12">
        <f t="shared" si="26"/>
        <v>4.3634567901234558</v>
      </c>
      <c r="DG7" s="3">
        <v>9</v>
      </c>
      <c r="DH7" s="5">
        <v>9</v>
      </c>
      <c r="DI7" s="12">
        <f t="shared" si="83"/>
        <v>1</v>
      </c>
      <c r="DJ7" s="12">
        <f t="shared" si="27"/>
        <v>0.830123456790124</v>
      </c>
      <c r="DK7" s="3">
        <v>10</v>
      </c>
      <c r="DL7" s="5">
        <v>10</v>
      </c>
      <c r="DM7" s="12">
        <f t="shared" si="84"/>
        <v>1</v>
      </c>
      <c r="DN7" s="12">
        <f t="shared" si="28"/>
        <v>3.6523456790123467</v>
      </c>
      <c r="DO7" s="3">
        <v>8</v>
      </c>
      <c r="DP7" s="5">
        <v>5</v>
      </c>
      <c r="DQ7" s="12">
        <f t="shared" si="85"/>
        <v>0.625</v>
      </c>
      <c r="DR7" s="12">
        <f t="shared" si="29"/>
        <v>9.5412345679012329</v>
      </c>
      <c r="DS7" s="3">
        <v>9</v>
      </c>
      <c r="DT7" s="5">
        <v>8</v>
      </c>
      <c r="DU7" s="12">
        <f t="shared" si="86"/>
        <v>0.88888888888888884</v>
      </c>
      <c r="DV7" s="12">
        <f t="shared" si="30"/>
        <v>7.9012345679011792E-3</v>
      </c>
      <c r="DW7" s="3">
        <v>9</v>
      </c>
      <c r="DX7" s="5">
        <v>9</v>
      </c>
      <c r="DY7" s="12">
        <f t="shared" si="87"/>
        <v>1</v>
      </c>
      <c r="DZ7" s="12">
        <f t="shared" si="31"/>
        <v>0.830123456790124</v>
      </c>
      <c r="EA7" s="3">
        <v>8</v>
      </c>
      <c r="EB7" s="5">
        <v>8</v>
      </c>
      <c r="EC7" s="12">
        <f t="shared" si="32"/>
        <v>1</v>
      </c>
      <c r="ED7" s="12">
        <f t="shared" si="33"/>
        <v>7.9012345679011792E-3</v>
      </c>
      <c r="EE7" s="3">
        <v>9</v>
      </c>
      <c r="EF7" s="5">
        <v>9</v>
      </c>
      <c r="EG7" s="12">
        <f t="shared" si="34"/>
        <v>1</v>
      </c>
      <c r="EH7" s="12">
        <f t="shared" si="35"/>
        <v>0.830123456790124</v>
      </c>
      <c r="EI7" s="3">
        <v>9</v>
      </c>
      <c r="EJ7" s="3">
        <v>9</v>
      </c>
      <c r="EK7" s="12">
        <f t="shared" si="36"/>
        <v>1</v>
      </c>
      <c r="EL7" s="12">
        <f t="shared" si="37"/>
        <v>0.830123456790124</v>
      </c>
      <c r="EM7" s="3">
        <v>10</v>
      </c>
      <c r="EN7" s="5">
        <v>9</v>
      </c>
      <c r="EO7" s="12">
        <f t="shared" si="38"/>
        <v>0.9</v>
      </c>
      <c r="EP7" s="12">
        <f t="shared" si="39"/>
        <v>0.830123456790124</v>
      </c>
      <c r="EQ7" s="3">
        <v>8</v>
      </c>
      <c r="ER7" s="5">
        <v>7</v>
      </c>
      <c r="ES7" s="12">
        <f t="shared" si="40"/>
        <v>0.875</v>
      </c>
      <c r="ET7" s="12">
        <f t="shared" si="41"/>
        <v>1.1856790123456784</v>
      </c>
      <c r="EU7" s="3">
        <v>5</v>
      </c>
      <c r="EV7" s="5">
        <v>5</v>
      </c>
      <c r="EW7" s="12">
        <f t="shared" si="42"/>
        <v>1</v>
      </c>
      <c r="EX7" s="12">
        <f t="shared" si="43"/>
        <v>9.5412345679012329</v>
      </c>
      <c r="EY7" s="3">
        <v>8</v>
      </c>
      <c r="EZ7" s="5">
        <v>8</v>
      </c>
      <c r="FA7" s="12">
        <f t="shared" si="44"/>
        <v>1</v>
      </c>
      <c r="FB7" s="12">
        <f t="shared" si="45"/>
        <v>7.9012345679011792E-3</v>
      </c>
      <c r="FC7" s="3">
        <v>9</v>
      </c>
      <c r="FD7" s="3">
        <v>8</v>
      </c>
      <c r="FE7" s="12">
        <f t="shared" si="46"/>
        <v>0.88888888888888884</v>
      </c>
      <c r="FF7" s="12">
        <f t="shared" si="47"/>
        <v>7.9012345679011792E-3</v>
      </c>
      <c r="FG7" s="3">
        <v>10</v>
      </c>
      <c r="FH7" s="5">
        <v>10</v>
      </c>
      <c r="FI7" s="12">
        <f t="shared" si="48"/>
        <v>1</v>
      </c>
      <c r="FJ7" s="12">
        <f t="shared" si="49"/>
        <v>3.6523456790123467</v>
      </c>
      <c r="FK7" s="3">
        <v>10</v>
      </c>
      <c r="FL7" s="5">
        <v>10</v>
      </c>
      <c r="FM7" s="12">
        <f t="shared" si="50"/>
        <v>1</v>
      </c>
      <c r="FN7" s="12">
        <f t="shared" si="51"/>
        <v>3.6523456790123467</v>
      </c>
      <c r="FO7" s="3">
        <v>10</v>
      </c>
      <c r="FP7" s="5">
        <v>10</v>
      </c>
      <c r="FQ7" s="12">
        <f t="shared" si="52"/>
        <v>1</v>
      </c>
      <c r="FR7" s="12">
        <f t="shared" si="53"/>
        <v>3.6523456790123467</v>
      </c>
      <c r="FS7" s="3">
        <v>9</v>
      </c>
      <c r="FT7" s="5">
        <v>9</v>
      </c>
      <c r="FU7" s="12">
        <f t="shared" si="54"/>
        <v>1</v>
      </c>
      <c r="FV7" s="12">
        <f t="shared" si="55"/>
        <v>0.830123456790124</v>
      </c>
      <c r="FW7" s="3">
        <v>10</v>
      </c>
      <c r="FX7" s="5">
        <v>10</v>
      </c>
      <c r="FY7" s="12">
        <f t="shared" si="88"/>
        <v>1</v>
      </c>
      <c r="FZ7" s="12">
        <f t="shared" si="89"/>
        <v>3.6523456790123467</v>
      </c>
      <c r="GA7" s="4">
        <f t="shared" si="90"/>
        <v>45</v>
      </c>
      <c r="GB7" s="15">
        <f t="shared" si="91"/>
        <v>92.99206349206348</v>
      </c>
      <c r="GC7" s="15">
        <f t="shared" si="92"/>
        <v>8.0888888888888886</v>
      </c>
      <c r="GD7" s="15">
        <f t="shared" si="93"/>
        <v>1.6305721180305894</v>
      </c>
      <c r="GE7" s="16">
        <f t="shared" si="94"/>
        <v>92.99206349206348</v>
      </c>
      <c r="GF7" s="17" t="s">
        <v>3</v>
      </c>
      <c r="GG7" s="24">
        <f t="shared" si="95"/>
        <v>1.6305721180305894</v>
      </c>
      <c r="GH7" s="4" t="str">
        <f t="shared" si="96"/>
        <v>отлично</v>
      </c>
    </row>
    <row r="8" spans="1:219" ht="48.75" customHeight="1" thickBot="1" x14ac:dyDescent="0.3">
      <c r="A8" s="21">
        <v>6</v>
      </c>
      <c r="B8" s="31" t="s">
        <v>12</v>
      </c>
      <c r="C8" s="3">
        <v>9</v>
      </c>
      <c r="D8" s="5">
        <v>9</v>
      </c>
      <c r="E8" s="8">
        <f t="shared" si="56"/>
        <v>1</v>
      </c>
      <c r="F8" s="12">
        <f t="shared" si="0"/>
        <v>0.75111111111111195</v>
      </c>
      <c r="G8" s="3">
        <v>9</v>
      </c>
      <c r="H8" s="5">
        <v>8</v>
      </c>
      <c r="I8" s="12">
        <f t="shared" si="57"/>
        <v>0.88888888888888884</v>
      </c>
      <c r="J8" s="12">
        <f t="shared" si="1"/>
        <v>1.7777777777777653E-2</v>
      </c>
      <c r="K8" s="3">
        <v>9</v>
      </c>
      <c r="L8" s="3">
        <v>9</v>
      </c>
      <c r="M8" s="12">
        <f t="shared" si="58"/>
        <v>1</v>
      </c>
      <c r="N8" s="12">
        <f t="shared" si="2"/>
        <v>0.75111111111111195</v>
      </c>
      <c r="O8" s="3">
        <v>7</v>
      </c>
      <c r="P8" s="3">
        <v>7</v>
      </c>
      <c r="Q8" s="12">
        <f t="shared" si="59"/>
        <v>1</v>
      </c>
      <c r="R8" s="12">
        <f t="shared" si="3"/>
        <v>1.2844444444444434</v>
      </c>
      <c r="S8" s="3">
        <v>7</v>
      </c>
      <c r="T8" s="3">
        <v>7</v>
      </c>
      <c r="U8" s="12">
        <f t="shared" si="60"/>
        <v>1</v>
      </c>
      <c r="V8" s="12">
        <f t="shared" si="4"/>
        <v>1.2844444444444434</v>
      </c>
      <c r="W8" s="3">
        <v>8</v>
      </c>
      <c r="X8" s="5">
        <v>7</v>
      </c>
      <c r="Y8" s="12">
        <f t="shared" si="61"/>
        <v>0.875</v>
      </c>
      <c r="Z8" s="12">
        <f t="shared" si="5"/>
        <v>1.2844444444444434</v>
      </c>
      <c r="AA8" s="3">
        <v>10</v>
      </c>
      <c r="AB8" s="5">
        <v>7</v>
      </c>
      <c r="AC8" s="12">
        <f t="shared" si="62"/>
        <v>0.7</v>
      </c>
      <c r="AD8" s="12">
        <f t="shared" si="6"/>
        <v>1.2844444444444434</v>
      </c>
      <c r="AE8" s="3">
        <v>9</v>
      </c>
      <c r="AF8" s="5">
        <v>8</v>
      </c>
      <c r="AG8" s="12">
        <f t="shared" si="63"/>
        <v>0.88888888888888884</v>
      </c>
      <c r="AH8" s="12">
        <f t="shared" si="7"/>
        <v>1.7777777777777653E-2</v>
      </c>
      <c r="AI8" s="3">
        <v>10</v>
      </c>
      <c r="AJ8" s="5">
        <v>8</v>
      </c>
      <c r="AK8" s="12">
        <f t="shared" si="64"/>
        <v>0.8</v>
      </c>
      <c r="AL8" s="12">
        <f t="shared" si="8"/>
        <v>1.7777777777777653E-2</v>
      </c>
      <c r="AM8" s="3">
        <v>9</v>
      </c>
      <c r="AN8" s="5">
        <v>8</v>
      </c>
      <c r="AO8" s="12">
        <f t="shared" si="65"/>
        <v>0.88888888888888884</v>
      </c>
      <c r="AP8" s="12">
        <f t="shared" si="9"/>
        <v>1.7777777777777653E-2</v>
      </c>
      <c r="AQ8" s="3">
        <v>10</v>
      </c>
      <c r="AR8" s="5">
        <v>7</v>
      </c>
      <c r="AS8" s="12">
        <f t="shared" si="66"/>
        <v>0.7</v>
      </c>
      <c r="AT8" s="12">
        <f t="shared" si="10"/>
        <v>1.2844444444444434</v>
      </c>
      <c r="AU8" s="3">
        <v>8</v>
      </c>
      <c r="AV8" s="5">
        <v>9</v>
      </c>
      <c r="AW8" s="12">
        <f t="shared" si="67"/>
        <v>1.125</v>
      </c>
      <c r="AX8" s="12">
        <f t="shared" si="11"/>
        <v>0.75111111111111195</v>
      </c>
      <c r="AY8" s="3">
        <v>9</v>
      </c>
      <c r="AZ8" s="5">
        <v>9</v>
      </c>
      <c r="BA8" s="12">
        <f t="shared" si="68"/>
        <v>1</v>
      </c>
      <c r="BB8" s="12">
        <f t="shared" si="12"/>
        <v>0.75111111111111195</v>
      </c>
      <c r="BC8" s="3">
        <v>9</v>
      </c>
      <c r="BD8" s="5">
        <v>9</v>
      </c>
      <c r="BE8" s="12">
        <f t="shared" si="69"/>
        <v>1</v>
      </c>
      <c r="BF8" s="12">
        <f t="shared" si="13"/>
        <v>0.75111111111111195</v>
      </c>
      <c r="BG8" s="3">
        <v>9</v>
      </c>
      <c r="BH8" s="5">
        <v>9</v>
      </c>
      <c r="BI8" s="12">
        <f t="shared" si="70"/>
        <v>1</v>
      </c>
      <c r="BJ8" s="12">
        <f t="shared" si="14"/>
        <v>0.75111111111111195</v>
      </c>
      <c r="BK8" s="3">
        <v>6</v>
      </c>
      <c r="BL8" s="5">
        <v>6</v>
      </c>
      <c r="BM8" s="12">
        <f t="shared" si="71"/>
        <v>1</v>
      </c>
      <c r="BN8" s="12">
        <f t="shared" si="15"/>
        <v>4.5511111111111093</v>
      </c>
      <c r="BO8" s="3">
        <v>9</v>
      </c>
      <c r="BP8" s="5">
        <v>8</v>
      </c>
      <c r="BQ8" s="12">
        <f t="shared" si="72"/>
        <v>0.88888888888888884</v>
      </c>
      <c r="BR8" s="12">
        <f t="shared" si="16"/>
        <v>1.7777777777777653E-2</v>
      </c>
      <c r="BS8" s="3">
        <v>10</v>
      </c>
      <c r="BT8" s="5">
        <v>10</v>
      </c>
      <c r="BU8" s="12">
        <f t="shared" si="73"/>
        <v>1</v>
      </c>
      <c r="BV8" s="12">
        <f t="shared" si="17"/>
        <v>3.484444444444446</v>
      </c>
      <c r="BW8" s="3">
        <v>9</v>
      </c>
      <c r="BX8" s="5">
        <v>9</v>
      </c>
      <c r="BY8" s="12">
        <f t="shared" si="74"/>
        <v>1</v>
      </c>
      <c r="BZ8" s="12">
        <f t="shared" si="18"/>
        <v>0.75111111111111195</v>
      </c>
      <c r="CA8" s="3">
        <v>10</v>
      </c>
      <c r="CB8" s="5">
        <v>8</v>
      </c>
      <c r="CC8" s="12">
        <f t="shared" si="75"/>
        <v>0.8</v>
      </c>
      <c r="CD8" s="12">
        <f t="shared" si="19"/>
        <v>1.7777777777777653E-2</v>
      </c>
      <c r="CE8" s="3">
        <v>10</v>
      </c>
      <c r="CF8" s="5">
        <v>3</v>
      </c>
      <c r="CG8" s="12">
        <f t="shared" si="76"/>
        <v>0.3</v>
      </c>
      <c r="CH8" s="12">
        <f t="shared" si="20"/>
        <v>26.351111111111106</v>
      </c>
      <c r="CI8" s="3">
        <v>9</v>
      </c>
      <c r="CJ8" s="5">
        <v>8</v>
      </c>
      <c r="CK8" s="12">
        <f t="shared" si="77"/>
        <v>0.88888888888888884</v>
      </c>
      <c r="CL8" s="12">
        <f t="shared" si="21"/>
        <v>1.7777777777777653E-2</v>
      </c>
      <c r="CM8" s="3">
        <v>10</v>
      </c>
      <c r="CN8" s="5">
        <v>9</v>
      </c>
      <c r="CO8" s="12">
        <f t="shared" si="78"/>
        <v>0.9</v>
      </c>
      <c r="CP8" s="12">
        <f t="shared" si="22"/>
        <v>0.75111111111111195</v>
      </c>
      <c r="CQ8" s="3">
        <v>9</v>
      </c>
      <c r="CR8" s="5">
        <v>8</v>
      </c>
      <c r="CS8" s="12">
        <f t="shared" si="79"/>
        <v>0.88888888888888884</v>
      </c>
      <c r="CT8" s="12">
        <f t="shared" si="23"/>
        <v>1.7777777777777653E-2</v>
      </c>
      <c r="CU8" s="3">
        <v>10</v>
      </c>
      <c r="CV8" s="5">
        <v>9</v>
      </c>
      <c r="CW8" s="12">
        <f t="shared" si="80"/>
        <v>0.9</v>
      </c>
      <c r="CX8" s="12">
        <f t="shared" si="24"/>
        <v>0.75111111111111195</v>
      </c>
      <c r="CY8" s="3">
        <v>9</v>
      </c>
      <c r="CZ8" s="5">
        <v>9</v>
      </c>
      <c r="DA8" s="12">
        <f t="shared" si="81"/>
        <v>1</v>
      </c>
      <c r="DB8" s="12">
        <f t="shared" si="25"/>
        <v>0.75111111111111195</v>
      </c>
      <c r="DC8" s="3">
        <v>9</v>
      </c>
      <c r="DD8" s="5">
        <v>5</v>
      </c>
      <c r="DE8" s="12">
        <f t="shared" si="82"/>
        <v>0.55555555555555558</v>
      </c>
      <c r="DF8" s="12">
        <f t="shared" si="26"/>
        <v>9.8177777777777742</v>
      </c>
      <c r="DG8" s="3">
        <v>10</v>
      </c>
      <c r="DH8" s="5">
        <v>9</v>
      </c>
      <c r="DI8" s="12">
        <f t="shared" si="83"/>
        <v>0.9</v>
      </c>
      <c r="DJ8" s="12">
        <f t="shared" si="27"/>
        <v>0.75111111111111195</v>
      </c>
      <c r="DK8" s="3">
        <v>9</v>
      </c>
      <c r="DL8" s="5">
        <v>9</v>
      </c>
      <c r="DM8" s="12">
        <f t="shared" si="84"/>
        <v>1</v>
      </c>
      <c r="DN8" s="12">
        <f t="shared" si="28"/>
        <v>0.75111111111111195</v>
      </c>
      <c r="DO8" s="3">
        <v>10</v>
      </c>
      <c r="DP8" s="5">
        <v>4</v>
      </c>
      <c r="DQ8" s="12">
        <f t="shared" si="85"/>
        <v>0.4</v>
      </c>
      <c r="DR8" s="12">
        <f t="shared" si="29"/>
        <v>17.08444444444444</v>
      </c>
      <c r="DS8" s="3">
        <v>8</v>
      </c>
      <c r="DT8" s="5">
        <v>8</v>
      </c>
      <c r="DU8" s="12">
        <f t="shared" si="86"/>
        <v>1</v>
      </c>
      <c r="DV8" s="12">
        <f t="shared" si="30"/>
        <v>1.7777777777777653E-2</v>
      </c>
      <c r="DW8" s="3">
        <v>9</v>
      </c>
      <c r="DX8" s="5">
        <v>9</v>
      </c>
      <c r="DY8" s="12">
        <f t="shared" si="87"/>
        <v>1</v>
      </c>
      <c r="DZ8" s="12">
        <f t="shared" si="31"/>
        <v>0.75111111111111195</v>
      </c>
      <c r="EA8" s="3">
        <v>7</v>
      </c>
      <c r="EB8" s="5">
        <v>4</v>
      </c>
      <c r="EC8" s="12">
        <f t="shared" si="32"/>
        <v>0.5714285714285714</v>
      </c>
      <c r="ED8" s="12">
        <f t="shared" si="33"/>
        <v>17.08444444444444</v>
      </c>
      <c r="EE8" s="3">
        <v>9</v>
      </c>
      <c r="EF8" s="5">
        <v>9</v>
      </c>
      <c r="EG8" s="12">
        <f t="shared" si="34"/>
        <v>1</v>
      </c>
      <c r="EH8" s="12">
        <f t="shared" si="35"/>
        <v>0.75111111111111195</v>
      </c>
      <c r="EI8" s="3">
        <v>10</v>
      </c>
      <c r="EJ8" s="3">
        <v>10</v>
      </c>
      <c r="EK8" s="12">
        <f t="shared" si="36"/>
        <v>1</v>
      </c>
      <c r="EL8" s="12">
        <f t="shared" si="37"/>
        <v>3.484444444444446</v>
      </c>
      <c r="EM8" s="3">
        <v>10</v>
      </c>
      <c r="EN8" s="5">
        <v>8</v>
      </c>
      <c r="EO8" s="12">
        <f t="shared" si="38"/>
        <v>0.8</v>
      </c>
      <c r="EP8" s="12">
        <f t="shared" si="39"/>
        <v>1.7777777777777653E-2</v>
      </c>
      <c r="EQ8" s="3">
        <v>9</v>
      </c>
      <c r="ER8" s="5">
        <v>9</v>
      </c>
      <c r="ES8" s="12">
        <f t="shared" si="40"/>
        <v>1</v>
      </c>
      <c r="ET8" s="12">
        <f t="shared" si="41"/>
        <v>0.75111111111111195</v>
      </c>
      <c r="EU8" s="3">
        <v>7</v>
      </c>
      <c r="EV8" s="5">
        <v>7</v>
      </c>
      <c r="EW8" s="12">
        <f t="shared" si="42"/>
        <v>1</v>
      </c>
      <c r="EX8" s="12">
        <f t="shared" si="43"/>
        <v>1.2844444444444434</v>
      </c>
      <c r="EY8" s="3">
        <v>10</v>
      </c>
      <c r="EZ8" s="5">
        <v>9</v>
      </c>
      <c r="FA8" s="12">
        <f t="shared" si="44"/>
        <v>0.9</v>
      </c>
      <c r="FB8" s="12">
        <f t="shared" si="45"/>
        <v>0.75111111111111195</v>
      </c>
      <c r="FC8" s="3">
        <v>10</v>
      </c>
      <c r="FD8" s="3">
        <v>9</v>
      </c>
      <c r="FE8" s="12">
        <f t="shared" si="46"/>
        <v>0.9</v>
      </c>
      <c r="FF8" s="12">
        <f t="shared" si="47"/>
        <v>0.75111111111111195</v>
      </c>
      <c r="FG8" s="3">
        <v>10</v>
      </c>
      <c r="FH8" s="5">
        <v>10</v>
      </c>
      <c r="FI8" s="12">
        <f t="shared" si="48"/>
        <v>1</v>
      </c>
      <c r="FJ8" s="12">
        <f t="shared" si="49"/>
        <v>3.484444444444446</v>
      </c>
      <c r="FK8" s="3">
        <v>10</v>
      </c>
      <c r="FL8" s="5">
        <v>10</v>
      </c>
      <c r="FM8" s="12">
        <f t="shared" si="50"/>
        <v>1</v>
      </c>
      <c r="FN8" s="12">
        <f t="shared" si="51"/>
        <v>3.484444444444446</v>
      </c>
      <c r="FO8" s="3">
        <v>10</v>
      </c>
      <c r="FP8" s="5">
        <v>10</v>
      </c>
      <c r="FQ8" s="12">
        <f t="shared" si="52"/>
        <v>1</v>
      </c>
      <c r="FR8" s="12">
        <f t="shared" si="53"/>
        <v>3.484444444444446</v>
      </c>
      <c r="FS8" s="3">
        <v>9</v>
      </c>
      <c r="FT8" s="5">
        <v>9</v>
      </c>
      <c r="FU8" s="12">
        <f t="shared" si="54"/>
        <v>1</v>
      </c>
      <c r="FV8" s="12">
        <f t="shared" si="55"/>
        <v>0.75111111111111195</v>
      </c>
      <c r="FW8" s="3">
        <v>10</v>
      </c>
      <c r="FX8" s="5">
        <v>10</v>
      </c>
      <c r="FY8" s="12">
        <f t="shared" si="88"/>
        <v>1</v>
      </c>
      <c r="FZ8" s="12">
        <f t="shared" si="89"/>
        <v>3.484444444444446</v>
      </c>
      <c r="GA8" s="4">
        <f t="shared" si="90"/>
        <v>45</v>
      </c>
      <c r="GB8" s="15">
        <f t="shared" si="91"/>
        <v>89.91181657848324</v>
      </c>
      <c r="GC8" s="15">
        <f t="shared" si="92"/>
        <v>8.1333333333333329</v>
      </c>
      <c r="GD8" s="15">
        <f t="shared" si="93"/>
        <v>1.613829124921361</v>
      </c>
      <c r="GE8" s="16">
        <f t="shared" si="94"/>
        <v>89.91181657848324</v>
      </c>
      <c r="GF8" s="17" t="s">
        <v>3</v>
      </c>
      <c r="GG8" s="24">
        <f t="shared" si="95"/>
        <v>1.613829124921361</v>
      </c>
      <c r="GH8" s="4" t="str">
        <f t="shared" si="96"/>
        <v>отлично</v>
      </c>
    </row>
    <row r="9" spans="1:219" ht="77.25" customHeight="1" thickBot="1" x14ac:dyDescent="0.3">
      <c r="A9" s="21">
        <v>7</v>
      </c>
      <c r="B9" s="31" t="s">
        <v>16</v>
      </c>
      <c r="C9" s="3">
        <v>10</v>
      </c>
      <c r="D9" s="5">
        <v>8</v>
      </c>
      <c r="E9" s="8">
        <f t="shared" si="56"/>
        <v>0.8</v>
      </c>
      <c r="F9" s="12">
        <f t="shared" si="0"/>
        <v>3.9999999999999716E-2</v>
      </c>
      <c r="G9" s="3">
        <v>9</v>
      </c>
      <c r="H9" s="5">
        <v>9</v>
      </c>
      <c r="I9" s="12">
        <f t="shared" si="57"/>
        <v>1</v>
      </c>
      <c r="J9" s="12">
        <f t="shared" si="1"/>
        <v>0.64000000000000112</v>
      </c>
      <c r="K9" s="3">
        <v>9</v>
      </c>
      <c r="L9" s="3">
        <v>9</v>
      </c>
      <c r="M9" s="12">
        <f t="shared" si="58"/>
        <v>1</v>
      </c>
      <c r="N9" s="12">
        <f t="shared" si="2"/>
        <v>0.64000000000000112</v>
      </c>
      <c r="O9" s="3">
        <v>7</v>
      </c>
      <c r="P9" s="3">
        <v>7</v>
      </c>
      <c r="Q9" s="12">
        <f t="shared" si="59"/>
        <v>1</v>
      </c>
      <c r="R9" s="12">
        <f t="shared" si="3"/>
        <v>1.4399999999999984</v>
      </c>
      <c r="S9" s="3">
        <v>7</v>
      </c>
      <c r="T9" s="3">
        <v>7</v>
      </c>
      <c r="U9" s="12">
        <f t="shared" si="60"/>
        <v>1</v>
      </c>
      <c r="V9" s="12">
        <f t="shared" si="4"/>
        <v>1.4399999999999984</v>
      </c>
      <c r="W9" s="3">
        <v>9</v>
      </c>
      <c r="X9" s="5">
        <v>9</v>
      </c>
      <c r="Y9" s="12">
        <f t="shared" si="61"/>
        <v>1</v>
      </c>
      <c r="Z9" s="12">
        <f t="shared" si="5"/>
        <v>0.64000000000000112</v>
      </c>
      <c r="AA9" s="3">
        <v>10</v>
      </c>
      <c r="AB9" s="5">
        <v>8</v>
      </c>
      <c r="AC9" s="12">
        <f t="shared" si="62"/>
        <v>0.8</v>
      </c>
      <c r="AD9" s="12">
        <f t="shared" si="6"/>
        <v>3.9999999999999716E-2</v>
      </c>
      <c r="AE9" s="3">
        <v>8</v>
      </c>
      <c r="AF9" s="5">
        <v>8</v>
      </c>
      <c r="AG9" s="12">
        <f t="shared" si="63"/>
        <v>1</v>
      </c>
      <c r="AH9" s="12">
        <f t="shared" si="7"/>
        <v>3.9999999999999716E-2</v>
      </c>
      <c r="AI9" s="3">
        <v>10</v>
      </c>
      <c r="AJ9" s="5">
        <v>8</v>
      </c>
      <c r="AK9" s="12">
        <f t="shared" si="64"/>
        <v>0.8</v>
      </c>
      <c r="AL9" s="12">
        <f t="shared" si="8"/>
        <v>3.9999999999999716E-2</v>
      </c>
      <c r="AM9" s="3">
        <v>7</v>
      </c>
      <c r="AN9" s="5">
        <v>7</v>
      </c>
      <c r="AO9" s="12">
        <f t="shared" si="65"/>
        <v>1</v>
      </c>
      <c r="AP9" s="12">
        <f t="shared" si="9"/>
        <v>1.4399999999999984</v>
      </c>
      <c r="AQ9" s="3">
        <v>10</v>
      </c>
      <c r="AR9" s="5">
        <v>7</v>
      </c>
      <c r="AS9" s="12">
        <f t="shared" si="66"/>
        <v>0.7</v>
      </c>
      <c r="AT9" s="12">
        <f t="shared" si="10"/>
        <v>1.4399999999999984</v>
      </c>
      <c r="AU9" s="3">
        <v>9</v>
      </c>
      <c r="AV9" s="5">
        <v>9</v>
      </c>
      <c r="AW9" s="12">
        <f t="shared" si="67"/>
        <v>1</v>
      </c>
      <c r="AX9" s="12">
        <f t="shared" si="11"/>
        <v>0.64000000000000112</v>
      </c>
      <c r="AY9" s="3">
        <v>10</v>
      </c>
      <c r="AZ9" s="5">
        <v>9</v>
      </c>
      <c r="BA9" s="12">
        <f t="shared" si="68"/>
        <v>0.9</v>
      </c>
      <c r="BB9" s="12">
        <f t="shared" si="12"/>
        <v>0.64000000000000112</v>
      </c>
      <c r="BC9" s="3">
        <v>6</v>
      </c>
      <c r="BD9" s="5">
        <v>6</v>
      </c>
      <c r="BE9" s="12">
        <f t="shared" si="69"/>
        <v>1</v>
      </c>
      <c r="BF9" s="12">
        <f t="shared" si="13"/>
        <v>4.8399999999999972</v>
      </c>
      <c r="BG9" s="3">
        <v>8</v>
      </c>
      <c r="BH9" s="5">
        <v>8</v>
      </c>
      <c r="BI9" s="12">
        <f t="shared" si="70"/>
        <v>1</v>
      </c>
      <c r="BJ9" s="12">
        <f t="shared" si="14"/>
        <v>3.9999999999999716E-2</v>
      </c>
      <c r="BK9" s="3">
        <v>7</v>
      </c>
      <c r="BL9" s="5">
        <v>7</v>
      </c>
      <c r="BM9" s="12">
        <f t="shared" si="71"/>
        <v>1</v>
      </c>
      <c r="BN9" s="12">
        <f t="shared" si="15"/>
        <v>1.4399999999999984</v>
      </c>
      <c r="BO9" s="3">
        <v>7</v>
      </c>
      <c r="BP9" s="5">
        <v>7</v>
      </c>
      <c r="BQ9" s="12">
        <f t="shared" si="72"/>
        <v>1</v>
      </c>
      <c r="BR9" s="12">
        <f t="shared" si="16"/>
        <v>1.4399999999999984</v>
      </c>
      <c r="BS9" s="3">
        <v>8</v>
      </c>
      <c r="BT9" s="5">
        <v>8</v>
      </c>
      <c r="BU9" s="12">
        <f t="shared" si="73"/>
        <v>1</v>
      </c>
      <c r="BV9" s="12">
        <f t="shared" si="17"/>
        <v>3.9999999999999716E-2</v>
      </c>
      <c r="BW9" s="3">
        <v>8</v>
      </c>
      <c r="BX9" s="5">
        <v>8</v>
      </c>
      <c r="BY9" s="12">
        <f t="shared" si="74"/>
        <v>1</v>
      </c>
      <c r="BZ9" s="12">
        <f t="shared" si="18"/>
        <v>3.9999999999999716E-2</v>
      </c>
      <c r="CA9" s="3">
        <v>10</v>
      </c>
      <c r="CB9" s="5">
        <v>9</v>
      </c>
      <c r="CC9" s="12">
        <f t="shared" si="75"/>
        <v>0.9</v>
      </c>
      <c r="CD9" s="12">
        <f t="shared" si="19"/>
        <v>0.64000000000000112</v>
      </c>
      <c r="CE9" s="3">
        <v>10</v>
      </c>
      <c r="CF9" s="5">
        <v>6</v>
      </c>
      <c r="CG9" s="12">
        <f t="shared" si="76"/>
        <v>0.6</v>
      </c>
      <c r="CH9" s="12">
        <f t="shared" si="20"/>
        <v>4.8399999999999972</v>
      </c>
      <c r="CI9" s="3">
        <v>10</v>
      </c>
      <c r="CJ9" s="5">
        <v>10</v>
      </c>
      <c r="CK9" s="12">
        <f t="shared" si="77"/>
        <v>1</v>
      </c>
      <c r="CL9" s="12">
        <f t="shared" si="21"/>
        <v>3.2400000000000024</v>
      </c>
      <c r="CM9" s="3">
        <v>10</v>
      </c>
      <c r="CN9" s="5">
        <v>9</v>
      </c>
      <c r="CO9" s="12">
        <f t="shared" si="78"/>
        <v>0.9</v>
      </c>
      <c r="CP9" s="12">
        <f t="shared" si="22"/>
        <v>0.64000000000000112</v>
      </c>
      <c r="CQ9" s="3">
        <v>10</v>
      </c>
      <c r="CR9" s="5">
        <v>9</v>
      </c>
      <c r="CS9" s="12">
        <f t="shared" si="79"/>
        <v>0.9</v>
      </c>
      <c r="CT9" s="12">
        <f t="shared" si="23"/>
        <v>0.64000000000000112</v>
      </c>
      <c r="CU9" s="3">
        <v>9</v>
      </c>
      <c r="CV9" s="5">
        <v>9</v>
      </c>
      <c r="CW9" s="12">
        <f t="shared" si="80"/>
        <v>1</v>
      </c>
      <c r="CX9" s="12">
        <f t="shared" si="24"/>
        <v>0.64000000000000112</v>
      </c>
      <c r="CY9" s="3">
        <v>10</v>
      </c>
      <c r="CZ9" s="5">
        <v>9</v>
      </c>
      <c r="DA9" s="12">
        <f t="shared" si="81"/>
        <v>0.9</v>
      </c>
      <c r="DB9" s="12">
        <f t="shared" si="25"/>
        <v>0.64000000000000112</v>
      </c>
      <c r="DC9" s="3">
        <v>8</v>
      </c>
      <c r="DD9" s="5">
        <v>6</v>
      </c>
      <c r="DE9" s="12">
        <f t="shared" si="82"/>
        <v>0.75</v>
      </c>
      <c r="DF9" s="12">
        <f t="shared" si="26"/>
        <v>4.8399999999999972</v>
      </c>
      <c r="DG9" s="3">
        <v>8</v>
      </c>
      <c r="DH9" s="5">
        <v>8</v>
      </c>
      <c r="DI9" s="12">
        <f t="shared" si="83"/>
        <v>1</v>
      </c>
      <c r="DJ9" s="12">
        <f t="shared" si="27"/>
        <v>3.9999999999999716E-2</v>
      </c>
      <c r="DK9" s="3">
        <v>9</v>
      </c>
      <c r="DL9" s="5">
        <v>8</v>
      </c>
      <c r="DM9" s="12">
        <f t="shared" si="84"/>
        <v>0.88888888888888884</v>
      </c>
      <c r="DN9" s="12">
        <f t="shared" si="28"/>
        <v>3.9999999999999716E-2</v>
      </c>
      <c r="DO9" s="3">
        <v>5</v>
      </c>
      <c r="DP9" s="5">
        <v>5</v>
      </c>
      <c r="DQ9" s="12">
        <f t="shared" si="85"/>
        <v>1</v>
      </c>
      <c r="DR9" s="12">
        <f t="shared" si="29"/>
        <v>10.239999999999995</v>
      </c>
      <c r="DS9" s="3">
        <v>9</v>
      </c>
      <c r="DT9" s="5">
        <v>9</v>
      </c>
      <c r="DU9" s="12">
        <f t="shared" si="86"/>
        <v>1</v>
      </c>
      <c r="DV9" s="12">
        <f t="shared" si="30"/>
        <v>0.64000000000000112</v>
      </c>
      <c r="DW9" s="3">
        <v>8</v>
      </c>
      <c r="DX9" s="5">
        <v>8</v>
      </c>
      <c r="DY9" s="12">
        <f t="shared" si="87"/>
        <v>1</v>
      </c>
      <c r="DZ9" s="12">
        <f t="shared" si="31"/>
        <v>3.9999999999999716E-2</v>
      </c>
      <c r="EA9" s="3">
        <v>8</v>
      </c>
      <c r="EB9" s="5">
        <v>6</v>
      </c>
      <c r="EC9" s="12">
        <f t="shared" si="32"/>
        <v>0.75</v>
      </c>
      <c r="ED9" s="12">
        <f t="shared" si="33"/>
        <v>4.8399999999999972</v>
      </c>
      <c r="EE9" s="3">
        <v>8</v>
      </c>
      <c r="EF9" s="5">
        <v>8</v>
      </c>
      <c r="EG9" s="12">
        <f t="shared" si="34"/>
        <v>1</v>
      </c>
      <c r="EH9" s="12">
        <f t="shared" si="35"/>
        <v>3.9999999999999716E-2</v>
      </c>
      <c r="EI9" s="3">
        <v>9</v>
      </c>
      <c r="EJ9" s="3">
        <v>9</v>
      </c>
      <c r="EK9" s="12">
        <f t="shared" si="36"/>
        <v>1</v>
      </c>
      <c r="EL9" s="12">
        <f t="shared" si="37"/>
        <v>0.64000000000000112</v>
      </c>
      <c r="EM9" s="3">
        <v>10</v>
      </c>
      <c r="EN9" s="5">
        <v>9</v>
      </c>
      <c r="EO9" s="12">
        <f t="shared" si="38"/>
        <v>0.9</v>
      </c>
      <c r="EP9" s="12">
        <f t="shared" si="39"/>
        <v>0.64000000000000112</v>
      </c>
      <c r="EQ9" s="3">
        <v>10</v>
      </c>
      <c r="ER9" s="5">
        <v>9</v>
      </c>
      <c r="ES9" s="12">
        <f t="shared" si="40"/>
        <v>0.9</v>
      </c>
      <c r="ET9" s="12">
        <f t="shared" si="41"/>
        <v>0.64000000000000112</v>
      </c>
      <c r="EU9" s="3">
        <v>8</v>
      </c>
      <c r="EV9" s="5">
        <v>7</v>
      </c>
      <c r="EW9" s="12">
        <f t="shared" si="42"/>
        <v>0.875</v>
      </c>
      <c r="EX9" s="12">
        <f t="shared" si="43"/>
        <v>1.4399999999999984</v>
      </c>
      <c r="EY9" s="3">
        <v>8</v>
      </c>
      <c r="EZ9" s="5">
        <v>8</v>
      </c>
      <c r="FA9" s="12">
        <f t="shared" si="44"/>
        <v>1</v>
      </c>
      <c r="FB9" s="12">
        <f t="shared" si="45"/>
        <v>3.9999999999999716E-2</v>
      </c>
      <c r="FC9" s="3">
        <v>10</v>
      </c>
      <c r="FD9" s="3">
        <v>10</v>
      </c>
      <c r="FE9" s="12">
        <f t="shared" si="46"/>
        <v>1</v>
      </c>
      <c r="FF9" s="12">
        <f t="shared" si="47"/>
        <v>3.2400000000000024</v>
      </c>
      <c r="FG9" s="3">
        <v>10</v>
      </c>
      <c r="FH9" s="5">
        <v>10</v>
      </c>
      <c r="FI9" s="12">
        <f t="shared" si="48"/>
        <v>1</v>
      </c>
      <c r="FJ9" s="12">
        <f t="shared" si="49"/>
        <v>3.2400000000000024</v>
      </c>
      <c r="FK9" s="3">
        <v>10</v>
      </c>
      <c r="FL9" s="5">
        <v>10</v>
      </c>
      <c r="FM9" s="12">
        <f t="shared" si="50"/>
        <v>1</v>
      </c>
      <c r="FN9" s="12">
        <f t="shared" si="51"/>
        <v>3.2400000000000024</v>
      </c>
      <c r="FO9" s="3">
        <v>10</v>
      </c>
      <c r="FP9" s="5">
        <v>10</v>
      </c>
      <c r="FQ9" s="12">
        <f t="shared" si="52"/>
        <v>1</v>
      </c>
      <c r="FR9" s="12">
        <f t="shared" si="53"/>
        <v>3.2400000000000024</v>
      </c>
      <c r="FS9" s="3">
        <v>9</v>
      </c>
      <c r="FT9" s="5">
        <v>9</v>
      </c>
      <c r="FU9" s="12">
        <f t="shared" si="54"/>
        <v>1</v>
      </c>
      <c r="FV9" s="12">
        <f t="shared" si="55"/>
        <v>0.64000000000000112</v>
      </c>
      <c r="FW9" s="3">
        <v>10</v>
      </c>
      <c r="FX9" s="5">
        <v>10</v>
      </c>
      <c r="FY9" s="12">
        <f t="shared" si="88"/>
        <v>1</v>
      </c>
      <c r="FZ9" s="12">
        <f t="shared" si="89"/>
        <v>3.2400000000000024</v>
      </c>
      <c r="GA9" s="4">
        <f t="shared" si="90"/>
        <v>45</v>
      </c>
      <c r="GB9" s="15">
        <f t="shared" si="91"/>
        <v>93.919753086419746</v>
      </c>
      <c r="GC9" s="15">
        <f t="shared" si="92"/>
        <v>8.1999999999999993</v>
      </c>
      <c r="GD9" s="15">
        <f t="shared" si="93"/>
        <v>1.2400716825158851</v>
      </c>
      <c r="GE9" s="16">
        <f t="shared" si="94"/>
        <v>93.919753086419746</v>
      </c>
      <c r="GF9" s="17" t="s">
        <v>3</v>
      </c>
      <c r="GG9" s="24">
        <f t="shared" si="95"/>
        <v>1.2400716825158851</v>
      </c>
      <c r="GH9" s="4" t="str">
        <f t="shared" si="96"/>
        <v>отлично</v>
      </c>
    </row>
    <row r="10" spans="1:219" ht="85.5" customHeight="1" thickBot="1" x14ac:dyDescent="0.3">
      <c r="A10" s="21">
        <v>8</v>
      </c>
      <c r="B10" s="31" t="s">
        <v>17</v>
      </c>
      <c r="C10" s="3">
        <v>6</v>
      </c>
      <c r="D10" s="5">
        <v>6</v>
      </c>
      <c r="E10" s="8">
        <f t="shared" si="56"/>
        <v>1</v>
      </c>
      <c r="F10" s="12">
        <f t="shared" si="0"/>
        <v>5.6538271604938295</v>
      </c>
      <c r="G10" s="3">
        <v>8</v>
      </c>
      <c r="H10" s="5">
        <v>8</v>
      </c>
      <c r="I10" s="12">
        <f t="shared" si="57"/>
        <v>1</v>
      </c>
      <c r="J10" s="12">
        <f t="shared" si="1"/>
        <v>0.14271604938271637</v>
      </c>
      <c r="K10" s="3">
        <v>10</v>
      </c>
      <c r="L10" s="3">
        <v>10</v>
      </c>
      <c r="M10" s="12">
        <f t="shared" si="58"/>
        <v>1</v>
      </c>
      <c r="N10" s="12">
        <f t="shared" si="2"/>
        <v>2.6316049382716034</v>
      </c>
      <c r="O10" s="3">
        <v>9</v>
      </c>
      <c r="P10" s="3">
        <v>9</v>
      </c>
      <c r="Q10" s="12">
        <f t="shared" si="59"/>
        <v>1</v>
      </c>
      <c r="R10" s="12">
        <f t="shared" si="3"/>
        <v>0.38716049382715995</v>
      </c>
      <c r="S10" s="3">
        <v>9</v>
      </c>
      <c r="T10" s="3">
        <v>9</v>
      </c>
      <c r="U10" s="12">
        <f t="shared" si="60"/>
        <v>1</v>
      </c>
      <c r="V10" s="12">
        <f t="shared" si="4"/>
        <v>0.38716049382715995</v>
      </c>
      <c r="W10" s="3">
        <v>8</v>
      </c>
      <c r="X10" s="5">
        <v>8</v>
      </c>
      <c r="Y10" s="12">
        <f t="shared" si="61"/>
        <v>1</v>
      </c>
      <c r="Z10" s="12">
        <f t="shared" si="5"/>
        <v>0.14271604938271637</v>
      </c>
      <c r="AA10" s="3">
        <v>10</v>
      </c>
      <c r="AB10" s="5">
        <v>9</v>
      </c>
      <c r="AC10" s="12">
        <f t="shared" si="62"/>
        <v>0.9</v>
      </c>
      <c r="AD10" s="12">
        <f t="shared" si="6"/>
        <v>0.38716049382715995</v>
      </c>
      <c r="AE10" s="3">
        <v>8</v>
      </c>
      <c r="AF10" s="5">
        <v>8</v>
      </c>
      <c r="AG10" s="12">
        <f t="shared" si="63"/>
        <v>1</v>
      </c>
      <c r="AH10" s="12">
        <f t="shared" si="7"/>
        <v>0.14271604938271637</v>
      </c>
      <c r="AI10" s="3">
        <v>9</v>
      </c>
      <c r="AJ10" s="5">
        <v>8</v>
      </c>
      <c r="AK10" s="12">
        <f t="shared" si="64"/>
        <v>0.88888888888888884</v>
      </c>
      <c r="AL10" s="12">
        <f t="shared" si="8"/>
        <v>0.14271604938271637</v>
      </c>
      <c r="AM10" s="3">
        <v>8</v>
      </c>
      <c r="AN10" s="5">
        <v>8</v>
      </c>
      <c r="AO10" s="12">
        <f t="shared" si="65"/>
        <v>1</v>
      </c>
      <c r="AP10" s="12">
        <f t="shared" si="9"/>
        <v>0.14271604938271637</v>
      </c>
      <c r="AQ10" s="3">
        <v>10</v>
      </c>
      <c r="AR10" s="5">
        <v>9</v>
      </c>
      <c r="AS10" s="12">
        <f t="shared" si="66"/>
        <v>0.9</v>
      </c>
      <c r="AT10" s="12">
        <f t="shared" si="10"/>
        <v>0.38716049382715995</v>
      </c>
      <c r="AU10" s="3">
        <v>9</v>
      </c>
      <c r="AV10" s="5">
        <v>8</v>
      </c>
      <c r="AW10" s="12">
        <f t="shared" si="67"/>
        <v>0.88888888888888884</v>
      </c>
      <c r="AX10" s="12">
        <f t="shared" si="11"/>
        <v>0.14271604938271637</v>
      </c>
      <c r="AY10" s="3">
        <v>9</v>
      </c>
      <c r="AZ10" s="5">
        <v>9</v>
      </c>
      <c r="BA10" s="12">
        <f t="shared" si="68"/>
        <v>1</v>
      </c>
      <c r="BB10" s="12">
        <f t="shared" si="12"/>
        <v>0.38716049382715995</v>
      </c>
      <c r="BC10" s="3">
        <v>4</v>
      </c>
      <c r="BD10" s="5">
        <v>4</v>
      </c>
      <c r="BE10" s="12">
        <f t="shared" si="69"/>
        <v>1</v>
      </c>
      <c r="BF10" s="12">
        <f t="shared" si="13"/>
        <v>19.164938271604942</v>
      </c>
      <c r="BG10" s="3">
        <v>8</v>
      </c>
      <c r="BH10" s="5">
        <v>8</v>
      </c>
      <c r="BI10" s="12">
        <f t="shared" si="70"/>
        <v>1</v>
      </c>
      <c r="BJ10" s="12">
        <f t="shared" si="14"/>
        <v>0.14271604938271637</v>
      </c>
      <c r="BK10" s="3">
        <v>8</v>
      </c>
      <c r="BL10" s="5">
        <v>8</v>
      </c>
      <c r="BM10" s="12">
        <f t="shared" si="71"/>
        <v>1</v>
      </c>
      <c r="BN10" s="12">
        <f t="shared" si="15"/>
        <v>0.14271604938271637</v>
      </c>
      <c r="BO10" s="3">
        <v>9</v>
      </c>
      <c r="BP10" s="5">
        <v>7</v>
      </c>
      <c r="BQ10" s="12">
        <f t="shared" si="72"/>
        <v>0.77777777777777779</v>
      </c>
      <c r="BR10" s="12">
        <f t="shared" si="16"/>
        <v>1.8982716049382728</v>
      </c>
      <c r="BS10" s="3">
        <v>9</v>
      </c>
      <c r="BT10" s="5">
        <v>9</v>
      </c>
      <c r="BU10" s="12">
        <f t="shared" si="73"/>
        <v>1</v>
      </c>
      <c r="BV10" s="12">
        <f t="shared" si="17"/>
        <v>0.38716049382715995</v>
      </c>
      <c r="BW10" s="3">
        <v>9</v>
      </c>
      <c r="BX10" s="5">
        <v>9</v>
      </c>
      <c r="BY10" s="12">
        <f t="shared" si="74"/>
        <v>1</v>
      </c>
      <c r="BZ10" s="12">
        <f t="shared" si="18"/>
        <v>0.38716049382715995</v>
      </c>
      <c r="CA10" s="3">
        <v>10</v>
      </c>
      <c r="CB10" s="5">
        <v>8</v>
      </c>
      <c r="CC10" s="12">
        <f t="shared" si="75"/>
        <v>0.8</v>
      </c>
      <c r="CD10" s="12">
        <f t="shared" si="19"/>
        <v>0.14271604938271637</v>
      </c>
      <c r="CE10" s="3">
        <v>10</v>
      </c>
      <c r="CF10" s="5">
        <v>8</v>
      </c>
      <c r="CG10" s="12">
        <f t="shared" si="76"/>
        <v>0.8</v>
      </c>
      <c r="CH10" s="12">
        <f t="shared" si="20"/>
        <v>0.14271604938271637</v>
      </c>
      <c r="CI10" s="3">
        <v>7</v>
      </c>
      <c r="CJ10" s="5">
        <v>7</v>
      </c>
      <c r="CK10" s="12">
        <f t="shared" si="77"/>
        <v>1</v>
      </c>
      <c r="CL10" s="12">
        <f t="shared" si="21"/>
        <v>1.8982716049382728</v>
      </c>
      <c r="CM10" s="3">
        <v>10</v>
      </c>
      <c r="CN10" s="5">
        <v>8</v>
      </c>
      <c r="CO10" s="12">
        <f t="shared" si="78"/>
        <v>0.8</v>
      </c>
      <c r="CP10" s="12">
        <f t="shared" si="22"/>
        <v>0.14271604938271637</v>
      </c>
      <c r="CQ10" s="3">
        <v>10</v>
      </c>
      <c r="CR10" s="5">
        <v>9</v>
      </c>
      <c r="CS10" s="12">
        <f t="shared" si="79"/>
        <v>0.9</v>
      </c>
      <c r="CT10" s="12">
        <f t="shared" si="23"/>
        <v>0.38716049382715995</v>
      </c>
      <c r="CU10" s="3">
        <v>9</v>
      </c>
      <c r="CV10" s="5">
        <v>9</v>
      </c>
      <c r="CW10" s="12">
        <f t="shared" si="80"/>
        <v>1</v>
      </c>
      <c r="CX10" s="12">
        <f t="shared" si="24"/>
        <v>0.38716049382715995</v>
      </c>
      <c r="CY10" s="3">
        <v>9</v>
      </c>
      <c r="CZ10" s="5">
        <v>8</v>
      </c>
      <c r="DA10" s="12">
        <f t="shared" si="81"/>
        <v>0.88888888888888884</v>
      </c>
      <c r="DB10" s="12">
        <f t="shared" si="25"/>
        <v>0.14271604938271637</v>
      </c>
      <c r="DC10" s="3">
        <v>7</v>
      </c>
      <c r="DD10" s="5">
        <v>5</v>
      </c>
      <c r="DE10" s="12">
        <f t="shared" si="82"/>
        <v>0.7142857142857143</v>
      </c>
      <c r="DF10" s="12">
        <f t="shared" si="26"/>
        <v>11.409382716049386</v>
      </c>
      <c r="DG10" s="3">
        <v>9</v>
      </c>
      <c r="DH10" s="5">
        <v>9</v>
      </c>
      <c r="DI10" s="12">
        <f t="shared" si="83"/>
        <v>1</v>
      </c>
      <c r="DJ10" s="12">
        <f t="shared" si="27"/>
        <v>0.38716049382715995</v>
      </c>
      <c r="DK10" s="3">
        <v>8</v>
      </c>
      <c r="DL10" s="5">
        <v>7</v>
      </c>
      <c r="DM10" s="12">
        <f t="shared" si="84"/>
        <v>0.875</v>
      </c>
      <c r="DN10" s="12">
        <f t="shared" si="28"/>
        <v>1.8982716049382728</v>
      </c>
      <c r="DO10" s="3">
        <v>10</v>
      </c>
      <c r="DP10" s="5">
        <v>10</v>
      </c>
      <c r="DQ10" s="12">
        <f t="shared" si="85"/>
        <v>1</v>
      </c>
      <c r="DR10" s="12">
        <f t="shared" si="29"/>
        <v>2.6316049382716034</v>
      </c>
      <c r="DS10" s="3">
        <v>8</v>
      </c>
      <c r="DT10" s="5">
        <v>8</v>
      </c>
      <c r="DU10" s="12">
        <f t="shared" si="86"/>
        <v>1</v>
      </c>
      <c r="DV10" s="12">
        <f t="shared" si="30"/>
        <v>0.14271604938271637</v>
      </c>
      <c r="DW10" s="3">
        <v>9</v>
      </c>
      <c r="DX10" s="5">
        <v>9</v>
      </c>
      <c r="DY10" s="12">
        <f t="shared" si="87"/>
        <v>1</v>
      </c>
      <c r="DZ10" s="12">
        <f t="shared" si="31"/>
        <v>0.38716049382715995</v>
      </c>
      <c r="EA10" s="3">
        <v>8</v>
      </c>
      <c r="EB10" s="5">
        <v>8</v>
      </c>
      <c r="EC10" s="12">
        <f t="shared" si="32"/>
        <v>1</v>
      </c>
      <c r="ED10" s="12">
        <f t="shared" si="33"/>
        <v>0.14271604938271637</v>
      </c>
      <c r="EE10" s="3">
        <v>9</v>
      </c>
      <c r="EF10" s="5">
        <v>9</v>
      </c>
      <c r="EG10" s="12">
        <f t="shared" si="34"/>
        <v>1</v>
      </c>
      <c r="EH10" s="12">
        <f t="shared" si="35"/>
        <v>0.38716049382715995</v>
      </c>
      <c r="EI10" s="3">
        <v>9</v>
      </c>
      <c r="EJ10" s="3">
        <v>9</v>
      </c>
      <c r="EK10" s="12">
        <f t="shared" si="36"/>
        <v>1</v>
      </c>
      <c r="EL10" s="12">
        <f t="shared" si="37"/>
        <v>0.38716049382715995</v>
      </c>
      <c r="EM10" s="3">
        <v>10</v>
      </c>
      <c r="EN10" s="5">
        <v>10</v>
      </c>
      <c r="EO10" s="12">
        <f t="shared" si="38"/>
        <v>1</v>
      </c>
      <c r="EP10" s="12">
        <f t="shared" si="39"/>
        <v>2.6316049382716034</v>
      </c>
      <c r="EQ10" s="3">
        <v>9</v>
      </c>
      <c r="ER10" s="5">
        <v>8</v>
      </c>
      <c r="ES10" s="12">
        <f t="shared" si="40"/>
        <v>0.88888888888888884</v>
      </c>
      <c r="ET10" s="12">
        <f t="shared" si="41"/>
        <v>0.14271604938271637</v>
      </c>
      <c r="EU10" s="3">
        <v>8</v>
      </c>
      <c r="EV10" s="5">
        <v>8</v>
      </c>
      <c r="EW10" s="12">
        <f t="shared" si="42"/>
        <v>1</v>
      </c>
      <c r="EX10" s="12">
        <f t="shared" si="43"/>
        <v>0.14271604938271637</v>
      </c>
      <c r="EY10" s="3">
        <v>8</v>
      </c>
      <c r="EZ10" s="5">
        <v>8</v>
      </c>
      <c r="FA10" s="12">
        <f t="shared" si="44"/>
        <v>1</v>
      </c>
      <c r="FB10" s="12">
        <f t="shared" si="45"/>
        <v>0.14271604938271637</v>
      </c>
      <c r="FC10" s="3">
        <v>9</v>
      </c>
      <c r="FD10" s="3">
        <v>9</v>
      </c>
      <c r="FE10" s="12">
        <f t="shared" si="46"/>
        <v>1</v>
      </c>
      <c r="FF10" s="12">
        <f t="shared" si="47"/>
        <v>0.38716049382715995</v>
      </c>
      <c r="FG10" s="3">
        <v>10</v>
      </c>
      <c r="FH10" s="5">
        <v>10</v>
      </c>
      <c r="FI10" s="12">
        <f t="shared" si="48"/>
        <v>1</v>
      </c>
      <c r="FJ10" s="12">
        <f t="shared" si="49"/>
        <v>2.6316049382716034</v>
      </c>
      <c r="FK10" s="3">
        <v>10</v>
      </c>
      <c r="FL10" s="5">
        <v>10</v>
      </c>
      <c r="FM10" s="12">
        <f t="shared" si="50"/>
        <v>1</v>
      </c>
      <c r="FN10" s="12">
        <f t="shared" si="51"/>
        <v>2.6316049382716034</v>
      </c>
      <c r="FO10" s="3">
        <v>10</v>
      </c>
      <c r="FP10" s="5">
        <v>10</v>
      </c>
      <c r="FQ10" s="12">
        <f t="shared" si="52"/>
        <v>1</v>
      </c>
      <c r="FR10" s="12">
        <f t="shared" si="53"/>
        <v>2.6316049382716034</v>
      </c>
      <c r="FS10" s="3">
        <v>9</v>
      </c>
      <c r="FT10" s="5">
        <v>9</v>
      </c>
      <c r="FU10" s="12">
        <f t="shared" si="54"/>
        <v>1</v>
      </c>
      <c r="FV10" s="12">
        <f t="shared" si="55"/>
        <v>0.38716049382715995</v>
      </c>
      <c r="FW10" s="3">
        <v>10</v>
      </c>
      <c r="FX10" s="5">
        <v>10</v>
      </c>
      <c r="FY10" s="12">
        <f t="shared" si="88"/>
        <v>1</v>
      </c>
      <c r="FZ10" s="12">
        <f t="shared" si="89"/>
        <v>2.6316049382716034</v>
      </c>
      <c r="GA10" s="4">
        <f t="shared" si="90"/>
        <v>45</v>
      </c>
      <c r="GB10" s="15">
        <f t="shared" si="91"/>
        <v>95.605820105820101</v>
      </c>
      <c r="GC10" s="15">
        <f t="shared" si="92"/>
        <v>8.3777777777777782</v>
      </c>
      <c r="GD10" s="15">
        <f t="shared" si="93"/>
        <v>1.2344839477627685</v>
      </c>
      <c r="GE10" s="16">
        <f t="shared" si="94"/>
        <v>95.605820105820101</v>
      </c>
      <c r="GF10" s="17" t="s">
        <v>3</v>
      </c>
      <c r="GG10" s="24">
        <f t="shared" si="95"/>
        <v>1.2344839477627685</v>
      </c>
      <c r="GH10" s="4" t="str">
        <f t="shared" si="96"/>
        <v>отлично</v>
      </c>
    </row>
    <row r="11" spans="1:219" ht="48" customHeight="1" thickBot="1" x14ac:dyDescent="0.3">
      <c r="A11" s="21">
        <v>9</v>
      </c>
      <c r="B11" s="31" t="s">
        <v>18</v>
      </c>
      <c r="C11" s="3">
        <v>10</v>
      </c>
      <c r="D11" s="5">
        <v>10</v>
      </c>
      <c r="E11" s="8">
        <f t="shared" si="56"/>
        <v>1</v>
      </c>
      <c r="F11" s="12">
        <f t="shared" si="0"/>
        <v>2.1511111111111116</v>
      </c>
      <c r="G11" s="3">
        <v>9</v>
      </c>
      <c r="H11" s="5">
        <v>9</v>
      </c>
      <c r="I11" s="12">
        <f t="shared" si="57"/>
        <v>1</v>
      </c>
      <c r="J11" s="12">
        <f t="shared" si="1"/>
        <v>0.21777777777777788</v>
      </c>
      <c r="K11" s="3">
        <v>10</v>
      </c>
      <c r="L11" s="3">
        <v>10</v>
      </c>
      <c r="M11" s="12">
        <f t="shared" si="58"/>
        <v>1</v>
      </c>
      <c r="N11" s="12">
        <f t="shared" si="2"/>
        <v>2.1511111111111116</v>
      </c>
      <c r="O11" s="3">
        <v>9</v>
      </c>
      <c r="P11" s="3">
        <v>9</v>
      </c>
      <c r="Q11" s="12">
        <f t="shared" si="59"/>
        <v>1</v>
      </c>
      <c r="R11" s="12">
        <f t="shared" si="3"/>
        <v>0.21777777777777788</v>
      </c>
      <c r="S11" s="3">
        <v>9</v>
      </c>
      <c r="T11" s="3">
        <v>9</v>
      </c>
      <c r="U11" s="12">
        <f t="shared" si="60"/>
        <v>1</v>
      </c>
      <c r="V11" s="12">
        <f t="shared" si="4"/>
        <v>0.21777777777777788</v>
      </c>
      <c r="W11" s="3">
        <v>8</v>
      </c>
      <c r="X11" s="5">
        <v>7</v>
      </c>
      <c r="Y11" s="12">
        <f t="shared" si="61"/>
        <v>0.875</v>
      </c>
      <c r="Z11" s="12">
        <f t="shared" si="5"/>
        <v>2.3511111111111109</v>
      </c>
      <c r="AA11" s="3">
        <v>10</v>
      </c>
      <c r="AB11" s="5">
        <v>9</v>
      </c>
      <c r="AC11" s="12">
        <f t="shared" si="62"/>
        <v>0.9</v>
      </c>
      <c r="AD11" s="12">
        <f t="shared" si="6"/>
        <v>0.21777777777777788</v>
      </c>
      <c r="AE11" s="3">
        <v>9</v>
      </c>
      <c r="AF11" s="5">
        <v>8</v>
      </c>
      <c r="AG11" s="12">
        <f t="shared" si="63"/>
        <v>0.88888888888888884</v>
      </c>
      <c r="AH11" s="12">
        <f t="shared" si="7"/>
        <v>0.28444444444444433</v>
      </c>
      <c r="AI11" s="3">
        <v>10</v>
      </c>
      <c r="AJ11" s="5">
        <v>9</v>
      </c>
      <c r="AK11" s="12">
        <f t="shared" si="64"/>
        <v>0.9</v>
      </c>
      <c r="AL11" s="12">
        <f t="shared" si="8"/>
        <v>0.21777777777777788</v>
      </c>
      <c r="AM11" s="3">
        <v>9</v>
      </c>
      <c r="AN11" s="5">
        <v>8</v>
      </c>
      <c r="AO11" s="12">
        <f t="shared" si="65"/>
        <v>0.88888888888888884</v>
      </c>
      <c r="AP11" s="12">
        <f t="shared" si="9"/>
        <v>0.28444444444444433</v>
      </c>
      <c r="AQ11" s="3">
        <v>10</v>
      </c>
      <c r="AR11" s="5">
        <v>8</v>
      </c>
      <c r="AS11" s="12">
        <f t="shared" si="66"/>
        <v>0.8</v>
      </c>
      <c r="AT11" s="12">
        <f t="shared" si="10"/>
        <v>0.28444444444444433</v>
      </c>
      <c r="AU11" s="3">
        <v>9</v>
      </c>
      <c r="AV11" s="5">
        <v>9</v>
      </c>
      <c r="AW11" s="12">
        <f t="shared" si="67"/>
        <v>1</v>
      </c>
      <c r="AX11" s="12">
        <f t="shared" si="11"/>
        <v>0.21777777777777788</v>
      </c>
      <c r="AY11" s="3">
        <v>9</v>
      </c>
      <c r="AZ11" s="5">
        <v>9</v>
      </c>
      <c r="BA11" s="12">
        <f t="shared" si="68"/>
        <v>1</v>
      </c>
      <c r="BB11" s="12">
        <f t="shared" si="12"/>
        <v>0.21777777777777788</v>
      </c>
      <c r="BC11" s="3">
        <v>5</v>
      </c>
      <c r="BD11" s="5">
        <v>5</v>
      </c>
      <c r="BE11" s="12">
        <f t="shared" si="69"/>
        <v>1</v>
      </c>
      <c r="BF11" s="12">
        <f t="shared" si="13"/>
        <v>12.484444444444444</v>
      </c>
      <c r="BG11" s="3">
        <v>8</v>
      </c>
      <c r="BH11" s="5">
        <v>7</v>
      </c>
      <c r="BI11" s="12">
        <f t="shared" si="70"/>
        <v>0.875</v>
      </c>
      <c r="BJ11" s="12">
        <f t="shared" si="14"/>
        <v>2.3511111111111109</v>
      </c>
      <c r="BK11" s="3">
        <v>7</v>
      </c>
      <c r="BL11" s="5">
        <v>7</v>
      </c>
      <c r="BM11" s="12">
        <f t="shared" si="71"/>
        <v>1</v>
      </c>
      <c r="BN11" s="12">
        <f t="shared" si="15"/>
        <v>2.3511111111111109</v>
      </c>
      <c r="BO11" s="3">
        <v>8</v>
      </c>
      <c r="BP11" s="5">
        <v>8</v>
      </c>
      <c r="BQ11" s="12">
        <f t="shared" si="72"/>
        <v>1</v>
      </c>
      <c r="BR11" s="12">
        <f t="shared" si="16"/>
        <v>0.28444444444444433</v>
      </c>
      <c r="BS11" s="3">
        <v>8</v>
      </c>
      <c r="BT11" s="5">
        <v>8</v>
      </c>
      <c r="BU11" s="12">
        <f t="shared" si="73"/>
        <v>1</v>
      </c>
      <c r="BV11" s="12">
        <f t="shared" si="17"/>
        <v>0.28444444444444433</v>
      </c>
      <c r="BW11" s="3">
        <v>9</v>
      </c>
      <c r="BX11" s="5">
        <v>9</v>
      </c>
      <c r="BY11" s="12">
        <f t="shared" si="74"/>
        <v>1</v>
      </c>
      <c r="BZ11" s="12">
        <f t="shared" si="18"/>
        <v>0.21777777777777788</v>
      </c>
      <c r="CA11" s="3">
        <v>10</v>
      </c>
      <c r="CB11" s="5">
        <v>9</v>
      </c>
      <c r="CC11" s="12">
        <f t="shared" si="75"/>
        <v>0.9</v>
      </c>
      <c r="CD11" s="12">
        <f t="shared" si="19"/>
        <v>0.21777777777777788</v>
      </c>
      <c r="CE11" s="3">
        <v>10</v>
      </c>
      <c r="CF11" s="5">
        <v>7</v>
      </c>
      <c r="CG11" s="12">
        <f t="shared" si="76"/>
        <v>0.7</v>
      </c>
      <c r="CH11" s="12">
        <f t="shared" si="20"/>
        <v>2.3511111111111109</v>
      </c>
      <c r="CI11" s="3">
        <v>9</v>
      </c>
      <c r="CJ11" s="5">
        <v>9</v>
      </c>
      <c r="CK11" s="12">
        <f t="shared" si="77"/>
        <v>1</v>
      </c>
      <c r="CL11" s="12">
        <f t="shared" si="21"/>
        <v>0.21777777777777788</v>
      </c>
      <c r="CM11" s="3">
        <v>10</v>
      </c>
      <c r="CN11" s="5">
        <v>8</v>
      </c>
      <c r="CO11" s="12">
        <f t="shared" si="78"/>
        <v>0.8</v>
      </c>
      <c r="CP11" s="12">
        <f t="shared" si="22"/>
        <v>0.28444444444444433</v>
      </c>
      <c r="CQ11" s="3">
        <v>10</v>
      </c>
      <c r="CR11" s="5">
        <v>8</v>
      </c>
      <c r="CS11" s="12">
        <f t="shared" si="79"/>
        <v>0.8</v>
      </c>
      <c r="CT11" s="12">
        <f t="shared" si="23"/>
        <v>0.28444444444444433</v>
      </c>
      <c r="CU11" s="3">
        <v>9</v>
      </c>
      <c r="CV11" s="5">
        <v>9</v>
      </c>
      <c r="CW11" s="12">
        <f t="shared" si="80"/>
        <v>1</v>
      </c>
      <c r="CX11" s="12">
        <f t="shared" si="24"/>
        <v>0.21777777777777788</v>
      </c>
      <c r="CY11" s="3">
        <v>9</v>
      </c>
      <c r="CZ11" s="5">
        <v>9</v>
      </c>
      <c r="DA11" s="12">
        <f t="shared" si="81"/>
        <v>1</v>
      </c>
      <c r="DB11" s="12">
        <f t="shared" si="25"/>
        <v>0.21777777777777788</v>
      </c>
      <c r="DC11" s="3">
        <v>10</v>
      </c>
      <c r="DD11" s="5">
        <v>6</v>
      </c>
      <c r="DE11" s="12">
        <f t="shared" si="82"/>
        <v>0.6</v>
      </c>
      <c r="DF11" s="12">
        <f t="shared" si="26"/>
        <v>6.4177777777777774</v>
      </c>
      <c r="DG11" s="3">
        <v>10</v>
      </c>
      <c r="DH11" s="5">
        <v>9</v>
      </c>
      <c r="DI11" s="12">
        <f t="shared" si="83"/>
        <v>0.9</v>
      </c>
      <c r="DJ11" s="12">
        <f t="shared" si="27"/>
        <v>0.21777777777777788</v>
      </c>
      <c r="DK11" s="3">
        <v>10</v>
      </c>
      <c r="DL11" s="5">
        <v>10</v>
      </c>
      <c r="DM11" s="12">
        <f t="shared" si="84"/>
        <v>1</v>
      </c>
      <c r="DN11" s="12">
        <f t="shared" si="28"/>
        <v>2.1511111111111116</v>
      </c>
      <c r="DO11" s="3">
        <v>10</v>
      </c>
      <c r="DP11" s="5">
        <v>6</v>
      </c>
      <c r="DQ11" s="12">
        <f t="shared" si="85"/>
        <v>0.6</v>
      </c>
      <c r="DR11" s="12">
        <f t="shared" si="29"/>
        <v>6.4177777777777774</v>
      </c>
      <c r="DS11" s="3">
        <v>9</v>
      </c>
      <c r="DT11" s="5">
        <v>8</v>
      </c>
      <c r="DU11" s="12">
        <f t="shared" si="86"/>
        <v>0.88888888888888884</v>
      </c>
      <c r="DV11" s="12">
        <f t="shared" si="30"/>
        <v>0.28444444444444433</v>
      </c>
      <c r="DW11" s="3">
        <v>9</v>
      </c>
      <c r="DX11" s="5">
        <v>9</v>
      </c>
      <c r="DY11" s="12">
        <f t="shared" si="87"/>
        <v>1</v>
      </c>
      <c r="DZ11" s="12">
        <f t="shared" si="31"/>
        <v>0.21777777777777788</v>
      </c>
      <c r="EA11" s="3">
        <v>9</v>
      </c>
      <c r="EB11" s="5">
        <v>8</v>
      </c>
      <c r="EC11" s="12">
        <f t="shared" si="32"/>
        <v>0.88888888888888884</v>
      </c>
      <c r="ED11" s="12">
        <f t="shared" si="33"/>
        <v>0.28444444444444433</v>
      </c>
      <c r="EE11" s="3">
        <v>8</v>
      </c>
      <c r="EF11" s="5">
        <v>8</v>
      </c>
      <c r="EG11" s="12">
        <f t="shared" si="34"/>
        <v>1</v>
      </c>
      <c r="EH11" s="12">
        <f t="shared" si="35"/>
        <v>0.28444444444444433</v>
      </c>
      <c r="EI11" s="3">
        <v>9</v>
      </c>
      <c r="EJ11" s="3">
        <v>9</v>
      </c>
      <c r="EK11" s="12">
        <f t="shared" si="36"/>
        <v>1</v>
      </c>
      <c r="EL11" s="12">
        <f t="shared" si="37"/>
        <v>0.21777777777777788</v>
      </c>
      <c r="EM11" s="3">
        <v>10</v>
      </c>
      <c r="EN11" s="5">
        <v>10</v>
      </c>
      <c r="EO11" s="12">
        <f t="shared" si="38"/>
        <v>1</v>
      </c>
      <c r="EP11" s="12">
        <f t="shared" si="39"/>
        <v>2.1511111111111116</v>
      </c>
      <c r="EQ11" s="3">
        <v>9</v>
      </c>
      <c r="ER11" s="5">
        <v>9</v>
      </c>
      <c r="ES11" s="12">
        <f t="shared" si="40"/>
        <v>1</v>
      </c>
      <c r="ET11" s="12">
        <f t="shared" si="41"/>
        <v>0.21777777777777788</v>
      </c>
      <c r="EU11" s="3">
        <v>8</v>
      </c>
      <c r="EV11" s="5">
        <v>7</v>
      </c>
      <c r="EW11" s="12">
        <f t="shared" si="42"/>
        <v>0.875</v>
      </c>
      <c r="EX11" s="12">
        <f t="shared" si="43"/>
        <v>2.3511111111111109</v>
      </c>
      <c r="EY11" s="3">
        <v>9</v>
      </c>
      <c r="EZ11" s="5">
        <v>9</v>
      </c>
      <c r="FA11" s="12">
        <f t="shared" si="44"/>
        <v>1</v>
      </c>
      <c r="FB11" s="12">
        <f t="shared" si="45"/>
        <v>0.21777777777777788</v>
      </c>
      <c r="FC11" s="3">
        <v>10</v>
      </c>
      <c r="FD11" s="3">
        <v>10</v>
      </c>
      <c r="FE11" s="12">
        <f t="shared" si="46"/>
        <v>1</v>
      </c>
      <c r="FF11" s="12">
        <f t="shared" si="47"/>
        <v>2.1511111111111116</v>
      </c>
      <c r="FG11" s="3">
        <v>10</v>
      </c>
      <c r="FH11" s="5">
        <v>10</v>
      </c>
      <c r="FI11" s="12">
        <f t="shared" si="48"/>
        <v>1</v>
      </c>
      <c r="FJ11" s="12">
        <f t="shared" si="49"/>
        <v>2.1511111111111116</v>
      </c>
      <c r="FK11" s="3">
        <v>10</v>
      </c>
      <c r="FL11" s="5">
        <v>10</v>
      </c>
      <c r="FM11" s="12">
        <f t="shared" si="50"/>
        <v>1</v>
      </c>
      <c r="FN11" s="12">
        <f t="shared" si="51"/>
        <v>2.1511111111111116</v>
      </c>
      <c r="FO11" s="3">
        <v>10</v>
      </c>
      <c r="FP11" s="5">
        <v>10</v>
      </c>
      <c r="FQ11" s="12">
        <f t="shared" si="52"/>
        <v>1</v>
      </c>
      <c r="FR11" s="12">
        <f t="shared" si="53"/>
        <v>2.1511111111111116</v>
      </c>
      <c r="FS11" s="3">
        <v>9</v>
      </c>
      <c r="FT11" s="5">
        <v>9</v>
      </c>
      <c r="FU11" s="12">
        <f t="shared" si="54"/>
        <v>1</v>
      </c>
      <c r="FV11" s="12">
        <f t="shared" si="55"/>
        <v>0.21777777777777788</v>
      </c>
      <c r="FW11" s="3">
        <v>10</v>
      </c>
      <c r="FX11" s="5">
        <v>10</v>
      </c>
      <c r="FY11" s="12">
        <f t="shared" si="88"/>
        <v>1</v>
      </c>
      <c r="FZ11" s="12">
        <f t="shared" si="89"/>
        <v>2.1511111111111116</v>
      </c>
      <c r="GA11" s="4">
        <f t="shared" si="90"/>
        <v>45</v>
      </c>
      <c r="GB11" s="15">
        <f t="shared" si="91"/>
        <v>93.51234567901237</v>
      </c>
      <c r="GC11" s="15">
        <f t="shared" si="92"/>
        <v>8.5333333333333332</v>
      </c>
      <c r="GD11" s="15">
        <f t="shared" si="93"/>
        <v>1.1850925889754118</v>
      </c>
      <c r="GE11" s="19">
        <f t="shared" si="94"/>
        <v>93.51234567901237</v>
      </c>
      <c r="GF11" s="20" t="s">
        <v>3</v>
      </c>
      <c r="GG11" s="25">
        <f t="shared" si="95"/>
        <v>1.1850925889754118</v>
      </c>
      <c r="GH11" s="4" t="str">
        <f t="shared" si="96"/>
        <v>отлично</v>
      </c>
      <c r="GI11" s="32"/>
      <c r="GJ11" s="32"/>
      <c r="GK11" s="32"/>
      <c r="GL11" s="32"/>
      <c r="GM11" s="32"/>
    </row>
    <row r="12" spans="1:219" ht="15" hidden="1" customHeight="1" x14ac:dyDescent="0.25">
      <c r="B12" s="27" t="s">
        <v>7</v>
      </c>
      <c r="C12" s="13">
        <f>SUM(C3:C11)</f>
        <v>77</v>
      </c>
      <c r="D12" s="13">
        <f>SUM(D3:D11)</f>
        <v>73</v>
      </c>
      <c r="E12" s="8">
        <f t="shared" si="56"/>
        <v>0.94805194805194803</v>
      </c>
      <c r="F12" s="12" t="e">
        <f>POWER(D12-#REF!,2)</f>
        <v>#REF!</v>
      </c>
      <c r="G12" s="13">
        <f>SUM(G3:G11)</f>
        <v>78</v>
      </c>
      <c r="H12" s="13">
        <f>SUM(H3:H11)</f>
        <v>73</v>
      </c>
      <c r="I12" s="12">
        <f t="shared" si="57"/>
        <v>0.9358974358974359</v>
      </c>
      <c r="J12" s="12" t="e">
        <f>POWER(H12-#REF!,2)</f>
        <v>#REF!</v>
      </c>
      <c r="K12" s="13"/>
      <c r="L12" s="13"/>
      <c r="M12" s="12" t="e">
        <f t="shared" si="58"/>
        <v>#DIV/0!</v>
      </c>
      <c r="N12" s="12" t="e">
        <f>POWER(L12-#REF!,2)</f>
        <v>#REF!</v>
      </c>
      <c r="O12" s="13"/>
      <c r="P12" s="13"/>
      <c r="Q12" s="12" t="e">
        <f t="shared" si="59"/>
        <v>#DIV/0!</v>
      </c>
      <c r="R12" s="12" t="e">
        <f>POWER(P12-#REF!,2)</f>
        <v>#REF!</v>
      </c>
      <c r="S12" s="3">
        <v>10</v>
      </c>
      <c r="T12" s="13"/>
      <c r="U12" s="12">
        <f t="shared" si="60"/>
        <v>0</v>
      </c>
      <c r="V12" s="12" t="e">
        <f>POWER(T12-#REF!,2)</f>
        <v>#REF!</v>
      </c>
      <c r="W12" s="3">
        <v>10</v>
      </c>
      <c r="Y12" s="12">
        <f t="shared" si="61"/>
        <v>0</v>
      </c>
      <c r="Z12" s="12" t="e">
        <f>POWER(X12-#REF!,2)</f>
        <v>#REF!</v>
      </c>
      <c r="AC12" s="12" t="e">
        <f t="shared" si="62"/>
        <v>#DIV/0!</v>
      </c>
      <c r="AD12" s="12" t="e">
        <f>POWER(AB12-#REF!,2)</f>
        <v>#REF!</v>
      </c>
      <c r="AE12" s="3">
        <v>10</v>
      </c>
      <c r="AG12" s="12">
        <f t="shared" si="63"/>
        <v>0</v>
      </c>
      <c r="AH12" s="12" t="e">
        <f>POWER(AF12-#REF!,2)</f>
        <v>#REF!</v>
      </c>
      <c r="AK12" s="12" t="e">
        <f t="shared" si="64"/>
        <v>#DIV/0!</v>
      </c>
      <c r="AL12" s="12" t="e">
        <f>POWER(AJ12-#REF!,2)</f>
        <v>#REF!</v>
      </c>
      <c r="AO12" s="12" t="e">
        <f t="shared" si="65"/>
        <v>#DIV/0!</v>
      </c>
      <c r="AP12" s="12" t="e">
        <f>POWER(AN12-#REF!,2)</f>
        <v>#REF!</v>
      </c>
      <c r="AS12" s="12" t="e">
        <f t="shared" si="66"/>
        <v>#DIV/0!</v>
      </c>
      <c r="AT12" s="12" t="e">
        <f>POWER(AR12-#REF!,2)</f>
        <v>#REF!</v>
      </c>
      <c r="CH12" s="12">
        <f t="shared" si="20"/>
        <v>0</v>
      </c>
      <c r="GA12" s="4">
        <f t="shared" si="90"/>
        <v>5</v>
      </c>
      <c r="GB12" s="15" t="e">
        <f t="shared" si="91"/>
        <v>#DIV/0!</v>
      </c>
      <c r="GD12" s="15" t="e">
        <f t="shared" si="93"/>
        <v>#REF!</v>
      </c>
      <c r="HA12" s="32"/>
      <c r="HB12" s="32"/>
      <c r="HC12" s="32"/>
      <c r="HD12" s="34"/>
      <c r="HE12" s="32"/>
      <c r="HF12" s="32"/>
      <c r="HG12" s="32"/>
      <c r="HH12" s="32"/>
      <c r="HI12" s="32"/>
      <c r="HJ12" s="32"/>
      <c r="HK12" s="32"/>
    </row>
    <row r="13" spans="1:219" ht="15" hidden="1" customHeight="1" x14ac:dyDescent="0.25">
      <c r="B13" s="27" t="s">
        <v>8</v>
      </c>
      <c r="C13" s="14">
        <f>AVERAGE(C3:C11)</f>
        <v>8.5555555555555554</v>
      </c>
      <c r="D13" s="14">
        <f>AVERAGE(D3:D11)</f>
        <v>8.1111111111111107</v>
      </c>
      <c r="E13" s="8">
        <f t="shared" si="56"/>
        <v>0.94805194805194803</v>
      </c>
      <c r="F13" s="12" t="e">
        <f>POWER(D13-#REF!,2)</f>
        <v>#REF!</v>
      </c>
      <c r="G13" s="14"/>
      <c r="H13" s="14"/>
      <c r="I13" s="12" t="e">
        <f t="shared" si="57"/>
        <v>#DIV/0!</v>
      </c>
      <c r="J13" s="12" t="e">
        <f>POWER(H13-#REF!,2)</f>
        <v>#REF!</v>
      </c>
      <c r="K13" s="14"/>
      <c r="L13" s="14"/>
      <c r="M13" s="12" t="e">
        <f t="shared" si="58"/>
        <v>#DIV/0!</v>
      </c>
      <c r="N13" s="12" t="e">
        <f>POWER(L13-#REF!,2)</f>
        <v>#REF!</v>
      </c>
      <c r="O13" s="14"/>
      <c r="P13" s="14"/>
      <c r="Q13" s="12" t="e">
        <f t="shared" si="59"/>
        <v>#DIV/0!</v>
      </c>
      <c r="R13" s="12" t="e">
        <f>POWER(P13-#REF!,2)</f>
        <v>#REF!</v>
      </c>
      <c r="S13" s="3">
        <v>10</v>
      </c>
      <c r="T13" s="14"/>
      <c r="U13" s="12">
        <f t="shared" si="60"/>
        <v>0</v>
      </c>
      <c r="V13" s="12" t="e">
        <f>POWER(T13-#REF!,2)</f>
        <v>#REF!</v>
      </c>
      <c r="W13" s="3">
        <v>10</v>
      </c>
      <c r="Y13" s="12">
        <f t="shared" si="61"/>
        <v>0</v>
      </c>
      <c r="Z13" s="12" t="e">
        <f>POWER(X13-#REF!,2)</f>
        <v>#REF!</v>
      </c>
      <c r="AC13" s="12" t="e">
        <f t="shared" si="62"/>
        <v>#DIV/0!</v>
      </c>
      <c r="AD13" s="12" t="e">
        <f>POWER(AB13-#REF!,2)</f>
        <v>#REF!</v>
      </c>
      <c r="AE13" s="3">
        <v>10</v>
      </c>
      <c r="AG13" s="12">
        <f t="shared" si="63"/>
        <v>0</v>
      </c>
      <c r="AH13" s="12" t="e">
        <f>POWER(AF13-#REF!,2)</f>
        <v>#REF!</v>
      </c>
      <c r="AK13" s="12" t="e">
        <f t="shared" si="64"/>
        <v>#DIV/0!</v>
      </c>
      <c r="AL13" s="12" t="e">
        <f>POWER(AJ13-#REF!,2)</f>
        <v>#REF!</v>
      </c>
      <c r="AO13" s="12" t="e">
        <f t="shared" si="65"/>
        <v>#DIV/0!</v>
      </c>
      <c r="AP13" s="12" t="e">
        <f>POWER(AN13-#REF!,2)</f>
        <v>#REF!</v>
      </c>
      <c r="AS13" s="12" t="e">
        <f t="shared" si="66"/>
        <v>#DIV/0!</v>
      </c>
      <c r="AT13" s="12" t="e">
        <f>POWER(AR13-#REF!,2)</f>
        <v>#REF!</v>
      </c>
      <c r="CH13" s="12">
        <f t="shared" si="20"/>
        <v>0</v>
      </c>
      <c r="GA13" s="4">
        <f t="shared" si="90"/>
        <v>4</v>
      </c>
      <c r="GB13" s="15" t="e">
        <f t="shared" si="91"/>
        <v>#DIV/0!</v>
      </c>
      <c r="GD13" s="15" t="e">
        <f t="shared" si="93"/>
        <v>#REF!</v>
      </c>
      <c r="HA13" s="32"/>
      <c r="HB13" s="32"/>
      <c r="HC13" s="32"/>
      <c r="HD13" s="34"/>
      <c r="HE13" s="32"/>
      <c r="HF13" s="32"/>
      <c r="HG13" s="32"/>
      <c r="HH13" s="32"/>
      <c r="HI13" s="32"/>
      <c r="HJ13" s="32"/>
      <c r="HK13" s="32"/>
    </row>
    <row r="14" spans="1:219" ht="15" hidden="1" customHeight="1" x14ac:dyDescent="0.25">
      <c r="B14" s="28" t="s">
        <v>9</v>
      </c>
      <c r="E14" s="8" t="e">
        <f t="shared" si="56"/>
        <v>#DIV/0!</v>
      </c>
      <c r="F14" s="12" t="e">
        <f>POWER(D14-#REF!,2)</f>
        <v>#REF!</v>
      </c>
      <c r="I14" s="12" t="e">
        <f t="shared" si="57"/>
        <v>#DIV/0!</v>
      </c>
      <c r="J14" s="12" t="e">
        <f>POWER(H14-#REF!,2)</f>
        <v>#REF!</v>
      </c>
      <c r="M14" s="12" t="e">
        <f t="shared" si="58"/>
        <v>#DIV/0!</v>
      </c>
      <c r="N14" s="12" t="e">
        <f>POWER(L14-#REF!,2)</f>
        <v>#REF!</v>
      </c>
      <c r="Q14" s="12" t="e">
        <f t="shared" si="59"/>
        <v>#DIV/0!</v>
      </c>
      <c r="R14" s="12" t="e">
        <f>POWER(P14-#REF!,2)</f>
        <v>#REF!</v>
      </c>
      <c r="S14" s="3">
        <v>10</v>
      </c>
      <c r="U14" s="12">
        <f t="shared" si="60"/>
        <v>0</v>
      </c>
      <c r="V14" s="12" t="e">
        <f>POWER(T14-#REF!,2)</f>
        <v>#REF!</v>
      </c>
      <c r="W14" s="3">
        <v>10</v>
      </c>
      <c r="Y14" s="12">
        <f t="shared" si="61"/>
        <v>0</v>
      </c>
      <c r="Z14" s="12" t="e">
        <f>POWER(X14-#REF!,2)</f>
        <v>#REF!</v>
      </c>
      <c r="AC14" s="12" t="e">
        <f t="shared" si="62"/>
        <v>#DIV/0!</v>
      </c>
      <c r="AD14" s="12" t="e">
        <f>POWER(AB14-#REF!,2)</f>
        <v>#REF!</v>
      </c>
      <c r="AE14" s="3">
        <v>10</v>
      </c>
      <c r="AG14" s="12">
        <f t="shared" si="63"/>
        <v>0</v>
      </c>
      <c r="AH14" s="12" t="e">
        <f>POWER(AF14-#REF!,2)</f>
        <v>#REF!</v>
      </c>
      <c r="AK14" s="12" t="e">
        <f t="shared" si="64"/>
        <v>#DIV/0!</v>
      </c>
      <c r="AL14" s="12" t="e">
        <f>POWER(AJ14-#REF!,2)</f>
        <v>#REF!</v>
      </c>
      <c r="AO14" s="12" t="e">
        <f t="shared" si="65"/>
        <v>#DIV/0!</v>
      </c>
      <c r="AP14" s="12" t="e">
        <f>POWER(AN14-#REF!,2)</f>
        <v>#REF!</v>
      </c>
      <c r="AS14" s="12" t="e">
        <f t="shared" si="66"/>
        <v>#DIV/0!</v>
      </c>
      <c r="AT14" s="12" t="e">
        <f>POWER(AR14-#REF!,2)</f>
        <v>#REF!</v>
      </c>
      <c r="CH14" s="12">
        <f t="shared" si="20"/>
        <v>0</v>
      </c>
      <c r="GA14" s="4">
        <f t="shared" si="90"/>
        <v>3</v>
      </c>
      <c r="GB14" s="15" t="e">
        <f t="shared" si="91"/>
        <v>#DIV/0!</v>
      </c>
      <c r="GD14" s="15" t="e">
        <f t="shared" si="93"/>
        <v>#REF!</v>
      </c>
      <c r="HA14" s="32"/>
      <c r="HB14" s="32"/>
      <c r="HC14" s="32"/>
      <c r="HD14" s="34"/>
      <c r="HE14" s="32"/>
      <c r="HF14" s="32"/>
      <c r="HG14" s="32"/>
      <c r="HH14" s="32"/>
      <c r="HI14" s="32"/>
      <c r="HJ14" s="32"/>
      <c r="HK14" s="32"/>
    </row>
    <row r="15" spans="1:219" ht="43.5" customHeight="1" x14ac:dyDescent="0.25">
      <c r="B15" s="61"/>
      <c r="V15" s="62"/>
      <c r="W15" s="62"/>
      <c r="X15" s="62"/>
      <c r="Y15" s="62"/>
      <c r="Z15" s="62"/>
      <c r="AA15" s="62"/>
      <c r="AB15" s="62"/>
      <c r="AC15" s="62"/>
      <c r="AD15" s="62"/>
      <c r="GE15" s="38">
        <f>AVERAGE(GE3:GE11)</f>
        <v>93.344209288653715</v>
      </c>
      <c r="GF15" s="39" t="s">
        <v>3</v>
      </c>
      <c r="GG15" s="40">
        <f>AVERAGE(GG3:GG11)</f>
        <v>1.3727596937805151</v>
      </c>
      <c r="GH15" s="41" t="str">
        <f>IF(GE15&lt;40,"неудовлетворительно",IF((GE15&gt;=40)*AND(GE15&lt;60),"удовлетворительно",IF((GE15&gt;=60)*AND(GE15&lt;80),"хорошо","отлично")))</f>
        <v>отлично</v>
      </c>
      <c r="HA15" s="32"/>
      <c r="HB15" s="32"/>
      <c r="HC15" s="32"/>
      <c r="HD15" s="34"/>
      <c r="HE15" s="32"/>
      <c r="HF15" s="32"/>
      <c r="HG15" s="32"/>
      <c r="HH15" s="32"/>
      <c r="HI15" s="32"/>
      <c r="HJ15" s="32"/>
      <c r="HK15" s="32"/>
    </row>
    <row r="16" spans="1:219" x14ac:dyDescent="0.25">
      <c r="V16" s="32"/>
      <c r="W16" s="32"/>
      <c r="X16" s="32"/>
      <c r="Y16" s="32"/>
      <c r="Z16" s="32"/>
      <c r="AA16" s="32"/>
      <c r="AB16" s="32"/>
      <c r="AC16" s="32"/>
      <c r="AD16" s="32"/>
      <c r="AE16" s="37"/>
      <c r="AF16" s="37"/>
      <c r="HA16" s="32"/>
      <c r="HB16" s="32"/>
      <c r="HC16" s="32"/>
      <c r="HD16" s="34"/>
      <c r="HE16" s="32"/>
      <c r="HF16" s="32"/>
      <c r="HG16" s="32"/>
      <c r="HH16" s="32"/>
      <c r="HI16" s="32"/>
      <c r="HJ16" s="32"/>
      <c r="HK16" s="32"/>
    </row>
    <row r="17" spans="1:219" x14ac:dyDescent="0.25">
      <c r="V17" s="32"/>
      <c r="W17" s="32"/>
      <c r="X17" s="32"/>
      <c r="Y17" s="32"/>
      <c r="Z17" s="32"/>
      <c r="AA17" s="32"/>
      <c r="AB17" s="32"/>
      <c r="AC17" s="32"/>
      <c r="AD17" s="32"/>
      <c r="AE17" s="37"/>
      <c r="AF17" s="37"/>
      <c r="HA17" s="32"/>
      <c r="HB17" s="32"/>
      <c r="HC17" s="32"/>
      <c r="HD17" s="34"/>
      <c r="HE17" s="32"/>
      <c r="HF17" s="32"/>
      <c r="HG17" s="32"/>
      <c r="HH17" s="32"/>
      <c r="HI17" s="32"/>
      <c r="HJ17" s="32"/>
      <c r="HK17" s="32"/>
    </row>
    <row r="18" spans="1:219" ht="15.75" x14ac:dyDescent="0.25">
      <c r="V18" s="32"/>
      <c r="W18" s="32"/>
      <c r="X18" s="48"/>
      <c r="Y18" s="48"/>
      <c r="Z18" s="48"/>
      <c r="AA18" s="82"/>
      <c r="AB18" s="82"/>
      <c r="AC18" s="82"/>
      <c r="AD18" s="58"/>
      <c r="AE18" s="37"/>
      <c r="AF18" s="37"/>
      <c r="HA18" s="32"/>
      <c r="HB18" s="32"/>
      <c r="HC18" s="79"/>
      <c r="HD18" s="79"/>
      <c r="HE18" s="79"/>
      <c r="HF18" s="42"/>
      <c r="HG18" s="32"/>
      <c r="HH18" s="32"/>
      <c r="HI18" s="32"/>
      <c r="HJ18" s="32"/>
      <c r="HK18" s="32"/>
    </row>
    <row r="19" spans="1:219" x14ac:dyDescent="0.25">
      <c r="V19" s="32"/>
      <c r="W19" s="32"/>
      <c r="X19" s="33"/>
      <c r="Y19" s="32"/>
      <c r="Z19" s="32"/>
      <c r="AA19" s="34"/>
      <c r="AB19" s="35"/>
      <c r="AC19" s="36"/>
      <c r="AD19" s="32"/>
      <c r="AE19" s="37"/>
      <c r="AF19" s="37"/>
      <c r="HA19" s="32"/>
      <c r="HB19" s="32"/>
      <c r="HC19" s="79"/>
      <c r="HD19" s="79"/>
      <c r="HE19" s="79"/>
      <c r="HF19" s="79"/>
      <c r="HG19" s="43"/>
      <c r="HH19" s="44"/>
      <c r="HI19" s="45"/>
      <c r="HJ19" s="46"/>
      <c r="HK19" s="32"/>
    </row>
    <row r="20" spans="1:219" x14ac:dyDescent="0.25">
      <c r="V20" s="32"/>
      <c r="W20" s="32"/>
      <c r="X20" s="33"/>
      <c r="Y20" s="32"/>
      <c r="Z20" s="32"/>
      <c r="AA20" s="34"/>
      <c r="AB20" s="35"/>
      <c r="AC20" s="36"/>
      <c r="AD20" s="32"/>
      <c r="AE20" s="37"/>
      <c r="AF20" s="37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</row>
    <row r="21" spans="1:219" x14ac:dyDescent="0.25">
      <c r="V21" s="32"/>
      <c r="W21" s="32"/>
      <c r="X21" s="33"/>
      <c r="Y21" s="32"/>
      <c r="Z21" s="32"/>
      <c r="AA21" s="34"/>
      <c r="AB21" s="35"/>
      <c r="AC21" s="36"/>
      <c r="AD21" s="32"/>
      <c r="AE21" s="37"/>
      <c r="AF21" s="37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</row>
    <row r="22" spans="1:219" x14ac:dyDescent="0.25">
      <c r="V22" s="32"/>
      <c r="W22" s="32"/>
      <c r="X22" s="33"/>
      <c r="Y22" s="32"/>
      <c r="Z22" s="32"/>
      <c r="AA22" s="34"/>
      <c r="AB22" s="35"/>
      <c r="AC22" s="36"/>
      <c r="AD22" s="32"/>
      <c r="AE22" s="37"/>
      <c r="AF22" s="37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</row>
    <row r="23" spans="1:219" x14ac:dyDescent="0.25">
      <c r="V23" s="32"/>
      <c r="W23" s="32"/>
      <c r="X23" s="33"/>
      <c r="Y23" s="32"/>
      <c r="Z23" s="32"/>
      <c r="AA23" s="34"/>
      <c r="AB23" s="35"/>
      <c r="AC23" s="36"/>
      <c r="AD23" s="32"/>
      <c r="AE23" s="37"/>
      <c r="AF23" s="37"/>
    </row>
    <row r="24" spans="1:219" x14ac:dyDescent="0.25">
      <c r="V24" s="32"/>
      <c r="W24" s="32"/>
      <c r="X24" s="33"/>
      <c r="Y24" s="32"/>
      <c r="Z24" s="32"/>
      <c r="AA24" s="34"/>
      <c r="AB24" s="35"/>
      <c r="AC24" s="36"/>
      <c r="AD24" s="32"/>
      <c r="AE24" s="37"/>
      <c r="AF24" s="37"/>
    </row>
    <row r="25" spans="1:219" x14ac:dyDescent="0.25">
      <c r="V25" s="32"/>
      <c r="W25" s="32"/>
      <c r="X25" s="33"/>
      <c r="Y25" s="32"/>
      <c r="Z25" s="32"/>
      <c r="AA25" s="34"/>
      <c r="AB25" s="35"/>
      <c r="AC25" s="36"/>
      <c r="AD25" s="32"/>
      <c r="AE25" s="37"/>
      <c r="AF25" s="37"/>
    </row>
    <row r="26" spans="1:219" x14ac:dyDescent="0.25">
      <c r="V26" s="32"/>
      <c r="W26" s="32"/>
      <c r="X26" s="33"/>
      <c r="Y26" s="32"/>
      <c r="Z26" s="32"/>
      <c r="AA26" s="34"/>
      <c r="AB26" s="35"/>
      <c r="AC26" s="36"/>
      <c r="AD26" s="32"/>
      <c r="AE26" s="37"/>
      <c r="AF26" s="37"/>
    </row>
    <row r="27" spans="1:219" x14ac:dyDescent="0.25">
      <c r="V27" s="32"/>
      <c r="W27" s="32"/>
      <c r="X27" s="33"/>
      <c r="Y27" s="32"/>
      <c r="Z27" s="32"/>
      <c r="AA27" s="34"/>
      <c r="AB27" s="35"/>
      <c r="AC27" s="36"/>
      <c r="AD27" s="32"/>
      <c r="AE27" s="37"/>
      <c r="AF27" s="37"/>
    </row>
    <row r="28" spans="1:219" ht="19.5" x14ac:dyDescent="0.35">
      <c r="A28" s="83"/>
      <c r="B28" s="84"/>
      <c r="V28" s="32"/>
      <c r="W28" s="32"/>
      <c r="X28" s="33"/>
      <c r="Y28" s="32"/>
      <c r="Z28" s="32"/>
      <c r="AA28" s="34"/>
      <c r="AB28" s="35"/>
      <c r="AC28" s="36"/>
      <c r="AD28" s="32"/>
      <c r="AE28" s="37"/>
      <c r="AF28" s="37"/>
    </row>
    <row r="29" spans="1:219" x14ac:dyDescent="0.25">
      <c r="V29" s="32"/>
      <c r="W29" s="32"/>
      <c r="X29" s="34"/>
      <c r="Y29" s="32"/>
      <c r="Z29" s="32"/>
      <c r="AA29" s="32"/>
      <c r="AB29" s="32"/>
      <c r="AC29" s="32"/>
      <c r="AD29" s="32"/>
      <c r="AE29" s="37"/>
      <c r="AF29" s="37"/>
    </row>
    <row r="30" spans="1:219" x14ac:dyDescent="0.25">
      <c r="V30" s="32"/>
      <c r="W30" s="32"/>
      <c r="X30" s="34"/>
      <c r="Y30" s="32"/>
      <c r="Z30" s="32"/>
      <c r="AA30" s="32"/>
      <c r="AB30" s="32"/>
      <c r="AC30" s="32"/>
      <c r="AD30" s="32"/>
      <c r="AE30" s="37"/>
      <c r="AF30" s="37"/>
    </row>
    <row r="31" spans="1:219" x14ac:dyDescent="0.25">
      <c r="V31" s="32"/>
      <c r="W31" s="79"/>
      <c r="X31" s="79"/>
      <c r="Y31" s="79"/>
      <c r="Z31" s="34"/>
      <c r="AA31" s="32"/>
      <c r="AB31" s="32"/>
      <c r="AC31" s="32"/>
      <c r="AD31" s="32"/>
      <c r="AE31" s="37"/>
      <c r="AF31" s="37"/>
    </row>
    <row r="32" spans="1:219" x14ac:dyDescent="0.25">
      <c r="V32" s="32"/>
      <c r="W32" s="79"/>
      <c r="X32" s="79"/>
      <c r="Y32" s="79"/>
      <c r="Z32" s="79"/>
      <c r="AA32" s="43"/>
      <c r="AB32" s="44"/>
      <c r="AC32" s="45"/>
      <c r="AD32" s="46"/>
      <c r="AE32" s="37"/>
      <c r="AF32" s="37"/>
    </row>
    <row r="33" spans="22:30" customFormat="1" x14ac:dyDescent="0.25">
      <c r="V33" s="62"/>
      <c r="W33" s="62"/>
      <c r="X33" s="62"/>
      <c r="Y33" s="62"/>
      <c r="Z33" s="62"/>
      <c r="AA33" s="62"/>
      <c r="AB33" s="62"/>
      <c r="AC33" s="62"/>
      <c r="AD33" s="62"/>
    </row>
    <row r="34" spans="22:30" customFormat="1" x14ac:dyDescent="0.25">
      <c r="V34" s="62"/>
      <c r="W34" s="62"/>
      <c r="X34" s="62"/>
      <c r="Y34" s="62"/>
      <c r="Z34" s="62"/>
      <c r="AA34" s="62"/>
      <c r="AB34" s="62"/>
      <c r="AC34" s="62"/>
      <c r="AD34" s="62"/>
    </row>
    <row r="35" spans="22:30" customFormat="1" x14ac:dyDescent="0.25">
      <c r="V35" s="62"/>
      <c r="W35" s="62"/>
      <c r="X35" s="62"/>
      <c r="Y35" s="62"/>
      <c r="Z35" s="62"/>
      <c r="AA35" s="62"/>
      <c r="AB35" s="62"/>
      <c r="AC35" s="62"/>
      <c r="AD35" s="62"/>
    </row>
    <row r="36" spans="22:30" customFormat="1" x14ac:dyDescent="0.25">
      <c r="V36" s="62"/>
      <c r="W36" s="62"/>
      <c r="X36" s="62"/>
      <c r="Y36" s="62"/>
      <c r="Z36" s="62"/>
      <c r="AA36" s="62"/>
      <c r="AB36" s="62"/>
      <c r="AC36" s="62"/>
      <c r="AD36" s="62"/>
    </row>
    <row r="37" spans="22:30" customFormat="1" x14ac:dyDescent="0.25">
      <c r="V37" s="62"/>
      <c r="W37" s="62"/>
      <c r="X37" s="62"/>
      <c r="Y37" s="62"/>
      <c r="Z37" s="62"/>
      <c r="AA37" s="62"/>
      <c r="AB37" s="62"/>
      <c r="AC37" s="62"/>
      <c r="AD37" s="62"/>
    </row>
    <row r="38" spans="22:30" customFormat="1" x14ac:dyDescent="0.25">
      <c r="V38" s="62"/>
      <c r="W38" s="62"/>
      <c r="X38" s="62"/>
      <c r="Y38" s="62"/>
      <c r="Z38" s="62"/>
      <c r="AA38" s="62"/>
      <c r="AB38" s="62"/>
      <c r="AC38" s="62"/>
      <c r="AD38" s="62"/>
    </row>
    <row r="39" spans="22:30" customFormat="1" x14ac:dyDescent="0.25">
      <c r="V39" s="62"/>
      <c r="W39" s="62"/>
      <c r="X39" s="62"/>
      <c r="Y39" s="62"/>
      <c r="Z39" s="62"/>
      <c r="AA39" s="62"/>
      <c r="AB39" s="62"/>
      <c r="AC39" s="62"/>
      <c r="AD39" s="62"/>
    </row>
    <row r="40" spans="22:30" customFormat="1" x14ac:dyDescent="0.25">
      <c r="V40" s="62"/>
      <c r="W40" s="62"/>
      <c r="X40" s="62"/>
      <c r="Y40" s="62"/>
      <c r="Z40" s="62"/>
      <c r="AA40" s="62"/>
      <c r="AB40" s="62"/>
      <c r="AC40" s="62"/>
      <c r="AD40" s="62"/>
    </row>
    <row r="41" spans="22:30" customFormat="1" x14ac:dyDescent="0.25">
      <c r="V41" s="62"/>
      <c r="W41" s="62"/>
      <c r="X41" s="62"/>
      <c r="Y41" s="62"/>
      <c r="Z41" s="62"/>
      <c r="AA41" s="62"/>
      <c r="AB41" s="62"/>
      <c r="AC41" s="62"/>
      <c r="AD41" s="62"/>
    </row>
    <row r="42" spans="22:30" customFormat="1" x14ac:dyDescent="0.25">
      <c r="V42" s="62"/>
      <c r="W42" s="62"/>
      <c r="X42" s="62"/>
      <c r="Y42" s="62"/>
      <c r="Z42" s="62"/>
      <c r="AA42" s="62"/>
      <c r="AB42" s="62"/>
      <c r="AC42" s="62"/>
      <c r="AD42" s="62"/>
    </row>
    <row r="43" spans="22:30" customFormat="1" x14ac:dyDescent="0.25">
      <c r="V43" s="62"/>
      <c r="W43" s="62"/>
      <c r="X43" s="62"/>
      <c r="Y43" s="62"/>
      <c r="Z43" s="62"/>
      <c r="AA43" s="62"/>
      <c r="AB43" s="62"/>
      <c r="AC43" s="62"/>
      <c r="AD43" s="62"/>
    </row>
    <row r="44" spans="22:30" customFormat="1" x14ac:dyDescent="0.25">
      <c r="V44" s="62"/>
      <c r="W44" s="62"/>
      <c r="X44" s="62"/>
      <c r="Y44" s="62"/>
      <c r="Z44" s="62"/>
      <c r="AA44" s="62"/>
      <c r="AB44" s="62"/>
      <c r="AC44" s="62"/>
      <c r="AD44" s="62"/>
    </row>
    <row r="45" spans="22:30" customFormat="1" x14ac:dyDescent="0.25">
      <c r="V45" s="62"/>
      <c r="W45" s="62"/>
      <c r="X45" s="62"/>
      <c r="Y45" s="62"/>
      <c r="Z45" s="62"/>
      <c r="AA45" s="62"/>
      <c r="AB45" s="62"/>
      <c r="AC45" s="62"/>
      <c r="AD45" s="62"/>
    </row>
    <row r="46" spans="22:30" customFormat="1" x14ac:dyDescent="0.25">
      <c r="V46" s="62"/>
      <c r="W46" s="62"/>
      <c r="X46" s="62"/>
      <c r="Y46" s="62"/>
      <c r="Z46" s="62"/>
      <c r="AA46" s="62"/>
      <c r="AB46" s="62"/>
      <c r="AC46" s="62"/>
      <c r="AD46" s="62"/>
    </row>
    <row r="47" spans="22:30" customFormat="1" x14ac:dyDescent="0.25">
      <c r="V47" s="62"/>
      <c r="W47" s="62"/>
      <c r="X47" s="62"/>
      <c r="Y47" s="62"/>
      <c r="Z47" s="62"/>
      <c r="AA47" s="62"/>
      <c r="AB47" s="62"/>
      <c r="AC47" s="62"/>
      <c r="AD47" s="62"/>
    </row>
    <row r="48" spans="22:30" customFormat="1" x14ac:dyDescent="0.25">
      <c r="V48" s="62"/>
      <c r="W48" s="62"/>
      <c r="X48" s="62"/>
      <c r="Y48" s="62"/>
      <c r="Z48" s="62"/>
      <c r="AA48" s="62"/>
      <c r="AB48" s="62"/>
      <c r="AC48" s="62"/>
      <c r="AD48" s="62"/>
    </row>
    <row r="49" spans="22:30" customFormat="1" x14ac:dyDescent="0.25">
      <c r="V49" s="62"/>
      <c r="W49" s="62"/>
      <c r="X49" s="62"/>
      <c r="Y49" s="62"/>
      <c r="Z49" s="62"/>
      <c r="AA49" s="62"/>
      <c r="AB49" s="62"/>
      <c r="AC49" s="62"/>
      <c r="AD49" s="62"/>
    </row>
    <row r="50" spans="22:30" customFormat="1" x14ac:dyDescent="0.25">
      <c r="V50" s="62"/>
      <c r="W50" s="62"/>
      <c r="X50" s="62"/>
      <c r="Y50" s="62"/>
      <c r="Z50" s="62"/>
      <c r="AA50" s="62"/>
      <c r="AB50" s="62"/>
      <c r="AC50" s="62"/>
      <c r="AD50" s="62"/>
    </row>
    <row r="51" spans="22:30" customFormat="1" x14ac:dyDescent="0.25">
      <c r="V51" s="62"/>
      <c r="W51" s="62"/>
      <c r="X51" s="62"/>
      <c r="Y51" s="62"/>
      <c r="Z51" s="62"/>
      <c r="AA51" s="62"/>
      <c r="AB51" s="62"/>
      <c r="AC51" s="62"/>
      <c r="AD51" s="62"/>
    </row>
    <row r="52" spans="22:30" customFormat="1" x14ac:dyDescent="0.25">
      <c r="V52" s="62"/>
      <c r="W52" s="62"/>
      <c r="X52" s="62"/>
      <c r="Y52" s="62"/>
      <c r="Z52" s="62"/>
      <c r="AA52" s="62"/>
      <c r="AB52" s="62"/>
      <c r="AC52" s="62"/>
      <c r="AD52" s="62"/>
    </row>
    <row r="53" spans="22:30" customFormat="1" x14ac:dyDescent="0.25">
      <c r="V53" s="62"/>
      <c r="W53" s="62"/>
      <c r="X53" s="62"/>
      <c r="Y53" s="62"/>
      <c r="Z53" s="62"/>
      <c r="AA53" s="62"/>
      <c r="AB53" s="62"/>
      <c r="AC53" s="62"/>
      <c r="AD53" s="62"/>
    </row>
    <row r="54" spans="22:30" customFormat="1" x14ac:dyDescent="0.25">
      <c r="V54" s="62"/>
      <c r="W54" s="62"/>
      <c r="X54" s="62"/>
      <c r="Y54" s="62"/>
      <c r="Z54" s="62"/>
      <c r="AA54" s="62"/>
      <c r="AB54" s="62"/>
      <c r="AC54" s="62"/>
      <c r="AD54" s="62"/>
    </row>
    <row r="55" spans="22:30" customFormat="1" x14ac:dyDescent="0.25">
      <c r="V55" s="62"/>
      <c r="W55" s="62"/>
      <c r="X55" s="62"/>
      <c r="Y55" s="62"/>
      <c r="Z55" s="62"/>
      <c r="AA55" s="62"/>
      <c r="AB55" s="62"/>
      <c r="AC55" s="62"/>
      <c r="AD55" s="62"/>
    </row>
    <row r="56" spans="22:30" customFormat="1" x14ac:dyDescent="0.25">
      <c r="V56" s="62"/>
      <c r="W56" s="62"/>
      <c r="X56" s="62"/>
      <c r="Y56" s="62"/>
      <c r="Z56" s="62"/>
      <c r="AA56" s="62"/>
      <c r="AB56" s="62"/>
      <c r="AC56" s="62"/>
      <c r="AD56" s="62"/>
    </row>
    <row r="57" spans="22:30" customFormat="1" x14ac:dyDescent="0.25">
      <c r="V57" s="62"/>
      <c r="W57" s="62"/>
      <c r="X57" s="62"/>
      <c r="Y57" s="62"/>
      <c r="Z57" s="62"/>
      <c r="AA57" s="62"/>
      <c r="AB57" s="62"/>
      <c r="AC57" s="62"/>
      <c r="AD57" s="62"/>
    </row>
  </sheetData>
  <mergeCells count="8">
    <mergeCell ref="A1:AI1"/>
    <mergeCell ref="GE2:GG2"/>
    <mergeCell ref="AA18:AC18"/>
    <mergeCell ref="HC18:HE18"/>
    <mergeCell ref="HC19:HF19"/>
    <mergeCell ref="A28:B28"/>
    <mergeCell ref="W31:Y31"/>
    <mergeCell ref="W32:Z3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GH874"/>
  <sheetViews>
    <sheetView topLeftCell="EU1" zoomScale="59" zoomScaleNormal="59" workbookViewId="0">
      <selection activeCell="GG3" sqref="GG3:GG11"/>
    </sheetView>
  </sheetViews>
  <sheetFormatPr defaultRowHeight="15" x14ac:dyDescent="0.25"/>
  <cols>
    <col min="1" max="1" width="6.5703125" customWidth="1"/>
    <col min="2" max="2" width="39.28515625" customWidth="1"/>
    <col min="3" max="3" width="4" style="1" customWidth="1"/>
    <col min="4" max="4" width="5.28515625" style="6" customWidth="1"/>
    <col min="5" max="5" width="7.28515625" customWidth="1"/>
    <col min="6" max="6" width="8.140625" customWidth="1"/>
    <col min="7" max="7" width="4" style="1" customWidth="1"/>
    <col min="8" max="8" width="5.28515625" style="6" customWidth="1"/>
    <col min="9" max="9" width="7.28515625" style="2" customWidth="1"/>
    <col min="10" max="10" width="8.42578125" style="2" customWidth="1"/>
    <col min="11" max="11" width="4" style="1" customWidth="1"/>
    <col min="12" max="12" width="5.28515625" style="6" customWidth="1"/>
    <col min="13" max="13" width="7.85546875" style="2" customWidth="1"/>
    <col min="14" max="14" width="9" style="2" customWidth="1"/>
    <col min="15" max="15" width="4.28515625" style="2" customWidth="1"/>
    <col min="16" max="16" width="4.5703125" style="2" customWidth="1"/>
    <col min="17" max="17" width="7.7109375" style="2" customWidth="1"/>
    <col min="18" max="18" width="8.28515625" style="2" customWidth="1"/>
    <col min="19" max="19" width="4" style="1" customWidth="1"/>
    <col min="20" max="20" width="5.28515625" style="6" customWidth="1"/>
    <col min="21" max="21" width="8" style="2" customWidth="1"/>
    <col min="22" max="22" width="8.140625" style="2" customWidth="1"/>
    <col min="23" max="23" width="3.85546875" customWidth="1"/>
    <col min="24" max="24" width="4.28515625" style="11" customWidth="1"/>
    <col min="25" max="25" width="8" style="11" customWidth="1"/>
    <col min="26" max="26" width="8.28515625" customWidth="1"/>
    <col min="27" max="27" width="4.28515625" style="2" customWidth="1"/>
    <col min="28" max="28" width="5" style="2" customWidth="1"/>
    <col min="29" max="30" width="8.42578125" style="2" customWidth="1"/>
    <col min="31" max="31" width="4" customWidth="1"/>
    <col min="32" max="32" width="5.42578125" customWidth="1"/>
    <col min="33" max="33" width="8" customWidth="1"/>
    <col min="34" max="34" width="7.140625" customWidth="1"/>
    <col min="35" max="35" width="5" customWidth="1"/>
    <col min="36" max="36" width="5.140625" customWidth="1"/>
    <col min="37" max="37" width="7.42578125" customWidth="1"/>
    <col min="38" max="38" width="7.5703125" customWidth="1"/>
    <col min="39" max="40" width="4.7109375" customWidth="1"/>
    <col min="41" max="41" width="7.85546875" customWidth="1"/>
    <col min="42" max="42" width="7.5703125" customWidth="1"/>
    <col min="43" max="43" width="4" customWidth="1"/>
    <col min="44" max="44" width="5.5703125" customWidth="1"/>
    <col min="45" max="45" width="8.42578125" customWidth="1"/>
    <col min="46" max="46" width="8.5703125" customWidth="1"/>
    <col min="47" max="47" width="4.140625" customWidth="1"/>
    <col min="48" max="48" width="4.7109375" customWidth="1"/>
    <col min="49" max="49" width="7.5703125" customWidth="1"/>
    <col min="50" max="50" width="8.42578125" customWidth="1"/>
    <col min="51" max="51" width="4.7109375" customWidth="1"/>
    <col min="52" max="52" width="4.85546875" customWidth="1"/>
    <col min="53" max="53" width="7.28515625" customWidth="1"/>
    <col min="54" max="54" width="7.5703125" customWidth="1"/>
    <col min="55" max="55" width="4.42578125" customWidth="1"/>
    <col min="56" max="56" width="4.85546875" customWidth="1"/>
    <col min="57" max="57" width="7.5703125" customWidth="1"/>
    <col min="58" max="58" width="8" customWidth="1"/>
    <col min="59" max="59" width="4.5703125" customWidth="1"/>
    <col min="60" max="60" width="4.85546875" customWidth="1"/>
    <col min="61" max="61" width="7.5703125" customWidth="1"/>
    <col min="62" max="62" width="8.140625" customWidth="1"/>
    <col min="63" max="63" width="4.7109375" customWidth="1"/>
    <col min="64" max="64" width="4.85546875" customWidth="1"/>
    <col min="65" max="65" width="7.7109375" customWidth="1"/>
    <col min="66" max="66" width="8.28515625" customWidth="1"/>
    <col min="67" max="67" width="5.5703125" customWidth="1"/>
    <col min="68" max="68" width="5.42578125" customWidth="1"/>
    <col min="69" max="69" width="8" customWidth="1"/>
    <col min="70" max="70" width="8.28515625" customWidth="1"/>
    <col min="71" max="71" width="4.42578125" customWidth="1"/>
    <col min="72" max="72" width="4.7109375" customWidth="1"/>
    <col min="73" max="73" width="7.7109375" customWidth="1"/>
    <col min="74" max="74" width="8" customWidth="1"/>
    <col min="75" max="75" width="5" customWidth="1"/>
    <col min="76" max="76" width="5.42578125" customWidth="1"/>
    <col min="77" max="77" width="7.5703125" customWidth="1"/>
    <col min="78" max="78" width="8" customWidth="1"/>
    <col min="79" max="79" width="4.28515625" customWidth="1"/>
    <col min="80" max="80" width="5.5703125" customWidth="1"/>
    <col min="81" max="81" width="7.7109375" customWidth="1"/>
    <col min="82" max="82" width="8" customWidth="1"/>
    <col min="83" max="83" width="4" customWidth="1"/>
    <col min="84" max="84" width="4.5703125" customWidth="1"/>
    <col min="85" max="85" width="7.85546875" customWidth="1"/>
    <col min="86" max="86" width="8" customWidth="1"/>
    <col min="87" max="87" width="4.140625" customWidth="1"/>
    <col min="88" max="88" width="3.5703125" customWidth="1"/>
    <col min="89" max="90" width="8" customWidth="1"/>
    <col min="91" max="91" width="4.85546875" customWidth="1"/>
    <col min="92" max="92" width="5.5703125" customWidth="1"/>
    <col min="93" max="93" width="7.7109375" customWidth="1"/>
    <col min="94" max="94" width="8" customWidth="1"/>
    <col min="95" max="95" width="3.7109375" customWidth="1"/>
    <col min="96" max="96" width="4" customWidth="1"/>
    <col min="97" max="97" width="8.5703125" customWidth="1"/>
    <col min="98" max="98" width="8.140625" customWidth="1"/>
    <col min="99" max="99" width="4.7109375" customWidth="1"/>
    <col min="100" max="100" width="4.140625" customWidth="1"/>
    <col min="101" max="101" width="8.28515625" customWidth="1"/>
    <col min="102" max="102" width="7.5703125" customWidth="1"/>
    <col min="103" max="103" width="4.42578125" customWidth="1"/>
    <col min="104" max="104" width="4.140625" customWidth="1"/>
    <col min="105" max="105" width="8" customWidth="1"/>
    <col min="106" max="106" width="7.7109375" customWidth="1"/>
    <col min="107" max="107" width="4.42578125" customWidth="1"/>
    <col min="108" max="108" width="5" customWidth="1"/>
    <col min="109" max="109" width="8" customWidth="1"/>
    <col min="110" max="110" width="7.7109375" customWidth="1"/>
    <col min="111" max="111" width="3.85546875" customWidth="1"/>
    <col min="112" max="112" width="4.5703125" customWidth="1"/>
    <col min="113" max="114" width="7.85546875" customWidth="1"/>
    <col min="115" max="115" width="4.140625" customWidth="1"/>
    <col min="116" max="116" width="4" customWidth="1"/>
    <col min="117" max="117" width="9" customWidth="1"/>
    <col min="118" max="118" width="8.28515625" customWidth="1"/>
    <col min="119" max="119" width="3.85546875" customWidth="1"/>
    <col min="120" max="120" width="4.5703125" customWidth="1"/>
    <col min="121" max="121" width="7.5703125" customWidth="1"/>
    <col min="122" max="122" width="7.7109375" customWidth="1"/>
    <col min="123" max="123" width="4" customWidth="1"/>
    <col min="124" max="124" width="4.7109375" customWidth="1"/>
    <col min="125" max="125" width="7.5703125" customWidth="1"/>
    <col min="126" max="126" width="9" customWidth="1"/>
    <col min="127" max="128" width="4.7109375" customWidth="1"/>
    <col min="129" max="129" width="7.42578125" customWidth="1"/>
    <col min="130" max="130" width="8.42578125" customWidth="1"/>
    <col min="131" max="131" width="4.7109375" customWidth="1"/>
    <col min="132" max="132" width="5.42578125" customWidth="1"/>
    <col min="133" max="133" width="7.85546875" customWidth="1"/>
    <col min="134" max="134" width="8.42578125" customWidth="1"/>
    <col min="135" max="135" width="3.7109375" customWidth="1"/>
    <col min="136" max="136" width="4" customWidth="1"/>
    <col min="137" max="137" width="8.28515625" customWidth="1"/>
    <col min="138" max="138" width="8" customWidth="1"/>
    <col min="139" max="139" width="4.42578125" customWidth="1"/>
    <col min="140" max="140" width="5" customWidth="1"/>
    <col min="141" max="141" width="7.5703125" customWidth="1"/>
    <col min="142" max="142" width="8" customWidth="1"/>
    <col min="143" max="143" width="4.85546875" customWidth="1"/>
    <col min="144" max="144" width="4.7109375" customWidth="1"/>
    <col min="145" max="145" width="7.5703125" customWidth="1"/>
    <col min="146" max="146" width="8" customWidth="1"/>
    <col min="147" max="148" width="4.7109375" customWidth="1"/>
    <col min="149" max="149" width="8" customWidth="1"/>
    <col min="150" max="150" width="8.42578125" customWidth="1"/>
    <col min="151" max="151" width="4.5703125" customWidth="1"/>
    <col min="152" max="152" width="4.42578125" customWidth="1"/>
    <col min="153" max="153" width="7.5703125" customWidth="1"/>
    <col min="154" max="154" width="7.28515625" customWidth="1"/>
    <col min="155" max="155" width="5" customWidth="1"/>
    <col min="156" max="156" width="4.7109375" customWidth="1"/>
    <col min="157" max="157" width="7.42578125" customWidth="1"/>
    <col min="158" max="158" width="8" customWidth="1"/>
    <col min="159" max="159" width="4.85546875" customWidth="1"/>
    <col min="160" max="160" width="4.42578125" customWidth="1"/>
    <col min="161" max="161" width="8" customWidth="1"/>
    <col min="162" max="178" width="8.42578125" customWidth="1"/>
    <col min="179" max="179" width="5.140625" customWidth="1"/>
    <col min="180" max="180" width="5.5703125" customWidth="1"/>
    <col min="181" max="181" width="7.5703125" customWidth="1"/>
    <col min="182" max="182" width="8" customWidth="1"/>
    <col min="183" max="189" width="7.140625" customWidth="1"/>
  </cols>
  <sheetData>
    <row r="1" spans="1:190" ht="33.75" customHeight="1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spans="1:190" ht="70.5" customHeight="1" thickBot="1" x14ac:dyDescent="0.3">
      <c r="A2" s="23" t="s">
        <v>4</v>
      </c>
      <c r="B2" s="55" t="s">
        <v>5</v>
      </c>
      <c r="C2" s="3" t="s">
        <v>0</v>
      </c>
      <c r="D2" s="9" t="s">
        <v>2</v>
      </c>
      <c r="E2" s="7" t="s">
        <v>1</v>
      </c>
      <c r="F2" s="7" t="s">
        <v>6</v>
      </c>
      <c r="G2" s="3" t="s">
        <v>0</v>
      </c>
      <c r="H2" s="9" t="s">
        <v>2</v>
      </c>
      <c r="I2" s="7" t="s">
        <v>1</v>
      </c>
      <c r="J2" s="7" t="s">
        <v>6</v>
      </c>
      <c r="K2" s="3" t="s">
        <v>0</v>
      </c>
      <c r="L2" s="9" t="s">
        <v>2</v>
      </c>
      <c r="M2" s="7" t="s">
        <v>1</v>
      </c>
      <c r="N2" s="7" t="s">
        <v>6</v>
      </c>
      <c r="O2" s="3" t="s">
        <v>0</v>
      </c>
      <c r="P2" s="9" t="s">
        <v>2</v>
      </c>
      <c r="Q2" s="7" t="s">
        <v>1</v>
      </c>
      <c r="R2" s="7" t="s">
        <v>6</v>
      </c>
      <c r="S2" s="3" t="s">
        <v>0</v>
      </c>
      <c r="T2" s="9" t="s">
        <v>2</v>
      </c>
      <c r="U2" s="7" t="s">
        <v>1</v>
      </c>
      <c r="V2" s="7" t="s">
        <v>6</v>
      </c>
      <c r="W2" s="3" t="s">
        <v>0</v>
      </c>
      <c r="X2" s="9" t="s">
        <v>2</v>
      </c>
      <c r="Y2" s="7" t="s">
        <v>1</v>
      </c>
      <c r="Z2" s="7" t="s">
        <v>6</v>
      </c>
      <c r="AA2" s="3" t="s">
        <v>0</v>
      </c>
      <c r="AB2" s="9" t="s">
        <v>2</v>
      </c>
      <c r="AC2" s="7" t="s">
        <v>1</v>
      </c>
      <c r="AD2" s="7" t="s">
        <v>6</v>
      </c>
      <c r="AE2" s="3" t="s">
        <v>0</v>
      </c>
      <c r="AF2" s="9" t="s">
        <v>2</v>
      </c>
      <c r="AG2" s="7" t="s">
        <v>1</v>
      </c>
      <c r="AH2" s="7" t="s">
        <v>6</v>
      </c>
      <c r="AI2" s="3" t="s">
        <v>0</v>
      </c>
      <c r="AJ2" s="9" t="s">
        <v>2</v>
      </c>
      <c r="AK2" s="7" t="s">
        <v>1</v>
      </c>
      <c r="AL2" s="7" t="s">
        <v>6</v>
      </c>
      <c r="AM2" s="3" t="s">
        <v>0</v>
      </c>
      <c r="AN2" s="9" t="s">
        <v>2</v>
      </c>
      <c r="AO2" s="7" t="s">
        <v>1</v>
      </c>
      <c r="AP2" s="7" t="s">
        <v>6</v>
      </c>
      <c r="AQ2" s="3" t="s">
        <v>0</v>
      </c>
      <c r="AR2" s="9" t="s">
        <v>2</v>
      </c>
      <c r="AS2" s="7" t="s">
        <v>1</v>
      </c>
      <c r="AT2" s="7" t="s">
        <v>6</v>
      </c>
      <c r="AU2" s="3" t="s">
        <v>0</v>
      </c>
      <c r="AV2" s="9" t="s">
        <v>2</v>
      </c>
      <c r="AW2" s="7" t="s">
        <v>1</v>
      </c>
      <c r="AX2" s="7" t="s">
        <v>6</v>
      </c>
      <c r="AY2" s="3" t="s">
        <v>0</v>
      </c>
      <c r="AZ2" s="9" t="s">
        <v>2</v>
      </c>
      <c r="BA2" s="7" t="s">
        <v>1</v>
      </c>
      <c r="BB2" s="7" t="s">
        <v>6</v>
      </c>
      <c r="BC2" s="3" t="s">
        <v>0</v>
      </c>
      <c r="BD2" s="9" t="s">
        <v>2</v>
      </c>
      <c r="BE2" s="7" t="s">
        <v>1</v>
      </c>
      <c r="BF2" s="7" t="s">
        <v>6</v>
      </c>
      <c r="BG2" s="3" t="s">
        <v>0</v>
      </c>
      <c r="BH2" s="9" t="s">
        <v>2</v>
      </c>
      <c r="BI2" s="7" t="s">
        <v>1</v>
      </c>
      <c r="BJ2" s="7" t="s">
        <v>6</v>
      </c>
      <c r="BK2" s="3" t="s">
        <v>0</v>
      </c>
      <c r="BL2" s="9" t="s">
        <v>2</v>
      </c>
      <c r="BM2" s="7" t="s">
        <v>1</v>
      </c>
      <c r="BN2" s="7" t="s">
        <v>6</v>
      </c>
      <c r="BO2" s="3" t="s">
        <v>0</v>
      </c>
      <c r="BP2" s="9" t="s">
        <v>2</v>
      </c>
      <c r="BQ2" s="7" t="s">
        <v>1</v>
      </c>
      <c r="BR2" s="7" t="s">
        <v>6</v>
      </c>
      <c r="BS2" s="3" t="s">
        <v>0</v>
      </c>
      <c r="BT2" s="9" t="s">
        <v>2</v>
      </c>
      <c r="BU2" s="7" t="s">
        <v>1</v>
      </c>
      <c r="BV2" s="7" t="s">
        <v>6</v>
      </c>
      <c r="BW2" s="3" t="s">
        <v>0</v>
      </c>
      <c r="BX2" s="9" t="s">
        <v>2</v>
      </c>
      <c r="BY2" s="7" t="s">
        <v>1</v>
      </c>
      <c r="BZ2" s="7" t="s">
        <v>6</v>
      </c>
      <c r="CA2" s="3" t="s">
        <v>0</v>
      </c>
      <c r="CB2" s="9" t="s">
        <v>2</v>
      </c>
      <c r="CC2" s="7" t="s">
        <v>1</v>
      </c>
      <c r="CD2" s="7" t="s">
        <v>6</v>
      </c>
      <c r="CE2" s="3" t="s">
        <v>0</v>
      </c>
      <c r="CF2" s="9" t="s">
        <v>2</v>
      </c>
      <c r="CG2" s="7" t="s">
        <v>1</v>
      </c>
      <c r="CH2" s="7" t="s">
        <v>6</v>
      </c>
      <c r="CI2" s="3" t="s">
        <v>0</v>
      </c>
      <c r="CJ2" s="9" t="s">
        <v>2</v>
      </c>
      <c r="CK2" s="7" t="s">
        <v>1</v>
      </c>
      <c r="CL2" s="7" t="s">
        <v>6</v>
      </c>
      <c r="CM2" s="3" t="s">
        <v>0</v>
      </c>
      <c r="CN2" s="9" t="s">
        <v>2</v>
      </c>
      <c r="CO2" s="7" t="s">
        <v>1</v>
      </c>
      <c r="CP2" s="7" t="s">
        <v>6</v>
      </c>
      <c r="CQ2" s="3" t="s">
        <v>0</v>
      </c>
      <c r="CR2" s="9" t="s">
        <v>2</v>
      </c>
      <c r="CS2" s="7" t="s">
        <v>1</v>
      </c>
      <c r="CT2" s="7" t="s">
        <v>6</v>
      </c>
      <c r="CU2" s="3" t="s">
        <v>0</v>
      </c>
      <c r="CV2" s="9" t="s">
        <v>2</v>
      </c>
      <c r="CW2" s="7" t="s">
        <v>1</v>
      </c>
      <c r="CX2" s="7" t="s">
        <v>6</v>
      </c>
      <c r="CY2" s="3" t="s">
        <v>0</v>
      </c>
      <c r="CZ2" s="9" t="s">
        <v>2</v>
      </c>
      <c r="DA2" s="7" t="s">
        <v>1</v>
      </c>
      <c r="DB2" s="7" t="s">
        <v>6</v>
      </c>
      <c r="DC2" s="3" t="s">
        <v>0</v>
      </c>
      <c r="DD2" s="9" t="s">
        <v>2</v>
      </c>
      <c r="DE2" s="7" t="s">
        <v>1</v>
      </c>
      <c r="DF2" s="7" t="s">
        <v>6</v>
      </c>
      <c r="DG2" s="3" t="s">
        <v>0</v>
      </c>
      <c r="DH2" s="9" t="s">
        <v>2</v>
      </c>
      <c r="DI2" s="7" t="s">
        <v>1</v>
      </c>
      <c r="DJ2" s="7" t="s">
        <v>6</v>
      </c>
      <c r="DK2" s="3" t="s">
        <v>0</v>
      </c>
      <c r="DL2" s="9" t="s">
        <v>2</v>
      </c>
      <c r="DM2" s="7" t="s">
        <v>1</v>
      </c>
      <c r="DN2" s="7" t="s">
        <v>6</v>
      </c>
      <c r="DO2" s="3" t="s">
        <v>0</v>
      </c>
      <c r="DP2" s="9" t="s">
        <v>2</v>
      </c>
      <c r="DQ2" s="7" t="s">
        <v>1</v>
      </c>
      <c r="DR2" s="7" t="s">
        <v>6</v>
      </c>
      <c r="DS2" s="3" t="s">
        <v>0</v>
      </c>
      <c r="DT2" s="9" t="s">
        <v>2</v>
      </c>
      <c r="DU2" s="7" t="s">
        <v>1</v>
      </c>
      <c r="DV2" s="7" t="s">
        <v>6</v>
      </c>
      <c r="DW2" s="3" t="s">
        <v>0</v>
      </c>
      <c r="DX2" s="9" t="s">
        <v>2</v>
      </c>
      <c r="DY2" s="7" t="s">
        <v>1</v>
      </c>
      <c r="DZ2" s="7" t="s">
        <v>6</v>
      </c>
      <c r="EA2" s="3" t="s">
        <v>0</v>
      </c>
      <c r="EB2" s="9" t="s">
        <v>2</v>
      </c>
      <c r="EC2" s="7" t="s">
        <v>1</v>
      </c>
      <c r="ED2" s="7" t="s">
        <v>6</v>
      </c>
      <c r="EE2" s="3" t="s">
        <v>0</v>
      </c>
      <c r="EF2" s="9" t="s">
        <v>2</v>
      </c>
      <c r="EG2" s="7" t="s">
        <v>1</v>
      </c>
      <c r="EH2" s="7" t="s">
        <v>6</v>
      </c>
      <c r="EI2" s="3" t="s">
        <v>0</v>
      </c>
      <c r="EJ2" s="9" t="s">
        <v>2</v>
      </c>
      <c r="EK2" s="7" t="s">
        <v>1</v>
      </c>
      <c r="EL2" s="7" t="s">
        <v>6</v>
      </c>
      <c r="EM2" s="3" t="s">
        <v>0</v>
      </c>
      <c r="EN2" s="9" t="s">
        <v>2</v>
      </c>
      <c r="EO2" s="7" t="s">
        <v>1</v>
      </c>
      <c r="EP2" s="7" t="s">
        <v>6</v>
      </c>
      <c r="EQ2" s="3" t="s">
        <v>0</v>
      </c>
      <c r="ER2" s="9" t="s">
        <v>2</v>
      </c>
      <c r="ES2" s="7" t="s">
        <v>1</v>
      </c>
      <c r="ET2" s="7" t="s">
        <v>6</v>
      </c>
      <c r="EU2" s="3" t="s">
        <v>0</v>
      </c>
      <c r="EV2" s="9" t="s">
        <v>2</v>
      </c>
      <c r="EW2" s="7" t="s">
        <v>1</v>
      </c>
      <c r="EX2" s="7" t="s">
        <v>6</v>
      </c>
      <c r="EY2" s="3" t="s">
        <v>0</v>
      </c>
      <c r="EZ2" s="9" t="s">
        <v>2</v>
      </c>
      <c r="FA2" s="7" t="s">
        <v>1</v>
      </c>
      <c r="FB2" s="7" t="s">
        <v>6</v>
      </c>
      <c r="FC2" s="3" t="s">
        <v>0</v>
      </c>
      <c r="FD2" s="9" t="s">
        <v>2</v>
      </c>
      <c r="FE2" s="7" t="s">
        <v>1</v>
      </c>
      <c r="FF2" s="7" t="s">
        <v>6</v>
      </c>
      <c r="FG2" s="3" t="s">
        <v>0</v>
      </c>
      <c r="FH2" s="9" t="s">
        <v>2</v>
      </c>
      <c r="FI2" s="7" t="s">
        <v>1</v>
      </c>
      <c r="FJ2" s="7" t="s">
        <v>6</v>
      </c>
      <c r="FK2" s="3" t="s">
        <v>0</v>
      </c>
      <c r="FL2" s="9" t="s">
        <v>2</v>
      </c>
      <c r="FM2" s="7" t="s">
        <v>1</v>
      </c>
      <c r="FN2" s="7" t="s">
        <v>6</v>
      </c>
      <c r="FO2" s="3" t="s">
        <v>0</v>
      </c>
      <c r="FP2" s="9" t="s">
        <v>2</v>
      </c>
      <c r="FQ2" s="7" t="s">
        <v>1</v>
      </c>
      <c r="FR2" s="7" t="s">
        <v>6</v>
      </c>
      <c r="FS2" s="3" t="s">
        <v>0</v>
      </c>
      <c r="FT2" s="9" t="s">
        <v>2</v>
      </c>
      <c r="FU2" s="7" t="s">
        <v>1</v>
      </c>
      <c r="FV2" s="7" t="s">
        <v>6</v>
      </c>
      <c r="FW2" s="3" t="s">
        <v>0</v>
      </c>
      <c r="FX2" s="9" t="s">
        <v>2</v>
      </c>
      <c r="FY2" s="7" t="s">
        <v>1</v>
      </c>
      <c r="FZ2" s="7" t="s">
        <v>6</v>
      </c>
      <c r="GA2" s="49" t="s">
        <v>19</v>
      </c>
      <c r="GB2" s="10" t="s">
        <v>20</v>
      </c>
      <c r="GC2" s="10" t="s">
        <v>21</v>
      </c>
      <c r="GD2" s="10" t="s">
        <v>22</v>
      </c>
      <c r="GE2" s="81" t="s">
        <v>23</v>
      </c>
      <c r="GF2" s="81"/>
      <c r="GG2" s="81"/>
      <c r="GH2" s="22" t="s">
        <v>24</v>
      </c>
    </row>
    <row r="3" spans="1:190" ht="72" customHeight="1" thickBot="1" x14ac:dyDescent="0.3">
      <c r="A3" s="21">
        <v>1</v>
      </c>
      <c r="B3" s="30" t="s">
        <v>13</v>
      </c>
      <c r="C3" s="3">
        <v>10</v>
      </c>
      <c r="D3" s="3">
        <v>10</v>
      </c>
      <c r="E3" s="12">
        <f>D3/C3</f>
        <v>1</v>
      </c>
      <c r="F3" s="12">
        <f>POWER(D3-$GC3,2)</f>
        <v>1.3871604938271591</v>
      </c>
      <c r="G3" s="3">
        <v>9</v>
      </c>
      <c r="H3" s="5">
        <v>9</v>
      </c>
      <c r="I3" s="12">
        <f>H3/G3</f>
        <v>1</v>
      </c>
      <c r="J3" s="12">
        <f>POWER(H3-$GC3,2)</f>
        <v>3.1604938271604717E-2</v>
      </c>
      <c r="K3" s="3">
        <v>9</v>
      </c>
      <c r="L3" s="5">
        <v>9</v>
      </c>
      <c r="M3" s="12">
        <f>L3/K3</f>
        <v>1</v>
      </c>
      <c r="N3" s="12">
        <f>POWER(L3-$GC3,2)</f>
        <v>3.1604938271604717E-2</v>
      </c>
      <c r="O3" s="3">
        <v>8</v>
      </c>
      <c r="P3" s="5">
        <v>8</v>
      </c>
      <c r="Q3" s="12">
        <f>P3/O3</f>
        <v>1</v>
      </c>
      <c r="R3" s="12">
        <f>POWER(P3-$GC3,2)</f>
        <v>0.67604938271605042</v>
      </c>
      <c r="S3" s="3">
        <v>8</v>
      </c>
      <c r="T3" s="26">
        <v>8</v>
      </c>
      <c r="U3" s="12">
        <f>T3/S3</f>
        <v>1</v>
      </c>
      <c r="V3" s="12">
        <f>POWER(T3-$GC3,2)</f>
        <v>0.67604938271605042</v>
      </c>
      <c r="W3" s="3">
        <v>5</v>
      </c>
      <c r="X3" s="5">
        <v>5</v>
      </c>
      <c r="Y3" s="12">
        <f>X3/W3</f>
        <v>1</v>
      </c>
      <c r="Z3" s="12">
        <f>POWER(X3-$GC3,2)</f>
        <v>14.609382716049387</v>
      </c>
      <c r="AA3" s="3">
        <v>10</v>
      </c>
      <c r="AB3" s="5">
        <v>8</v>
      </c>
      <c r="AC3" s="12">
        <f>AB3/AA3</f>
        <v>0.8</v>
      </c>
      <c r="AD3" s="12">
        <f>POWER(AB3-$GC3,2)</f>
        <v>0.67604938271605042</v>
      </c>
      <c r="AE3" s="3">
        <v>8</v>
      </c>
      <c r="AF3" s="5">
        <v>7</v>
      </c>
      <c r="AG3" s="12">
        <f>AF3/AE3</f>
        <v>0.875</v>
      </c>
      <c r="AH3" s="12">
        <f>POWER(AF3-$GC3,2)</f>
        <v>3.320493827160496</v>
      </c>
      <c r="AI3" s="3">
        <v>10</v>
      </c>
      <c r="AJ3" s="5">
        <v>8</v>
      </c>
      <c r="AK3" s="12">
        <f>AJ3/AI3</f>
        <v>0.8</v>
      </c>
      <c r="AL3" s="12">
        <f>POWER(AJ3-$GC3,2)</f>
        <v>0.67604938271605042</v>
      </c>
      <c r="AM3" s="3">
        <v>8</v>
      </c>
      <c r="AN3" s="5">
        <v>8</v>
      </c>
      <c r="AO3" s="12">
        <f>AN3/AM3</f>
        <v>1</v>
      </c>
      <c r="AP3" s="12">
        <f>POWER(AN3-$GC3,2)</f>
        <v>0.67604938271605042</v>
      </c>
      <c r="AQ3" s="3">
        <v>9</v>
      </c>
      <c r="AR3" s="5">
        <v>9</v>
      </c>
      <c r="AS3" s="12">
        <f>AR3/AQ3</f>
        <v>1</v>
      </c>
      <c r="AT3" s="12">
        <f>POWER(AR3-$GC3,2)</f>
        <v>3.1604938271604717E-2</v>
      </c>
      <c r="AU3" s="3">
        <v>9</v>
      </c>
      <c r="AV3" s="5">
        <v>8</v>
      </c>
      <c r="AW3" s="12">
        <f>AV3/AU3</f>
        <v>0.88888888888888884</v>
      </c>
      <c r="AX3" s="12">
        <f>POWER(AV3-$GC3,2)</f>
        <v>0.67604938271605042</v>
      </c>
      <c r="AY3" s="3">
        <v>9</v>
      </c>
      <c r="AZ3" s="5">
        <v>9</v>
      </c>
      <c r="BA3" s="12">
        <f>AZ3/AY3</f>
        <v>1</v>
      </c>
      <c r="BB3" s="12">
        <f>POWER(AZ3-$GC3,2)</f>
        <v>3.1604938271604717E-2</v>
      </c>
      <c r="BC3" s="3">
        <v>6</v>
      </c>
      <c r="BD3" s="3">
        <v>6</v>
      </c>
      <c r="BE3" s="12">
        <f>BD3/BC3</f>
        <v>1</v>
      </c>
      <c r="BF3" s="12">
        <f>POWER(BD3-$GC3,2)</f>
        <v>7.9649382716049422</v>
      </c>
      <c r="BG3" s="3">
        <v>10</v>
      </c>
      <c r="BH3" s="5">
        <v>7</v>
      </c>
      <c r="BI3" s="12">
        <f>BH3/BG3</f>
        <v>0.7</v>
      </c>
      <c r="BJ3" s="12">
        <f>POWER(BH3-$GC3,2)</f>
        <v>3.320493827160496</v>
      </c>
      <c r="BK3" s="3">
        <v>10</v>
      </c>
      <c r="BL3" s="5">
        <v>10</v>
      </c>
      <c r="BM3" s="12">
        <f>BL3/BK3</f>
        <v>1</v>
      </c>
      <c r="BN3" s="12">
        <f>POWER(BL3-$GC3,2)</f>
        <v>1.3871604938271591</v>
      </c>
      <c r="BO3" s="3">
        <v>9</v>
      </c>
      <c r="BP3" s="3">
        <v>9</v>
      </c>
      <c r="BQ3" s="12">
        <f>BP3/BO3</f>
        <v>1</v>
      </c>
      <c r="BR3" s="12">
        <f>POWER(BP3-$GC3,2)</f>
        <v>3.1604938271604717E-2</v>
      </c>
      <c r="BS3" s="3">
        <v>10</v>
      </c>
      <c r="BT3" s="5">
        <v>9</v>
      </c>
      <c r="BU3" s="12">
        <f>BT3/BS3</f>
        <v>0.9</v>
      </c>
      <c r="BV3" s="12">
        <f>POWER(BT3-$GC3,2)</f>
        <v>3.1604938271604717E-2</v>
      </c>
      <c r="BW3" s="3">
        <v>10</v>
      </c>
      <c r="BX3" s="5">
        <v>9</v>
      </c>
      <c r="BY3" s="12">
        <f>BX3/BW3</f>
        <v>0.9</v>
      </c>
      <c r="BZ3" s="12">
        <f>POWER(BX3-$GC3,2)</f>
        <v>3.1604938271604717E-2</v>
      </c>
      <c r="CA3" s="3">
        <v>8</v>
      </c>
      <c r="CB3" s="5">
        <v>8</v>
      </c>
      <c r="CC3" s="12">
        <f>CB3/CA3</f>
        <v>1</v>
      </c>
      <c r="CD3" s="12">
        <f>POWER(CB3-$GC3,2)</f>
        <v>0.67604938271605042</v>
      </c>
      <c r="CE3" s="3">
        <v>9</v>
      </c>
      <c r="CF3" s="5">
        <v>8</v>
      </c>
      <c r="CG3" s="12">
        <f>CF3/CE3</f>
        <v>0.88888888888888884</v>
      </c>
      <c r="CH3" s="12">
        <f>POWER(CF3-$GC3,2)</f>
        <v>0.67604938271605042</v>
      </c>
      <c r="CI3" s="3">
        <v>7</v>
      </c>
      <c r="CJ3" s="5">
        <v>6</v>
      </c>
      <c r="CK3" s="12">
        <f>CJ3/CI3</f>
        <v>0.8571428571428571</v>
      </c>
      <c r="CL3" s="12">
        <f>POWER(CJ3-$GC3,2)</f>
        <v>7.9649382716049422</v>
      </c>
      <c r="CM3" s="3">
        <v>8</v>
      </c>
      <c r="CN3" s="5">
        <v>7</v>
      </c>
      <c r="CO3" s="12">
        <f>CN3/CM3</f>
        <v>0.875</v>
      </c>
      <c r="CP3" s="12">
        <f>POWER(CN3-$GC3,2)</f>
        <v>3.320493827160496</v>
      </c>
      <c r="CQ3" s="3">
        <v>9</v>
      </c>
      <c r="CR3" s="5">
        <v>9</v>
      </c>
      <c r="CS3" s="12">
        <f>CR3/CQ3</f>
        <v>1</v>
      </c>
      <c r="CT3" s="12">
        <f>POWER(CR3-$GC3,2)</f>
        <v>3.1604938271604717E-2</v>
      </c>
      <c r="CU3" s="3">
        <v>9</v>
      </c>
      <c r="CV3" s="5">
        <v>8</v>
      </c>
      <c r="CW3" s="12">
        <f>CV3/CU3</f>
        <v>0.88888888888888884</v>
      </c>
      <c r="CX3" s="12">
        <f>POWER(CV3-$GC3,2)</f>
        <v>0.67604938271605042</v>
      </c>
      <c r="CY3" s="3">
        <v>9</v>
      </c>
      <c r="CZ3" s="5">
        <v>9</v>
      </c>
      <c r="DA3" s="12">
        <f>CZ3/CY3</f>
        <v>1</v>
      </c>
      <c r="DB3" s="12">
        <f>POWER(CZ3-$GC3,2)</f>
        <v>3.1604938271604717E-2</v>
      </c>
      <c r="DC3" s="3">
        <v>8</v>
      </c>
      <c r="DD3" s="5">
        <v>8</v>
      </c>
      <c r="DE3" s="12">
        <f>DD3/DC3</f>
        <v>1</v>
      </c>
      <c r="DF3" s="12">
        <f>POWER(DD3-$GC3,2)</f>
        <v>0.67604938271605042</v>
      </c>
      <c r="DG3" s="3">
        <v>9</v>
      </c>
      <c r="DH3" s="5">
        <v>8</v>
      </c>
      <c r="DI3" s="12">
        <f>DH3/DG3</f>
        <v>0.88888888888888884</v>
      </c>
      <c r="DJ3" s="12">
        <f>POWER(DH3-$GC3,2)</f>
        <v>0.67604938271605042</v>
      </c>
      <c r="DK3" s="3">
        <v>10</v>
      </c>
      <c r="DL3" s="5">
        <v>10</v>
      </c>
      <c r="DM3" s="12">
        <f>DL3/DK3</f>
        <v>1</v>
      </c>
      <c r="DN3" s="12">
        <f>POWER(DL3-$GC3,2)</f>
        <v>1.3871604938271591</v>
      </c>
      <c r="DO3" s="3">
        <v>10</v>
      </c>
      <c r="DP3" s="3">
        <v>10</v>
      </c>
      <c r="DQ3" s="12">
        <f>DP3/DO3</f>
        <v>1</v>
      </c>
      <c r="DR3" s="12">
        <f>POWER(DP3-$GC3,2)</f>
        <v>1.3871604938271591</v>
      </c>
      <c r="DS3" s="3">
        <v>10</v>
      </c>
      <c r="DT3" s="5">
        <v>10</v>
      </c>
      <c r="DU3" s="12">
        <f>DT3/DS3</f>
        <v>1</v>
      </c>
      <c r="DV3" s="12">
        <f>POWER(DT3-$GC3,2)</f>
        <v>1.3871604938271591</v>
      </c>
      <c r="DW3" s="3">
        <v>10</v>
      </c>
      <c r="DX3" s="5">
        <v>10</v>
      </c>
      <c r="DY3" s="12">
        <f>DX3/DW3</f>
        <v>1</v>
      </c>
      <c r="DZ3" s="12">
        <f>POWER(DX3-$GC3,2)</f>
        <v>1.3871604938271591</v>
      </c>
      <c r="EA3" s="3">
        <v>10</v>
      </c>
      <c r="EB3" s="3">
        <v>10</v>
      </c>
      <c r="EC3" s="12">
        <f>EB3/EA3</f>
        <v>1</v>
      </c>
      <c r="ED3" s="12">
        <f>POWER(EB3-$GC3,2)</f>
        <v>1.3871604938271591</v>
      </c>
      <c r="EE3" s="3">
        <v>10</v>
      </c>
      <c r="EF3" s="5">
        <v>10</v>
      </c>
      <c r="EG3" s="12">
        <f>EF3/EE3</f>
        <v>1</v>
      </c>
      <c r="EH3" s="12">
        <f>POWER(EF3-$GC3,2)</f>
        <v>1.3871604938271591</v>
      </c>
      <c r="EI3" s="3">
        <v>10</v>
      </c>
      <c r="EJ3" s="5">
        <v>10</v>
      </c>
      <c r="EK3" s="12">
        <f>EJ3/EI3</f>
        <v>1</v>
      </c>
      <c r="EL3" s="12">
        <f>POWER(EJ3-$GC3,2)</f>
        <v>1.3871604938271591</v>
      </c>
      <c r="EM3" s="3">
        <v>10</v>
      </c>
      <c r="EN3" s="5">
        <v>10</v>
      </c>
      <c r="EO3" s="12">
        <f>EN3/EM3</f>
        <v>1</v>
      </c>
      <c r="EP3" s="12">
        <f>POWER(EN3-$GC3,2)</f>
        <v>1.3871604938271591</v>
      </c>
      <c r="EQ3" s="3">
        <v>10</v>
      </c>
      <c r="ER3" s="5">
        <v>10</v>
      </c>
      <c r="ES3" s="12">
        <f t="shared" ref="ES3:ES11" si="0">ER3/EQ3</f>
        <v>1</v>
      </c>
      <c r="ET3" s="12">
        <f t="shared" ref="ET3:ET11" si="1">POWER(ER3-$GC3,2)</f>
        <v>1.3871604938271591</v>
      </c>
      <c r="EU3" s="3">
        <v>10</v>
      </c>
      <c r="EV3" s="5">
        <v>10</v>
      </c>
      <c r="EW3" s="12">
        <f t="shared" ref="EW3:EW11" si="2">EV3/EU3</f>
        <v>1</v>
      </c>
      <c r="EX3" s="12">
        <f t="shared" ref="EX3:EX11" si="3">POWER(EV3-$GC3,2)</f>
        <v>1.3871604938271591</v>
      </c>
      <c r="EY3" s="3">
        <v>10</v>
      </c>
      <c r="EZ3" s="5">
        <v>10</v>
      </c>
      <c r="FA3" s="12">
        <f t="shared" ref="FA3:FA11" si="4">EZ3/EY3</f>
        <v>1</v>
      </c>
      <c r="FB3" s="12">
        <f t="shared" ref="FB3:FB11" si="5">POWER(EZ3-$GC3,2)</f>
        <v>1.3871604938271591</v>
      </c>
      <c r="FC3" s="3">
        <v>10</v>
      </c>
      <c r="FD3" s="5">
        <v>10</v>
      </c>
      <c r="FE3" s="12">
        <f t="shared" ref="FE3:FE11" si="6">FD3/FC3</f>
        <v>1</v>
      </c>
      <c r="FF3" s="12">
        <f t="shared" ref="FF3:FF11" si="7">POWER(FD3-$GC3,2)</f>
        <v>1.3871604938271591</v>
      </c>
      <c r="FG3" s="3">
        <v>10</v>
      </c>
      <c r="FH3" s="5">
        <v>10</v>
      </c>
      <c r="FI3" s="12">
        <f t="shared" ref="FI3:FI11" si="8">FH3/FG3</f>
        <v>1</v>
      </c>
      <c r="FJ3" s="12">
        <f t="shared" ref="FJ3:FJ11" si="9">POWER(FH3-$GC3,2)</f>
        <v>1.3871604938271591</v>
      </c>
      <c r="FK3" s="3">
        <v>10</v>
      </c>
      <c r="FL3" s="5">
        <v>10</v>
      </c>
      <c r="FM3" s="12">
        <f t="shared" ref="FM3:FM11" si="10">FL3/FK3</f>
        <v>1</v>
      </c>
      <c r="FN3" s="12">
        <f t="shared" ref="FN3:FN11" si="11">POWER(FL3-$GC3,2)</f>
        <v>1.3871604938271591</v>
      </c>
      <c r="FO3" s="3">
        <v>10</v>
      </c>
      <c r="FP3" s="5">
        <v>10</v>
      </c>
      <c r="FQ3" s="12">
        <f t="shared" ref="FQ3:FQ11" si="12">FP3/FO3</f>
        <v>1</v>
      </c>
      <c r="FR3" s="12">
        <f t="shared" ref="FR3:FR11" si="13">POWER(FP3-$GC3,2)</f>
        <v>1.3871604938271591</v>
      </c>
      <c r="FS3" s="3">
        <v>10</v>
      </c>
      <c r="FT3" s="5">
        <v>10</v>
      </c>
      <c r="FU3" s="12">
        <f t="shared" ref="FU3:FU11" si="14">FT3/FS3</f>
        <v>1</v>
      </c>
      <c r="FV3" s="12">
        <f t="shared" ref="FV3:FV11" si="15">POWER(FT3-$GC3,2)</f>
        <v>1.3871604938271591</v>
      </c>
      <c r="FW3" s="3">
        <v>10</v>
      </c>
      <c r="FX3" s="5">
        <v>10</v>
      </c>
      <c r="FY3" s="12">
        <f t="shared" ref="FY3:FY11" si="16">FX3/FW3</f>
        <v>1</v>
      </c>
      <c r="FZ3" s="12">
        <f t="shared" ref="FZ3:FZ11" si="17">POWER(FX3-$GC3,2)</f>
        <v>1.3871604938271591</v>
      </c>
      <c r="GA3" s="4">
        <f>COUNT(C3,G3,K3,O3,S3,W3,AA3,AE3,AI3,AM3,AQ3,AU3,AY3,BC3,BG3,BK3,BO3,BS3,BW3,CA3,CE3,CI3,CM3,CQ3,CU3,CY3,DC3,DG3,DK3,DO3,DS3,DW3,EA3,EE3,EI3,EM3,EQ3,EU3,EY3,FC3,FW3,FG3,FK3,FO3,FS3)</f>
        <v>45</v>
      </c>
      <c r="GB3" s="15">
        <f>(E3+I3+M3+Q3+U3+Y3+AC3+AG3+AK3+AO3+AS3+AW3+BA3+BE3+BI3+BM3+BQ3+BU3+BY3+CC3+CG3+CK3+CO3+CS3+CW3+DA3+DE3+DI3+DM3+DQ3+DU3+DY3+EC3+EG3+EK3+EO3+ES3+EW3+FA3+FE3+FY3+FI3+FM3+FQ3+FU3)*100/GA3</f>
        <v>96.139329805996468</v>
      </c>
      <c r="GC3" s="15">
        <f>AVERAGE(D3,H3,L3,P3,T3,X3,AB3,AF3,AJ3,AN3,AR3,AV3,AZ3,BD3,BH3,BL3,BP3,BT3,BX3,CB3,CF3,CJ3,CN3,CR3,CV3,CZ3,DD3,DH3,DL3,DP3,DT3,DX3,EB3,EF3,EJ3,EN3,ER3,EV3,EZ3,FD3,FX3,FH3,FL3,FP3,FT3)</f>
        <v>8.8222222222222229</v>
      </c>
      <c r="GD3" s="15">
        <f>SQRT((F3+J3+N3+R3+V3+Z3+AD3+AH3+AL3+AP3+AT3+AX3+BB3+BF3+BJ3+BN3+BR3++BV3+BZ3+CD3+CH3+CL3+CP3+CT3+CX3+DB3+DF3+DJ3+DN3+DR3+DV3+DZ3+ED3+EH3+EL3+EP3+ET3+EX3+FB3+FF3+FZ3)/GA3)</f>
        <v>1.2385397836203833</v>
      </c>
      <c r="GE3" s="16">
        <f>GB3</f>
        <v>96.139329805996468</v>
      </c>
      <c r="GF3" s="17" t="s">
        <v>3</v>
      </c>
      <c r="GG3" s="24">
        <f>GD3</f>
        <v>1.2385397836203833</v>
      </c>
      <c r="GH3" s="4" t="str">
        <f>IF(GB3&lt;40,"неудовлетворительно",IF((GB3&gt;=40)*AND(GB3&lt;60),"удовлетворительно",IF((GB3&gt;=60)*AND(GB3&lt;80),"хорошо","отлично")))</f>
        <v>отлично</v>
      </c>
    </row>
    <row r="4" spans="1:190" ht="39.75" customHeight="1" thickBot="1" x14ac:dyDescent="0.3">
      <c r="A4" s="21">
        <v>2</v>
      </c>
      <c r="B4" s="31" t="s">
        <v>14</v>
      </c>
      <c r="C4" s="3">
        <v>10</v>
      </c>
      <c r="D4" s="3">
        <v>10</v>
      </c>
      <c r="E4" s="12">
        <f t="shared" ref="E4:E14" si="18">D4/C4</f>
        <v>1</v>
      </c>
      <c r="F4" s="12">
        <f t="shared" ref="F4:F11" si="19">POWER(D4-$GC4,2)</f>
        <v>1.9600000000000011</v>
      </c>
      <c r="G4" s="3">
        <v>9</v>
      </c>
      <c r="H4" s="5">
        <v>9</v>
      </c>
      <c r="I4" s="12">
        <f t="shared" ref="I4:I14" si="20">H4/G4</f>
        <v>1</v>
      </c>
      <c r="J4" s="12">
        <f t="shared" ref="J4:J11" si="21">POWER(H4-$GC4,2)</f>
        <v>0.16000000000000028</v>
      </c>
      <c r="K4" s="3">
        <v>9</v>
      </c>
      <c r="L4" s="5">
        <v>9</v>
      </c>
      <c r="M4" s="12">
        <f t="shared" ref="M4:M14" si="22">L4/K4</f>
        <v>1</v>
      </c>
      <c r="N4" s="12">
        <f t="shared" ref="N4:N11" si="23">POWER(L4-$GC4,2)</f>
        <v>0.16000000000000028</v>
      </c>
      <c r="O4" s="3">
        <v>9</v>
      </c>
      <c r="P4" s="5">
        <v>9</v>
      </c>
      <c r="Q4" s="12">
        <f t="shared" ref="Q4:Q14" si="24">P4/O4</f>
        <v>1</v>
      </c>
      <c r="R4" s="12">
        <f t="shared" ref="R4:R11" si="25">POWER(P4-$GC4,2)</f>
        <v>0.16000000000000028</v>
      </c>
      <c r="S4" s="3">
        <v>8</v>
      </c>
      <c r="T4" s="3">
        <v>8</v>
      </c>
      <c r="U4" s="12">
        <f t="shared" ref="U4:U14" si="26">T4/S4</f>
        <v>1</v>
      </c>
      <c r="V4" s="12">
        <f t="shared" ref="V4:V11" si="27">POWER(T4-$GC4,2)</f>
        <v>0.3599999999999996</v>
      </c>
      <c r="W4" s="3">
        <v>4</v>
      </c>
      <c r="X4" s="5">
        <v>4</v>
      </c>
      <c r="Y4" s="12">
        <f t="shared" ref="Y4:Y14" si="28">X4/W4</f>
        <v>1</v>
      </c>
      <c r="Z4" s="12">
        <f t="shared" ref="Z4:Z11" si="29">POWER(X4-$GC4,2)</f>
        <v>21.159999999999997</v>
      </c>
      <c r="AA4" s="3">
        <v>9</v>
      </c>
      <c r="AB4" s="5">
        <v>8</v>
      </c>
      <c r="AC4" s="12">
        <f t="shared" ref="AC4:AC14" si="30">AB4/AA4</f>
        <v>0.88888888888888884</v>
      </c>
      <c r="AD4" s="12">
        <f t="shared" ref="AD4:AD11" si="31">POWER(AB4-$GC4,2)</f>
        <v>0.3599999999999996</v>
      </c>
      <c r="AE4" s="3">
        <v>7</v>
      </c>
      <c r="AF4" s="5">
        <v>7</v>
      </c>
      <c r="AG4" s="12">
        <f t="shared" ref="AG4:AG14" si="32">AF4/AE4</f>
        <v>1</v>
      </c>
      <c r="AH4" s="12">
        <f t="shared" ref="AH4:AH11" si="33">POWER(AF4-$GC4,2)</f>
        <v>2.5599999999999987</v>
      </c>
      <c r="AI4" s="3">
        <v>10</v>
      </c>
      <c r="AJ4" s="5">
        <v>8</v>
      </c>
      <c r="AK4" s="12">
        <f t="shared" ref="AK4:AK14" si="34">AJ4/AI4</f>
        <v>0.8</v>
      </c>
      <c r="AL4" s="12">
        <f t="shared" ref="AL4:AL11" si="35">POWER(AJ4-$GC4,2)</f>
        <v>0.3599999999999996</v>
      </c>
      <c r="AM4" s="3">
        <v>9</v>
      </c>
      <c r="AN4" s="5">
        <v>9</v>
      </c>
      <c r="AO4" s="12">
        <f t="shared" ref="AO4:AO14" si="36">AN4/AM4</f>
        <v>1</v>
      </c>
      <c r="AP4" s="12">
        <f t="shared" ref="AP4:AP11" si="37">POWER(AN4-$GC4,2)</f>
        <v>0.16000000000000028</v>
      </c>
      <c r="AQ4" s="3">
        <v>9</v>
      </c>
      <c r="AR4" s="5">
        <v>8</v>
      </c>
      <c r="AS4" s="12">
        <f t="shared" ref="AS4:AS14" si="38">AR4/AQ4</f>
        <v>0.88888888888888884</v>
      </c>
      <c r="AT4" s="12">
        <f t="shared" ref="AT4:AT11" si="39">POWER(AR4-$GC4,2)</f>
        <v>0.3599999999999996</v>
      </c>
      <c r="AU4" s="3">
        <v>8</v>
      </c>
      <c r="AV4" s="5">
        <v>8</v>
      </c>
      <c r="AW4" s="12">
        <f t="shared" ref="AW4:AW11" si="40">AV4/AU4</f>
        <v>1</v>
      </c>
      <c r="AX4" s="12">
        <f t="shared" ref="AX4:AX11" si="41">POWER(AV4-$GC4,2)</f>
        <v>0.3599999999999996</v>
      </c>
      <c r="AY4" s="3">
        <v>8</v>
      </c>
      <c r="AZ4" s="5">
        <v>8</v>
      </c>
      <c r="BA4" s="12">
        <f t="shared" ref="BA4:BA11" si="42">AZ4/AY4</f>
        <v>1</v>
      </c>
      <c r="BB4" s="12">
        <f t="shared" ref="BB4:BB11" si="43">POWER(AZ4-$GC4,2)</f>
        <v>0.3599999999999996</v>
      </c>
      <c r="BC4" s="3">
        <v>7</v>
      </c>
      <c r="BD4" s="3">
        <v>7</v>
      </c>
      <c r="BE4" s="12">
        <f t="shared" ref="BE4:BE11" si="44">BD4/BC4</f>
        <v>1</v>
      </c>
      <c r="BF4" s="12">
        <f t="shared" ref="BF4:BF11" si="45">POWER(BD4-$GC4,2)</f>
        <v>2.5599999999999987</v>
      </c>
      <c r="BG4" s="3">
        <v>10</v>
      </c>
      <c r="BH4" s="5">
        <v>7</v>
      </c>
      <c r="BI4" s="12">
        <f t="shared" ref="BI4:BI11" si="46">BH4/BG4</f>
        <v>0.7</v>
      </c>
      <c r="BJ4" s="12">
        <f t="shared" ref="BJ4:BJ14" si="47">POWER(BH4-$GC4,2)</f>
        <v>2.5599999999999987</v>
      </c>
      <c r="BK4" s="3">
        <v>8</v>
      </c>
      <c r="BL4" s="5">
        <v>7</v>
      </c>
      <c r="BM4" s="12">
        <f t="shared" ref="BM4:BM11" si="48">BL4/BK4</f>
        <v>0.875</v>
      </c>
      <c r="BN4" s="12">
        <f t="shared" ref="BN4:BN11" si="49">POWER(BL4-$GC4,2)</f>
        <v>2.5599999999999987</v>
      </c>
      <c r="BO4" s="3">
        <v>9</v>
      </c>
      <c r="BP4" s="3">
        <v>9</v>
      </c>
      <c r="BQ4" s="12">
        <f t="shared" ref="BQ4:BQ11" si="50">BP4/BO4</f>
        <v>1</v>
      </c>
      <c r="BR4" s="12">
        <f t="shared" ref="BR4:BR11" si="51">POWER(BP4-$GC4,2)</f>
        <v>0.16000000000000028</v>
      </c>
      <c r="BS4" s="3">
        <v>10</v>
      </c>
      <c r="BT4" s="5">
        <v>9</v>
      </c>
      <c r="BU4" s="12">
        <f t="shared" ref="BU4:BU11" si="52">BT4/BS4</f>
        <v>0.9</v>
      </c>
      <c r="BV4" s="12">
        <f t="shared" ref="BV4:BV11" si="53">POWER(BT4-$GC4,2)</f>
        <v>0.16000000000000028</v>
      </c>
      <c r="BW4" s="3">
        <v>10</v>
      </c>
      <c r="BX4" s="5">
        <v>8</v>
      </c>
      <c r="BY4" s="12">
        <f t="shared" ref="BY4:BY11" si="54">BX4/BW4</f>
        <v>0.8</v>
      </c>
      <c r="BZ4" s="12">
        <f t="shared" ref="BZ4:BZ11" si="55">POWER(BX4-$GC4,2)</f>
        <v>0.3599999999999996</v>
      </c>
      <c r="CA4" s="3">
        <v>9</v>
      </c>
      <c r="CB4" s="5">
        <v>9</v>
      </c>
      <c r="CC4" s="12">
        <f t="shared" ref="CC4:CC11" si="56">CB4/CA4</f>
        <v>1</v>
      </c>
      <c r="CD4" s="12">
        <f t="shared" ref="CD4:CD11" si="57">POWER(CB4-$GC4,2)</f>
        <v>0.16000000000000028</v>
      </c>
      <c r="CE4" s="3">
        <v>8</v>
      </c>
      <c r="CF4" s="5">
        <v>7</v>
      </c>
      <c r="CG4" s="12">
        <f t="shared" ref="CG4:CG11" si="58">CF4/CE4</f>
        <v>0.875</v>
      </c>
      <c r="CH4" s="12">
        <f t="shared" ref="CH4:CH11" si="59">POWER(CF4-$GC4,2)</f>
        <v>2.5599999999999987</v>
      </c>
      <c r="CI4" s="3">
        <v>9</v>
      </c>
      <c r="CJ4" s="5">
        <v>9</v>
      </c>
      <c r="CK4" s="12">
        <f t="shared" ref="CK4:CK11" si="60">CJ4/CI4</f>
        <v>1</v>
      </c>
      <c r="CL4" s="12">
        <f t="shared" ref="CL4:CL11" si="61">POWER(CJ4-$GC4,2)</f>
        <v>0.16000000000000028</v>
      </c>
      <c r="CM4" s="3">
        <v>10</v>
      </c>
      <c r="CN4" s="5">
        <v>8</v>
      </c>
      <c r="CO4" s="12">
        <f t="shared" ref="CO4:CO11" si="62">CN4/CM4</f>
        <v>0.8</v>
      </c>
      <c r="CP4" s="12">
        <f t="shared" ref="CP4:CP11" si="63">POWER(CN4-$GC4,2)</f>
        <v>0.3599999999999996</v>
      </c>
      <c r="CQ4" s="3">
        <v>8</v>
      </c>
      <c r="CR4" s="5">
        <v>8</v>
      </c>
      <c r="CS4" s="12">
        <f t="shared" ref="CS4:CS11" si="64">CR4/CQ4</f>
        <v>1</v>
      </c>
      <c r="CT4" s="12">
        <f t="shared" ref="CT4:CT11" si="65">POWER(CR4-$GC4,2)</f>
        <v>0.3599999999999996</v>
      </c>
      <c r="CU4" s="3">
        <v>9</v>
      </c>
      <c r="CV4" s="5">
        <v>5</v>
      </c>
      <c r="CW4" s="12">
        <f t="shared" ref="CW4:CW11" si="66">CV4/CU4</f>
        <v>0.55555555555555558</v>
      </c>
      <c r="CX4" s="12">
        <f t="shared" ref="CX4:CX11" si="67">POWER(CV4-$GC4,2)</f>
        <v>12.959999999999997</v>
      </c>
      <c r="CY4" s="3">
        <v>8</v>
      </c>
      <c r="CZ4" s="5">
        <v>7</v>
      </c>
      <c r="DA4" s="12">
        <f t="shared" ref="DA4:DA11" si="68">CZ4/CY4</f>
        <v>0.875</v>
      </c>
      <c r="DB4" s="12">
        <f t="shared" ref="DB4:DB11" si="69">POWER(CZ4-$GC4,2)</f>
        <v>2.5599999999999987</v>
      </c>
      <c r="DC4" s="3">
        <v>8</v>
      </c>
      <c r="DD4" s="5">
        <v>8</v>
      </c>
      <c r="DE4" s="12">
        <f t="shared" ref="DE4:DE11" si="70">DD4/DC4</f>
        <v>1</v>
      </c>
      <c r="DF4" s="12">
        <f t="shared" ref="DF4:DF11" si="71">POWER(DD4-$GC4,2)</f>
        <v>0.3599999999999996</v>
      </c>
      <c r="DG4" s="3">
        <v>8</v>
      </c>
      <c r="DH4" s="5">
        <v>8</v>
      </c>
      <c r="DI4" s="12">
        <f t="shared" ref="DI4:DI11" si="72">DH4/DG4</f>
        <v>1</v>
      </c>
      <c r="DJ4" s="12">
        <f t="shared" ref="DJ4:DJ11" si="73">POWER(DH4-$GC4,2)</f>
        <v>0.3599999999999996</v>
      </c>
      <c r="DK4" s="3">
        <v>10</v>
      </c>
      <c r="DL4" s="5">
        <v>10</v>
      </c>
      <c r="DM4" s="12">
        <f t="shared" ref="DM4:DM11" si="74">DL4/DK4</f>
        <v>1</v>
      </c>
      <c r="DN4" s="12">
        <f t="shared" ref="DN4:DN11" si="75">POWER(DL4-$GC4,2)</f>
        <v>1.9600000000000011</v>
      </c>
      <c r="DO4" s="3">
        <v>9</v>
      </c>
      <c r="DP4" s="3">
        <v>8</v>
      </c>
      <c r="DQ4" s="12">
        <f t="shared" ref="DQ4:DQ11" si="76">DP4/DO4</f>
        <v>0.88888888888888884</v>
      </c>
      <c r="DR4" s="12">
        <f t="shared" ref="DR4:DR11" si="77">POWER(DP4-$GC4,2)</f>
        <v>0.3599999999999996</v>
      </c>
      <c r="DS4" s="3">
        <v>9</v>
      </c>
      <c r="DT4" s="5">
        <v>8</v>
      </c>
      <c r="DU4" s="12">
        <f t="shared" ref="DU4:DU11" si="78">DT4/DS4</f>
        <v>0.88888888888888884</v>
      </c>
      <c r="DV4" s="12">
        <f t="shared" ref="DV4:DV11" si="79">POWER(DT4-$GC4,2)</f>
        <v>0.3599999999999996</v>
      </c>
      <c r="DW4" s="3">
        <v>10</v>
      </c>
      <c r="DX4" s="5">
        <v>10</v>
      </c>
      <c r="DY4" s="12">
        <f t="shared" ref="DY4:DY11" si="80">DX4/DW4</f>
        <v>1</v>
      </c>
      <c r="DZ4" s="12">
        <f t="shared" ref="DZ4:DZ11" si="81">POWER(DX4-$GC4,2)</f>
        <v>1.9600000000000011</v>
      </c>
      <c r="EA4" s="3">
        <v>10</v>
      </c>
      <c r="EB4" s="3">
        <v>10</v>
      </c>
      <c r="EC4" s="12">
        <f t="shared" ref="EC4:EC11" si="82">EB4/EA4</f>
        <v>1</v>
      </c>
      <c r="ED4" s="12">
        <f t="shared" ref="ED4:ED11" si="83">POWER(EB4-$GC4,2)</f>
        <v>1.9600000000000011</v>
      </c>
      <c r="EE4" s="3">
        <v>10</v>
      </c>
      <c r="EF4" s="5">
        <v>10</v>
      </c>
      <c r="EG4" s="12">
        <f t="shared" ref="EG4:EG11" si="84">EF4/EE4</f>
        <v>1</v>
      </c>
      <c r="EH4" s="12">
        <f t="shared" ref="EH4:EH11" si="85">POWER(EF4-$GC4,2)</f>
        <v>1.9600000000000011</v>
      </c>
      <c r="EI4" s="3">
        <v>10</v>
      </c>
      <c r="EJ4" s="5">
        <v>10</v>
      </c>
      <c r="EK4" s="12">
        <f t="shared" ref="EK4:EK11" si="86">EJ4/EI4</f>
        <v>1</v>
      </c>
      <c r="EL4" s="12">
        <f t="shared" ref="EL4:EL11" si="87">POWER(EJ4-$GC4,2)</f>
        <v>1.9600000000000011</v>
      </c>
      <c r="EM4" s="3">
        <v>10</v>
      </c>
      <c r="EN4" s="5">
        <v>10</v>
      </c>
      <c r="EO4" s="12">
        <f t="shared" ref="EO4:EO11" si="88">EN4/EM4</f>
        <v>1</v>
      </c>
      <c r="EP4" s="12">
        <f t="shared" ref="EP4:EP10" si="89">POWER(EN4-$GC4,2)</f>
        <v>1.9600000000000011</v>
      </c>
      <c r="EQ4" s="3">
        <v>10</v>
      </c>
      <c r="ER4" s="5">
        <v>10</v>
      </c>
      <c r="ES4" s="12">
        <f t="shared" si="0"/>
        <v>1</v>
      </c>
      <c r="ET4" s="12">
        <f t="shared" si="1"/>
        <v>1.9600000000000011</v>
      </c>
      <c r="EU4" s="3">
        <v>10</v>
      </c>
      <c r="EV4" s="5">
        <v>10</v>
      </c>
      <c r="EW4" s="12">
        <f t="shared" si="2"/>
        <v>1</v>
      </c>
      <c r="EX4" s="12">
        <f t="shared" si="3"/>
        <v>1.9600000000000011</v>
      </c>
      <c r="EY4" s="3">
        <v>10</v>
      </c>
      <c r="EZ4" s="5">
        <v>10</v>
      </c>
      <c r="FA4" s="12">
        <f t="shared" si="4"/>
        <v>1</v>
      </c>
      <c r="FB4" s="12">
        <f t="shared" si="5"/>
        <v>1.9600000000000011</v>
      </c>
      <c r="FC4" s="3">
        <v>10</v>
      </c>
      <c r="FD4" s="5">
        <v>10</v>
      </c>
      <c r="FE4" s="12">
        <f t="shared" si="6"/>
        <v>1</v>
      </c>
      <c r="FF4" s="12">
        <f t="shared" si="7"/>
        <v>1.9600000000000011</v>
      </c>
      <c r="FG4" s="3">
        <v>10</v>
      </c>
      <c r="FH4" s="5">
        <v>10</v>
      </c>
      <c r="FI4" s="12">
        <f t="shared" si="8"/>
        <v>1</v>
      </c>
      <c r="FJ4" s="12">
        <f t="shared" si="9"/>
        <v>1.9600000000000011</v>
      </c>
      <c r="FK4" s="3">
        <v>10</v>
      </c>
      <c r="FL4" s="5">
        <v>10</v>
      </c>
      <c r="FM4" s="12">
        <f t="shared" si="10"/>
        <v>1</v>
      </c>
      <c r="FN4" s="12">
        <f t="shared" si="11"/>
        <v>1.9600000000000011</v>
      </c>
      <c r="FO4" s="3">
        <v>10</v>
      </c>
      <c r="FP4" s="5">
        <v>10</v>
      </c>
      <c r="FQ4" s="12">
        <f t="shared" si="12"/>
        <v>1</v>
      </c>
      <c r="FR4" s="12">
        <f t="shared" si="13"/>
        <v>1.9600000000000011</v>
      </c>
      <c r="FS4" s="3">
        <v>10</v>
      </c>
      <c r="FT4" s="5">
        <v>10</v>
      </c>
      <c r="FU4" s="12">
        <f t="shared" si="14"/>
        <v>1</v>
      </c>
      <c r="FV4" s="12">
        <f t="shared" si="15"/>
        <v>1.9600000000000011</v>
      </c>
      <c r="FW4" s="3">
        <v>10</v>
      </c>
      <c r="FX4" s="5">
        <v>10</v>
      </c>
      <c r="FY4" s="12">
        <f t="shared" si="16"/>
        <v>1</v>
      </c>
      <c r="FZ4" s="12">
        <f t="shared" si="17"/>
        <v>1.9600000000000011</v>
      </c>
      <c r="GA4" s="4">
        <f t="shared" ref="GA4:GA11" si="90">COUNT(C4,G4,K4,O4,S4,W4,AA4,AE4,AI4,AM4,AQ4,AU4,AY4,BC4,BG4,BK4,BO4,BS4,BW4,CA4,CE4,CI4,CM4,CQ4,CU4,CY4,DC4,DG4,DK4,DO4,DS4,DW4,EA4,EE4,EI4,EM4,EQ4,EU4,EY4,FC4,FW4,FG4,FK4,FO4,FS4)</f>
        <v>45</v>
      </c>
      <c r="GB4" s="15">
        <f t="shared" ref="GB4:GB11" si="91">(E4+I4+M4+Q4+U4+Y4+AC4+AG4+AK4+AO4+AS4+AW4+BA4+BE4+BI4+BM4+BQ4+BU4+BY4+CC4+CG4+CK4+CO4+CS4+CW4+DA4+DE4+DI4+DM4+DQ4+DU4+DY4+EC4+EG4+EK4+EO4+ES4+EW4+FA4+FE4+FY4+FI4+FM4+FQ4+FU4)*100/GA4</f>
        <v>94.96913580246914</v>
      </c>
      <c r="GC4" s="15">
        <f t="shared" ref="GC4:GC14" si="92">AVERAGE(D4,H4,L4,P4,T4,X4,AB4,AF4,AJ4,AN4,AR4,AV4,AZ4,BD4,BH4,BL4,BP4,BT4,BX4,CB4,CF4,CJ4,CN4,CR4,CV4,CZ4,DD4,DH4,DL4,DP4,DT4,DX4,EB4,EF4,EJ4,EN4,ER4,EV4,EZ4,FD4,FX4,FH4,FL4,FP4,FT4)</f>
        <v>8.6</v>
      </c>
      <c r="GD4" s="15">
        <f t="shared" ref="GD4:GD11" si="93">SQRT((F4+J4+N4+R4+V4+Z4+AD4+AH4+AL4+AP4+AT4+AX4+BB4+BF4+BJ4+BN4+BR4++BV4+BZ4+CD4+CH4+CL4+CP4+CT4+CX4+DB4+DF4+DJ4+DN4+DR4+DV4+DZ4+ED4+EH4+EL4+EP4+ET4+EX4+FB4+FF4+FZ4)/GA4)</f>
        <v>1.3246383154154451</v>
      </c>
      <c r="GE4" s="16">
        <f t="shared" ref="GE4:GE11" si="94">GB4</f>
        <v>94.96913580246914</v>
      </c>
      <c r="GF4" s="17" t="s">
        <v>3</v>
      </c>
      <c r="GG4" s="24">
        <f t="shared" ref="GG4:GG11" si="95">GD4</f>
        <v>1.3246383154154451</v>
      </c>
      <c r="GH4" s="4" t="str">
        <f t="shared" ref="GH4:GH11" si="96">IF(GB4&lt;40,"неудовлетворительно",IF((GB4&gt;=40)*AND(GB4&lt;60),"удовлетворительно",IF((GB4&gt;=60)*AND(GB4&lt;80),"хорошо","отлично")))</f>
        <v>отлично</v>
      </c>
    </row>
    <row r="5" spans="1:190" ht="52.5" customHeight="1" thickBot="1" x14ac:dyDescent="0.3">
      <c r="A5" s="21">
        <v>3</v>
      </c>
      <c r="B5" s="31" t="s">
        <v>15</v>
      </c>
      <c r="C5" s="3">
        <v>10</v>
      </c>
      <c r="D5" s="3">
        <v>10</v>
      </c>
      <c r="E5" s="12">
        <f t="shared" si="18"/>
        <v>1</v>
      </c>
      <c r="F5" s="12">
        <f t="shared" si="19"/>
        <v>1.2844444444444434</v>
      </c>
      <c r="G5" s="3">
        <v>9</v>
      </c>
      <c r="H5" s="5">
        <v>9</v>
      </c>
      <c r="I5" s="12">
        <f t="shared" si="20"/>
        <v>1</v>
      </c>
      <c r="J5" s="12">
        <f t="shared" si="21"/>
        <v>1.7777777777777653E-2</v>
      </c>
      <c r="K5" s="3">
        <v>9</v>
      </c>
      <c r="L5" s="5">
        <v>9</v>
      </c>
      <c r="M5" s="12">
        <f t="shared" si="22"/>
        <v>1</v>
      </c>
      <c r="N5" s="12">
        <f t="shared" si="23"/>
        <v>1.7777777777777653E-2</v>
      </c>
      <c r="O5" s="3">
        <v>8</v>
      </c>
      <c r="P5" s="5">
        <v>8</v>
      </c>
      <c r="Q5" s="12">
        <f t="shared" si="24"/>
        <v>1</v>
      </c>
      <c r="R5" s="12">
        <f t="shared" si="25"/>
        <v>0.75111111111111195</v>
      </c>
      <c r="S5" s="3">
        <v>8</v>
      </c>
      <c r="T5" s="26">
        <v>8</v>
      </c>
      <c r="U5" s="12">
        <f t="shared" si="26"/>
        <v>1</v>
      </c>
      <c r="V5" s="12">
        <f t="shared" si="27"/>
        <v>0.75111111111111195</v>
      </c>
      <c r="W5" s="3">
        <v>7</v>
      </c>
      <c r="X5" s="5">
        <v>7</v>
      </c>
      <c r="Y5" s="12">
        <f t="shared" si="28"/>
        <v>1</v>
      </c>
      <c r="Z5" s="12">
        <f t="shared" si="29"/>
        <v>3.484444444444446</v>
      </c>
      <c r="AA5" s="3">
        <v>9</v>
      </c>
      <c r="AB5" s="5">
        <v>9</v>
      </c>
      <c r="AC5" s="12">
        <f t="shared" si="30"/>
        <v>1</v>
      </c>
      <c r="AD5" s="12">
        <f t="shared" si="31"/>
        <v>1.7777777777777653E-2</v>
      </c>
      <c r="AE5" s="3">
        <v>8</v>
      </c>
      <c r="AF5" s="5">
        <v>7</v>
      </c>
      <c r="AG5" s="12">
        <f t="shared" si="32"/>
        <v>0.875</v>
      </c>
      <c r="AH5" s="12">
        <f t="shared" si="33"/>
        <v>3.484444444444446</v>
      </c>
      <c r="AI5" s="3">
        <v>10</v>
      </c>
      <c r="AJ5" s="5">
        <v>8</v>
      </c>
      <c r="AK5" s="12">
        <f t="shared" si="34"/>
        <v>0.8</v>
      </c>
      <c r="AL5" s="12">
        <f t="shared" si="35"/>
        <v>0.75111111111111195</v>
      </c>
      <c r="AM5" s="3">
        <v>8</v>
      </c>
      <c r="AN5" s="5">
        <v>8</v>
      </c>
      <c r="AO5" s="12">
        <f t="shared" si="36"/>
        <v>1</v>
      </c>
      <c r="AP5" s="12">
        <f t="shared" si="37"/>
        <v>0.75111111111111195</v>
      </c>
      <c r="AQ5" s="3">
        <v>10</v>
      </c>
      <c r="AR5" s="5">
        <v>9</v>
      </c>
      <c r="AS5" s="12">
        <f t="shared" si="38"/>
        <v>0.9</v>
      </c>
      <c r="AT5" s="12">
        <f t="shared" si="39"/>
        <v>1.7777777777777653E-2</v>
      </c>
      <c r="AU5" s="3">
        <v>8</v>
      </c>
      <c r="AV5" s="5">
        <v>8</v>
      </c>
      <c r="AW5" s="12">
        <f t="shared" si="40"/>
        <v>1</v>
      </c>
      <c r="AX5" s="12">
        <f t="shared" si="41"/>
        <v>0.75111111111111195</v>
      </c>
      <c r="AY5" s="3">
        <v>9</v>
      </c>
      <c r="AZ5" s="5">
        <v>8</v>
      </c>
      <c r="BA5" s="12">
        <f t="shared" si="42"/>
        <v>0.88888888888888884</v>
      </c>
      <c r="BB5" s="12">
        <f t="shared" si="43"/>
        <v>0.75111111111111195</v>
      </c>
      <c r="BC5" s="3">
        <v>8</v>
      </c>
      <c r="BD5" s="3">
        <v>8</v>
      </c>
      <c r="BE5" s="12">
        <f t="shared" si="44"/>
        <v>1</v>
      </c>
      <c r="BF5" s="12">
        <f t="shared" si="45"/>
        <v>0.75111111111111195</v>
      </c>
      <c r="BG5" s="3">
        <v>10</v>
      </c>
      <c r="BH5" s="5">
        <v>8</v>
      </c>
      <c r="BI5" s="12">
        <f t="shared" si="46"/>
        <v>0.8</v>
      </c>
      <c r="BJ5" s="12">
        <f t="shared" si="47"/>
        <v>0.75111111111111195</v>
      </c>
      <c r="BK5" s="3">
        <v>10</v>
      </c>
      <c r="BL5" s="5">
        <v>10</v>
      </c>
      <c r="BM5" s="12">
        <f t="shared" si="48"/>
        <v>1</v>
      </c>
      <c r="BN5" s="12">
        <f t="shared" si="49"/>
        <v>1.2844444444444434</v>
      </c>
      <c r="BO5" s="3">
        <v>9</v>
      </c>
      <c r="BP5" s="3">
        <v>9</v>
      </c>
      <c r="BQ5" s="12">
        <f t="shared" si="50"/>
        <v>1</v>
      </c>
      <c r="BR5" s="12">
        <f t="shared" si="51"/>
        <v>1.7777777777777653E-2</v>
      </c>
      <c r="BS5" s="3">
        <v>10</v>
      </c>
      <c r="BT5" s="5">
        <v>7</v>
      </c>
      <c r="BU5" s="12">
        <f t="shared" si="52"/>
        <v>0.7</v>
      </c>
      <c r="BV5" s="12">
        <f t="shared" si="53"/>
        <v>3.484444444444446</v>
      </c>
      <c r="BW5" s="3">
        <v>10</v>
      </c>
      <c r="BX5" s="5">
        <v>9</v>
      </c>
      <c r="BY5" s="12">
        <f t="shared" si="54"/>
        <v>0.9</v>
      </c>
      <c r="BZ5" s="12">
        <f t="shared" si="55"/>
        <v>1.7777777777777653E-2</v>
      </c>
      <c r="CA5" s="3">
        <v>9</v>
      </c>
      <c r="CB5" s="5">
        <v>8</v>
      </c>
      <c r="CC5" s="12">
        <f t="shared" si="56"/>
        <v>0.88888888888888884</v>
      </c>
      <c r="CD5" s="12">
        <f t="shared" si="57"/>
        <v>0.75111111111111195</v>
      </c>
      <c r="CE5" s="3">
        <v>9</v>
      </c>
      <c r="CF5" s="5">
        <v>8</v>
      </c>
      <c r="CG5" s="12">
        <f t="shared" si="58"/>
        <v>0.88888888888888884</v>
      </c>
      <c r="CH5" s="12">
        <f t="shared" si="59"/>
        <v>0.75111111111111195</v>
      </c>
      <c r="CI5" s="3">
        <v>9</v>
      </c>
      <c r="CJ5" s="5">
        <v>9</v>
      </c>
      <c r="CK5" s="12">
        <f t="shared" si="60"/>
        <v>1</v>
      </c>
      <c r="CL5" s="12">
        <f t="shared" si="61"/>
        <v>1.7777777777777653E-2</v>
      </c>
      <c r="CM5" s="3">
        <v>8</v>
      </c>
      <c r="CN5" s="5">
        <v>7</v>
      </c>
      <c r="CO5" s="12">
        <f t="shared" si="62"/>
        <v>0.875</v>
      </c>
      <c r="CP5" s="12">
        <f t="shared" si="63"/>
        <v>3.484444444444446</v>
      </c>
      <c r="CQ5" s="3">
        <v>8</v>
      </c>
      <c r="CR5" s="5">
        <v>8</v>
      </c>
      <c r="CS5" s="12">
        <f t="shared" si="64"/>
        <v>1</v>
      </c>
      <c r="CT5" s="12">
        <f t="shared" si="65"/>
        <v>0.75111111111111195</v>
      </c>
      <c r="CU5" s="3">
        <v>10</v>
      </c>
      <c r="CV5" s="5">
        <v>10</v>
      </c>
      <c r="CW5" s="12">
        <f t="shared" si="66"/>
        <v>1</v>
      </c>
      <c r="CX5" s="12">
        <f t="shared" si="67"/>
        <v>1.2844444444444434</v>
      </c>
      <c r="CY5" s="3">
        <v>9</v>
      </c>
      <c r="CZ5" s="5">
        <v>9</v>
      </c>
      <c r="DA5" s="12">
        <f t="shared" si="68"/>
        <v>1</v>
      </c>
      <c r="DB5" s="12">
        <f t="shared" si="69"/>
        <v>1.7777777777777653E-2</v>
      </c>
      <c r="DC5" s="3">
        <v>8</v>
      </c>
      <c r="DD5" s="5">
        <v>8</v>
      </c>
      <c r="DE5" s="12">
        <f t="shared" si="70"/>
        <v>1</v>
      </c>
      <c r="DF5" s="12">
        <f t="shared" si="71"/>
        <v>0.75111111111111195</v>
      </c>
      <c r="DG5" s="3">
        <v>8</v>
      </c>
      <c r="DH5" s="5">
        <v>8</v>
      </c>
      <c r="DI5" s="12">
        <f t="shared" si="72"/>
        <v>1</v>
      </c>
      <c r="DJ5" s="12">
        <f t="shared" si="73"/>
        <v>0.75111111111111195</v>
      </c>
      <c r="DK5" s="3">
        <v>10</v>
      </c>
      <c r="DL5" s="5">
        <v>9</v>
      </c>
      <c r="DM5" s="12">
        <f t="shared" si="74"/>
        <v>0.9</v>
      </c>
      <c r="DN5" s="12">
        <f t="shared" si="75"/>
        <v>1.7777777777777653E-2</v>
      </c>
      <c r="DO5" s="3">
        <v>8</v>
      </c>
      <c r="DP5" s="3">
        <v>8</v>
      </c>
      <c r="DQ5" s="12">
        <f t="shared" si="76"/>
        <v>1</v>
      </c>
      <c r="DR5" s="12">
        <f t="shared" si="77"/>
        <v>0.75111111111111195</v>
      </c>
      <c r="DS5" s="3">
        <v>8</v>
      </c>
      <c r="DT5" s="5">
        <v>8</v>
      </c>
      <c r="DU5" s="12">
        <f t="shared" si="78"/>
        <v>1</v>
      </c>
      <c r="DV5" s="12">
        <f t="shared" si="79"/>
        <v>0.75111111111111195</v>
      </c>
      <c r="DW5" s="3">
        <v>10</v>
      </c>
      <c r="DX5" s="5">
        <v>10</v>
      </c>
      <c r="DY5" s="12">
        <f t="shared" si="80"/>
        <v>1</v>
      </c>
      <c r="DZ5" s="12">
        <f t="shared" si="81"/>
        <v>1.2844444444444434</v>
      </c>
      <c r="EA5" s="3">
        <v>10</v>
      </c>
      <c r="EB5" s="3">
        <v>10</v>
      </c>
      <c r="EC5" s="12">
        <f t="shared" si="82"/>
        <v>1</v>
      </c>
      <c r="ED5" s="12">
        <f t="shared" si="83"/>
        <v>1.2844444444444434</v>
      </c>
      <c r="EE5" s="3">
        <v>10</v>
      </c>
      <c r="EF5" s="5">
        <v>10</v>
      </c>
      <c r="EG5" s="12">
        <f t="shared" si="84"/>
        <v>1</v>
      </c>
      <c r="EH5" s="12">
        <f t="shared" si="85"/>
        <v>1.2844444444444434</v>
      </c>
      <c r="EI5" s="3">
        <v>10</v>
      </c>
      <c r="EJ5" s="5">
        <v>10</v>
      </c>
      <c r="EK5" s="12">
        <f t="shared" si="86"/>
        <v>1</v>
      </c>
      <c r="EL5" s="12">
        <f t="shared" si="87"/>
        <v>1.2844444444444434</v>
      </c>
      <c r="EM5" s="3">
        <v>10</v>
      </c>
      <c r="EN5" s="5">
        <v>10</v>
      </c>
      <c r="EO5" s="12">
        <f t="shared" si="88"/>
        <v>1</v>
      </c>
      <c r="EP5" s="12">
        <f t="shared" si="89"/>
        <v>1.2844444444444434</v>
      </c>
      <c r="EQ5" s="3">
        <v>10</v>
      </c>
      <c r="ER5" s="5">
        <v>10</v>
      </c>
      <c r="ES5" s="12">
        <f t="shared" si="0"/>
        <v>1</v>
      </c>
      <c r="ET5" s="12">
        <f t="shared" si="1"/>
        <v>1.2844444444444434</v>
      </c>
      <c r="EU5" s="3">
        <v>10</v>
      </c>
      <c r="EV5" s="5">
        <v>10</v>
      </c>
      <c r="EW5" s="12">
        <f t="shared" si="2"/>
        <v>1</v>
      </c>
      <c r="EX5" s="12">
        <f t="shared" si="3"/>
        <v>1.2844444444444434</v>
      </c>
      <c r="EY5" s="3">
        <v>10</v>
      </c>
      <c r="EZ5" s="5">
        <v>10</v>
      </c>
      <c r="FA5" s="12">
        <f t="shared" si="4"/>
        <v>1</v>
      </c>
      <c r="FB5" s="12">
        <f t="shared" si="5"/>
        <v>1.2844444444444434</v>
      </c>
      <c r="FC5" s="3">
        <v>10</v>
      </c>
      <c r="FD5" s="5">
        <v>10</v>
      </c>
      <c r="FE5" s="12">
        <f t="shared" si="6"/>
        <v>1</v>
      </c>
      <c r="FF5" s="12">
        <f t="shared" si="7"/>
        <v>1.2844444444444434</v>
      </c>
      <c r="FG5" s="3">
        <v>10</v>
      </c>
      <c r="FH5" s="5">
        <v>10</v>
      </c>
      <c r="FI5" s="12">
        <f t="shared" si="8"/>
        <v>1</v>
      </c>
      <c r="FJ5" s="12">
        <f t="shared" si="9"/>
        <v>1.2844444444444434</v>
      </c>
      <c r="FK5" s="3">
        <v>10</v>
      </c>
      <c r="FL5" s="5">
        <v>10</v>
      </c>
      <c r="FM5" s="12">
        <f t="shared" si="10"/>
        <v>1</v>
      </c>
      <c r="FN5" s="12">
        <f t="shared" si="11"/>
        <v>1.2844444444444434</v>
      </c>
      <c r="FO5" s="3">
        <v>10</v>
      </c>
      <c r="FP5" s="5">
        <v>10</v>
      </c>
      <c r="FQ5" s="12">
        <f t="shared" si="12"/>
        <v>1</v>
      </c>
      <c r="FR5" s="12">
        <f t="shared" si="13"/>
        <v>1.2844444444444434</v>
      </c>
      <c r="FS5" s="3">
        <v>10</v>
      </c>
      <c r="FT5" s="5">
        <v>10</v>
      </c>
      <c r="FU5" s="12">
        <f t="shared" si="14"/>
        <v>1</v>
      </c>
      <c r="FV5" s="12">
        <f t="shared" si="15"/>
        <v>1.2844444444444434</v>
      </c>
      <c r="FW5" s="3">
        <v>10</v>
      </c>
      <c r="FX5" s="5">
        <v>10</v>
      </c>
      <c r="FY5" s="12">
        <f t="shared" si="16"/>
        <v>1</v>
      </c>
      <c r="FZ5" s="12">
        <f t="shared" si="17"/>
        <v>1.2844444444444434</v>
      </c>
      <c r="GA5" s="4">
        <f t="shared" si="90"/>
        <v>45</v>
      </c>
      <c r="GB5" s="15">
        <f t="shared" si="91"/>
        <v>96.481481481481495</v>
      </c>
      <c r="GC5" s="15">
        <f t="shared" si="92"/>
        <v>8.8666666666666671</v>
      </c>
      <c r="GD5" s="15">
        <f t="shared" si="93"/>
        <v>0.96680714177270966</v>
      </c>
      <c r="GE5" s="16">
        <f t="shared" si="94"/>
        <v>96.481481481481495</v>
      </c>
      <c r="GF5" s="17" t="s">
        <v>3</v>
      </c>
      <c r="GG5" s="24">
        <f t="shared" si="95"/>
        <v>0.96680714177270966</v>
      </c>
      <c r="GH5" s="4" t="str">
        <f t="shared" si="96"/>
        <v>отлично</v>
      </c>
    </row>
    <row r="6" spans="1:190" ht="30.75" customHeight="1" thickBot="1" x14ac:dyDescent="0.3">
      <c r="A6" s="21">
        <v>4</v>
      </c>
      <c r="B6" s="31" t="s">
        <v>10</v>
      </c>
      <c r="C6" s="3">
        <v>10</v>
      </c>
      <c r="D6" s="3">
        <v>10</v>
      </c>
      <c r="E6" s="8">
        <f t="shared" si="18"/>
        <v>1</v>
      </c>
      <c r="F6" s="12">
        <f t="shared" si="19"/>
        <v>1.4399999999999984</v>
      </c>
      <c r="G6" s="3">
        <v>9</v>
      </c>
      <c r="H6" s="5">
        <v>9</v>
      </c>
      <c r="I6" s="12">
        <f t="shared" si="20"/>
        <v>1</v>
      </c>
      <c r="J6" s="12">
        <f t="shared" si="21"/>
        <v>3.9999999999999716E-2</v>
      </c>
      <c r="K6" s="3">
        <v>9</v>
      </c>
      <c r="L6" s="5">
        <v>9</v>
      </c>
      <c r="M6" s="12">
        <f t="shared" si="22"/>
        <v>1</v>
      </c>
      <c r="N6" s="12">
        <f t="shared" si="23"/>
        <v>3.9999999999999716E-2</v>
      </c>
      <c r="O6" s="3">
        <v>9</v>
      </c>
      <c r="P6" s="5">
        <v>9</v>
      </c>
      <c r="Q6" s="12">
        <f t="shared" si="24"/>
        <v>1</v>
      </c>
      <c r="R6" s="12">
        <f t="shared" si="25"/>
        <v>3.9999999999999716E-2</v>
      </c>
      <c r="S6" s="3">
        <v>9</v>
      </c>
      <c r="T6" s="26">
        <v>9</v>
      </c>
      <c r="U6" s="12">
        <f t="shared" si="26"/>
        <v>1</v>
      </c>
      <c r="V6" s="12">
        <f t="shared" si="27"/>
        <v>3.9999999999999716E-2</v>
      </c>
      <c r="W6" s="3">
        <v>8</v>
      </c>
      <c r="X6" s="5">
        <v>8</v>
      </c>
      <c r="Y6" s="12">
        <f t="shared" si="28"/>
        <v>1</v>
      </c>
      <c r="Z6" s="12">
        <f t="shared" si="29"/>
        <v>0.64000000000000112</v>
      </c>
      <c r="AA6" s="3">
        <v>9</v>
      </c>
      <c r="AB6" s="5">
        <v>8</v>
      </c>
      <c r="AC6" s="12">
        <f t="shared" si="30"/>
        <v>0.88888888888888884</v>
      </c>
      <c r="AD6" s="12">
        <f t="shared" si="31"/>
        <v>0.64000000000000112</v>
      </c>
      <c r="AE6" s="3">
        <v>9</v>
      </c>
      <c r="AF6" s="5">
        <v>9</v>
      </c>
      <c r="AG6" s="12">
        <f t="shared" si="32"/>
        <v>1</v>
      </c>
      <c r="AH6" s="12">
        <f t="shared" si="33"/>
        <v>3.9999999999999716E-2</v>
      </c>
      <c r="AI6" s="3">
        <v>10</v>
      </c>
      <c r="AJ6" s="5">
        <v>8</v>
      </c>
      <c r="AK6" s="12">
        <f t="shared" si="34"/>
        <v>0.8</v>
      </c>
      <c r="AL6" s="12">
        <f t="shared" si="35"/>
        <v>0.64000000000000112</v>
      </c>
      <c r="AM6" s="3">
        <v>8</v>
      </c>
      <c r="AN6" s="5">
        <v>8</v>
      </c>
      <c r="AO6" s="12">
        <f t="shared" si="36"/>
        <v>1</v>
      </c>
      <c r="AP6" s="12">
        <f t="shared" si="37"/>
        <v>0.64000000000000112</v>
      </c>
      <c r="AQ6" s="3">
        <v>9</v>
      </c>
      <c r="AR6" s="5">
        <v>8</v>
      </c>
      <c r="AS6" s="12">
        <f t="shared" si="38"/>
        <v>0.88888888888888884</v>
      </c>
      <c r="AT6" s="12">
        <f t="shared" si="39"/>
        <v>0.64000000000000112</v>
      </c>
      <c r="AU6" s="3">
        <v>3</v>
      </c>
      <c r="AV6" s="5">
        <v>3</v>
      </c>
      <c r="AW6" s="12">
        <f t="shared" si="40"/>
        <v>1</v>
      </c>
      <c r="AX6" s="12">
        <f t="shared" si="41"/>
        <v>33.640000000000008</v>
      </c>
      <c r="AY6" s="3">
        <v>8</v>
      </c>
      <c r="AZ6" s="5">
        <v>8</v>
      </c>
      <c r="BA6" s="12">
        <f t="shared" si="42"/>
        <v>1</v>
      </c>
      <c r="BB6" s="12">
        <f t="shared" si="43"/>
        <v>0.64000000000000112</v>
      </c>
      <c r="BC6" s="3">
        <v>6</v>
      </c>
      <c r="BD6" s="3">
        <v>6</v>
      </c>
      <c r="BE6" s="12">
        <f t="shared" si="44"/>
        <v>1</v>
      </c>
      <c r="BF6" s="12">
        <f t="shared" si="45"/>
        <v>7.8400000000000043</v>
      </c>
      <c r="BG6" s="3">
        <v>7</v>
      </c>
      <c r="BH6" s="5">
        <v>6</v>
      </c>
      <c r="BI6" s="12">
        <f t="shared" si="46"/>
        <v>0.8571428571428571</v>
      </c>
      <c r="BJ6" s="12">
        <f t="shared" si="47"/>
        <v>7.8400000000000043</v>
      </c>
      <c r="BK6" s="3">
        <v>9</v>
      </c>
      <c r="BL6" s="5">
        <v>9</v>
      </c>
      <c r="BM6" s="12">
        <f t="shared" si="48"/>
        <v>1</v>
      </c>
      <c r="BN6" s="12">
        <f t="shared" si="49"/>
        <v>3.9999999999999716E-2</v>
      </c>
      <c r="BO6" s="3">
        <v>9</v>
      </c>
      <c r="BP6" s="3">
        <v>9</v>
      </c>
      <c r="BQ6" s="12">
        <f t="shared" si="50"/>
        <v>1</v>
      </c>
      <c r="BR6" s="12">
        <f t="shared" si="51"/>
        <v>3.9999999999999716E-2</v>
      </c>
      <c r="BS6" s="3">
        <v>10</v>
      </c>
      <c r="BT6" s="5">
        <v>8</v>
      </c>
      <c r="BU6" s="12">
        <f t="shared" si="52"/>
        <v>0.8</v>
      </c>
      <c r="BV6" s="12">
        <f t="shared" si="53"/>
        <v>0.64000000000000112</v>
      </c>
      <c r="BW6" s="3">
        <v>10</v>
      </c>
      <c r="BX6" s="5">
        <v>8</v>
      </c>
      <c r="BY6" s="12">
        <f t="shared" si="54"/>
        <v>0.8</v>
      </c>
      <c r="BZ6" s="12">
        <f t="shared" si="55"/>
        <v>0.64000000000000112</v>
      </c>
      <c r="CA6" s="3">
        <v>8</v>
      </c>
      <c r="CB6" s="5">
        <v>8</v>
      </c>
      <c r="CC6" s="12">
        <f t="shared" si="56"/>
        <v>1</v>
      </c>
      <c r="CD6" s="12">
        <f t="shared" si="57"/>
        <v>0.64000000000000112</v>
      </c>
      <c r="CE6" s="3">
        <v>8</v>
      </c>
      <c r="CF6" s="5">
        <v>7</v>
      </c>
      <c r="CG6" s="12">
        <f t="shared" si="58"/>
        <v>0.875</v>
      </c>
      <c r="CH6" s="12">
        <f t="shared" si="59"/>
        <v>3.2400000000000024</v>
      </c>
      <c r="CI6" s="3">
        <v>10</v>
      </c>
      <c r="CJ6" s="5">
        <v>9</v>
      </c>
      <c r="CK6" s="12">
        <f t="shared" si="60"/>
        <v>0.9</v>
      </c>
      <c r="CL6" s="12">
        <f t="shared" si="61"/>
        <v>3.9999999999999716E-2</v>
      </c>
      <c r="CM6" s="3">
        <v>9</v>
      </c>
      <c r="CN6" s="5">
        <v>6</v>
      </c>
      <c r="CO6" s="12">
        <f t="shared" si="62"/>
        <v>0.66666666666666663</v>
      </c>
      <c r="CP6" s="12">
        <f t="shared" si="63"/>
        <v>7.8400000000000043</v>
      </c>
      <c r="CQ6" s="3">
        <v>9</v>
      </c>
      <c r="CR6" s="5">
        <v>9</v>
      </c>
      <c r="CS6" s="12">
        <f t="shared" si="64"/>
        <v>1</v>
      </c>
      <c r="CT6" s="12">
        <f t="shared" si="65"/>
        <v>3.9999999999999716E-2</v>
      </c>
      <c r="CU6" s="3">
        <v>9</v>
      </c>
      <c r="CV6" s="5">
        <v>9</v>
      </c>
      <c r="CW6" s="12">
        <f t="shared" si="66"/>
        <v>1</v>
      </c>
      <c r="CX6" s="12">
        <f t="shared" si="67"/>
        <v>3.9999999999999716E-2</v>
      </c>
      <c r="CY6" s="3">
        <v>9</v>
      </c>
      <c r="CZ6" s="5">
        <v>9</v>
      </c>
      <c r="DA6" s="12">
        <f t="shared" si="68"/>
        <v>1</v>
      </c>
      <c r="DB6" s="12">
        <f t="shared" si="69"/>
        <v>3.9999999999999716E-2</v>
      </c>
      <c r="DC6" s="3">
        <v>9</v>
      </c>
      <c r="DD6" s="5">
        <v>8</v>
      </c>
      <c r="DE6" s="12">
        <f t="shared" si="70"/>
        <v>0.88888888888888884</v>
      </c>
      <c r="DF6" s="12">
        <f t="shared" si="71"/>
        <v>0.64000000000000112</v>
      </c>
      <c r="DG6" s="3">
        <v>10</v>
      </c>
      <c r="DH6" s="5">
        <v>10</v>
      </c>
      <c r="DI6" s="12">
        <f t="shared" si="72"/>
        <v>1</v>
      </c>
      <c r="DJ6" s="12">
        <f t="shared" si="73"/>
        <v>1.4399999999999984</v>
      </c>
      <c r="DK6" s="3">
        <v>10</v>
      </c>
      <c r="DL6" s="5">
        <v>9</v>
      </c>
      <c r="DM6" s="12">
        <f t="shared" si="74"/>
        <v>0.9</v>
      </c>
      <c r="DN6" s="12">
        <f t="shared" si="75"/>
        <v>3.9999999999999716E-2</v>
      </c>
      <c r="DO6" s="3">
        <v>10</v>
      </c>
      <c r="DP6" s="3">
        <v>10</v>
      </c>
      <c r="DQ6" s="12">
        <f t="shared" si="76"/>
        <v>1</v>
      </c>
      <c r="DR6" s="12">
        <f t="shared" si="77"/>
        <v>1.4399999999999984</v>
      </c>
      <c r="DS6" s="3">
        <v>10</v>
      </c>
      <c r="DT6" s="5">
        <v>10</v>
      </c>
      <c r="DU6" s="12">
        <f t="shared" si="78"/>
        <v>1</v>
      </c>
      <c r="DV6" s="12">
        <f t="shared" si="79"/>
        <v>1.4399999999999984</v>
      </c>
      <c r="DW6" s="3">
        <v>10</v>
      </c>
      <c r="DX6" s="5">
        <v>10</v>
      </c>
      <c r="DY6" s="12">
        <f t="shared" si="80"/>
        <v>1</v>
      </c>
      <c r="DZ6" s="12">
        <f t="shared" si="81"/>
        <v>1.4399999999999984</v>
      </c>
      <c r="EA6" s="3">
        <v>10</v>
      </c>
      <c r="EB6" s="3">
        <v>10</v>
      </c>
      <c r="EC6" s="12">
        <f t="shared" si="82"/>
        <v>1</v>
      </c>
      <c r="ED6" s="12">
        <f t="shared" si="83"/>
        <v>1.4399999999999984</v>
      </c>
      <c r="EE6" s="3">
        <v>10</v>
      </c>
      <c r="EF6" s="5">
        <v>10</v>
      </c>
      <c r="EG6" s="12">
        <f t="shared" si="84"/>
        <v>1</v>
      </c>
      <c r="EH6" s="12">
        <f t="shared" si="85"/>
        <v>1.4399999999999984</v>
      </c>
      <c r="EI6" s="3">
        <v>10</v>
      </c>
      <c r="EJ6" s="5">
        <v>10</v>
      </c>
      <c r="EK6" s="12">
        <f t="shared" si="86"/>
        <v>1</v>
      </c>
      <c r="EL6" s="12">
        <f t="shared" si="87"/>
        <v>1.4399999999999984</v>
      </c>
      <c r="EM6" s="3">
        <v>10</v>
      </c>
      <c r="EN6" s="5">
        <v>10</v>
      </c>
      <c r="EO6" s="12">
        <f t="shared" si="88"/>
        <v>1</v>
      </c>
      <c r="EP6" s="12">
        <f t="shared" si="89"/>
        <v>1.4399999999999984</v>
      </c>
      <c r="EQ6" s="3">
        <v>10</v>
      </c>
      <c r="ER6" s="5">
        <v>10</v>
      </c>
      <c r="ES6" s="12">
        <f t="shared" si="0"/>
        <v>1</v>
      </c>
      <c r="ET6" s="12">
        <f t="shared" si="1"/>
        <v>1.4399999999999984</v>
      </c>
      <c r="EU6" s="3">
        <v>10</v>
      </c>
      <c r="EV6" s="5">
        <v>10</v>
      </c>
      <c r="EW6" s="12">
        <f t="shared" si="2"/>
        <v>1</v>
      </c>
      <c r="EX6" s="12">
        <f t="shared" si="3"/>
        <v>1.4399999999999984</v>
      </c>
      <c r="EY6" s="3">
        <v>10</v>
      </c>
      <c r="EZ6" s="5">
        <v>10</v>
      </c>
      <c r="FA6" s="12">
        <f t="shared" si="4"/>
        <v>1</v>
      </c>
      <c r="FB6" s="12">
        <f t="shared" si="5"/>
        <v>1.4399999999999984</v>
      </c>
      <c r="FC6" s="3">
        <v>10</v>
      </c>
      <c r="FD6" s="5">
        <v>10</v>
      </c>
      <c r="FE6" s="12">
        <f t="shared" si="6"/>
        <v>1</v>
      </c>
      <c r="FF6" s="12">
        <f t="shared" si="7"/>
        <v>1.4399999999999984</v>
      </c>
      <c r="FG6" s="3">
        <v>10</v>
      </c>
      <c r="FH6" s="5">
        <v>10</v>
      </c>
      <c r="FI6" s="12">
        <f t="shared" si="8"/>
        <v>1</v>
      </c>
      <c r="FJ6" s="12">
        <f t="shared" si="9"/>
        <v>1.4399999999999984</v>
      </c>
      <c r="FK6" s="3">
        <v>10</v>
      </c>
      <c r="FL6" s="5">
        <v>10</v>
      </c>
      <c r="FM6" s="12">
        <f t="shared" si="10"/>
        <v>1</v>
      </c>
      <c r="FN6" s="12">
        <f t="shared" si="11"/>
        <v>1.4399999999999984</v>
      </c>
      <c r="FO6" s="3">
        <v>10</v>
      </c>
      <c r="FP6" s="5">
        <v>10</v>
      </c>
      <c r="FQ6" s="12">
        <f t="shared" si="12"/>
        <v>1</v>
      </c>
      <c r="FR6" s="12">
        <f t="shared" si="13"/>
        <v>1.4399999999999984</v>
      </c>
      <c r="FS6" s="3">
        <v>10</v>
      </c>
      <c r="FT6" s="5">
        <v>10</v>
      </c>
      <c r="FU6" s="12">
        <f t="shared" si="14"/>
        <v>1</v>
      </c>
      <c r="FV6" s="12">
        <f t="shared" si="15"/>
        <v>1.4399999999999984</v>
      </c>
      <c r="FW6" s="3">
        <v>10</v>
      </c>
      <c r="FX6" s="5">
        <v>10</v>
      </c>
      <c r="FY6" s="12">
        <f t="shared" si="16"/>
        <v>1</v>
      </c>
      <c r="FZ6" s="12">
        <f t="shared" si="17"/>
        <v>1.4399999999999984</v>
      </c>
      <c r="GA6" s="4">
        <f t="shared" si="90"/>
        <v>45</v>
      </c>
      <c r="GB6" s="15">
        <f t="shared" si="91"/>
        <v>96.145502645502646</v>
      </c>
      <c r="GC6" s="15">
        <f t="shared" si="92"/>
        <v>8.8000000000000007</v>
      </c>
      <c r="GD6" s="15">
        <f t="shared" si="93"/>
        <v>1.3939552041264136</v>
      </c>
      <c r="GE6" s="16">
        <f t="shared" si="94"/>
        <v>96.145502645502646</v>
      </c>
      <c r="GF6" s="17" t="s">
        <v>3</v>
      </c>
      <c r="GG6" s="24">
        <f t="shared" si="95"/>
        <v>1.3939552041264136</v>
      </c>
      <c r="GH6" s="4" t="str">
        <f t="shared" si="96"/>
        <v>отлично</v>
      </c>
    </row>
    <row r="7" spans="1:190" ht="54" customHeight="1" thickBot="1" x14ac:dyDescent="0.3">
      <c r="A7" s="21">
        <v>5</v>
      </c>
      <c r="B7" s="31" t="s">
        <v>11</v>
      </c>
      <c r="C7" s="3">
        <v>10</v>
      </c>
      <c r="D7" s="3">
        <v>10</v>
      </c>
      <c r="E7" s="8">
        <f t="shared" si="18"/>
        <v>1</v>
      </c>
      <c r="F7" s="12">
        <f t="shared" si="19"/>
        <v>1.8982716049382728</v>
      </c>
      <c r="G7" s="3">
        <v>9</v>
      </c>
      <c r="H7" s="5">
        <v>9</v>
      </c>
      <c r="I7" s="12">
        <f t="shared" si="20"/>
        <v>1</v>
      </c>
      <c r="J7" s="12">
        <f t="shared" si="21"/>
        <v>0.14271604938271637</v>
      </c>
      <c r="K7" s="3">
        <v>9</v>
      </c>
      <c r="L7" s="5">
        <v>9</v>
      </c>
      <c r="M7" s="12">
        <f t="shared" si="22"/>
        <v>1</v>
      </c>
      <c r="N7" s="12">
        <f t="shared" si="23"/>
        <v>0.14271604938271637</v>
      </c>
      <c r="O7" s="3">
        <v>8</v>
      </c>
      <c r="P7" s="5">
        <v>8</v>
      </c>
      <c r="Q7" s="12">
        <f t="shared" si="24"/>
        <v>1</v>
      </c>
      <c r="R7" s="12">
        <f t="shared" si="25"/>
        <v>0.38716049382715995</v>
      </c>
      <c r="S7" s="3">
        <v>9</v>
      </c>
      <c r="T7" s="26">
        <v>9</v>
      </c>
      <c r="U7" s="12">
        <f t="shared" si="26"/>
        <v>1</v>
      </c>
      <c r="V7" s="12">
        <f t="shared" si="27"/>
        <v>0.14271604938271637</v>
      </c>
      <c r="W7" s="3">
        <v>9</v>
      </c>
      <c r="X7" s="5">
        <v>9</v>
      </c>
      <c r="Y7" s="12">
        <f t="shared" si="28"/>
        <v>1</v>
      </c>
      <c r="Z7" s="12">
        <f t="shared" si="29"/>
        <v>0.14271604938271637</v>
      </c>
      <c r="AA7" s="3">
        <v>9</v>
      </c>
      <c r="AB7" s="5">
        <v>8</v>
      </c>
      <c r="AC7" s="12">
        <f t="shared" si="30"/>
        <v>0.88888888888888884</v>
      </c>
      <c r="AD7" s="12">
        <f t="shared" si="31"/>
        <v>0.38716049382715995</v>
      </c>
      <c r="AE7" s="3">
        <v>7</v>
      </c>
      <c r="AF7" s="5">
        <v>7</v>
      </c>
      <c r="AG7" s="12">
        <f t="shared" si="32"/>
        <v>1</v>
      </c>
      <c r="AH7" s="12">
        <f t="shared" si="33"/>
        <v>2.6316049382716034</v>
      </c>
      <c r="AI7" s="3">
        <v>10</v>
      </c>
      <c r="AJ7" s="5">
        <v>7</v>
      </c>
      <c r="AK7" s="12">
        <f t="shared" si="34"/>
        <v>0.7</v>
      </c>
      <c r="AL7" s="12">
        <f t="shared" si="35"/>
        <v>2.6316049382716034</v>
      </c>
      <c r="AM7" s="3">
        <v>8</v>
      </c>
      <c r="AN7" s="5">
        <v>8</v>
      </c>
      <c r="AO7" s="12">
        <f t="shared" si="36"/>
        <v>1</v>
      </c>
      <c r="AP7" s="12">
        <f t="shared" si="37"/>
        <v>0.38716049382715995</v>
      </c>
      <c r="AQ7" s="3">
        <v>9</v>
      </c>
      <c r="AR7" s="5">
        <v>9</v>
      </c>
      <c r="AS7" s="12">
        <f t="shared" si="38"/>
        <v>1</v>
      </c>
      <c r="AT7" s="12">
        <f t="shared" si="39"/>
        <v>0.14271604938271637</v>
      </c>
      <c r="AU7" s="3">
        <v>3</v>
      </c>
      <c r="AV7" s="5">
        <v>3</v>
      </c>
      <c r="AW7" s="12">
        <f t="shared" si="40"/>
        <v>1</v>
      </c>
      <c r="AX7" s="12">
        <f t="shared" si="41"/>
        <v>31.609382716049378</v>
      </c>
      <c r="AY7" s="3">
        <v>7</v>
      </c>
      <c r="AZ7" s="5">
        <v>7</v>
      </c>
      <c r="BA7" s="12">
        <f t="shared" si="42"/>
        <v>1</v>
      </c>
      <c r="BB7" s="12">
        <f t="shared" si="43"/>
        <v>2.6316049382716034</v>
      </c>
      <c r="BC7" s="3">
        <v>7</v>
      </c>
      <c r="BD7" s="3">
        <v>7</v>
      </c>
      <c r="BE7" s="12">
        <f t="shared" si="44"/>
        <v>1</v>
      </c>
      <c r="BF7" s="12">
        <f t="shared" si="45"/>
        <v>2.6316049382716034</v>
      </c>
      <c r="BG7" s="3">
        <v>6</v>
      </c>
      <c r="BH7" s="5">
        <v>5</v>
      </c>
      <c r="BI7" s="12">
        <f t="shared" si="46"/>
        <v>0.83333333333333337</v>
      </c>
      <c r="BJ7" s="12">
        <f t="shared" si="47"/>
        <v>13.120493827160491</v>
      </c>
      <c r="BK7" s="3">
        <v>9</v>
      </c>
      <c r="BL7" s="5">
        <v>9</v>
      </c>
      <c r="BM7" s="12">
        <f t="shared" si="48"/>
        <v>1</v>
      </c>
      <c r="BN7" s="12">
        <f t="shared" si="49"/>
        <v>0.14271604938271637</v>
      </c>
      <c r="BO7" s="3">
        <v>9</v>
      </c>
      <c r="BP7" s="3">
        <v>9</v>
      </c>
      <c r="BQ7" s="12">
        <f t="shared" si="50"/>
        <v>1</v>
      </c>
      <c r="BR7" s="12">
        <f t="shared" si="51"/>
        <v>0.14271604938271637</v>
      </c>
      <c r="BS7" s="3">
        <v>10</v>
      </c>
      <c r="BT7" s="5">
        <v>9</v>
      </c>
      <c r="BU7" s="12">
        <f t="shared" si="52"/>
        <v>0.9</v>
      </c>
      <c r="BV7" s="12">
        <f t="shared" si="53"/>
        <v>0.14271604938271637</v>
      </c>
      <c r="BW7" s="3">
        <v>10</v>
      </c>
      <c r="BX7" s="5">
        <v>9</v>
      </c>
      <c r="BY7" s="12">
        <f t="shared" si="54"/>
        <v>0.9</v>
      </c>
      <c r="BZ7" s="12">
        <f t="shared" si="55"/>
        <v>0.14271604938271637</v>
      </c>
      <c r="CA7" s="3">
        <v>8</v>
      </c>
      <c r="CB7" s="5">
        <v>8</v>
      </c>
      <c r="CC7" s="12">
        <f t="shared" si="56"/>
        <v>1</v>
      </c>
      <c r="CD7" s="12">
        <f t="shared" si="57"/>
        <v>0.38716049382715995</v>
      </c>
      <c r="CE7" s="3">
        <v>10</v>
      </c>
      <c r="CF7" s="5">
        <v>9</v>
      </c>
      <c r="CG7" s="12">
        <f t="shared" si="58"/>
        <v>0.9</v>
      </c>
      <c r="CH7" s="12">
        <f t="shared" si="59"/>
        <v>0.14271604938271637</v>
      </c>
      <c r="CI7" s="3">
        <v>9</v>
      </c>
      <c r="CJ7" s="5">
        <v>9</v>
      </c>
      <c r="CK7" s="12">
        <f t="shared" si="60"/>
        <v>1</v>
      </c>
      <c r="CL7" s="12">
        <f t="shared" si="61"/>
        <v>0.14271604938271637</v>
      </c>
      <c r="CM7" s="3">
        <v>7</v>
      </c>
      <c r="CN7" s="5">
        <v>6</v>
      </c>
      <c r="CO7" s="12">
        <f t="shared" si="62"/>
        <v>0.8571428571428571</v>
      </c>
      <c r="CP7" s="12">
        <f t="shared" si="63"/>
        <v>6.8760493827160474</v>
      </c>
      <c r="CQ7" s="3">
        <v>8</v>
      </c>
      <c r="CR7" s="5">
        <v>8</v>
      </c>
      <c r="CS7" s="12">
        <f t="shared" si="64"/>
        <v>1</v>
      </c>
      <c r="CT7" s="12">
        <f t="shared" si="65"/>
        <v>0.38716049382715995</v>
      </c>
      <c r="CU7" s="3">
        <v>9</v>
      </c>
      <c r="CV7" s="5">
        <v>8</v>
      </c>
      <c r="CW7" s="12">
        <f t="shared" si="66"/>
        <v>0.88888888888888884</v>
      </c>
      <c r="CX7" s="12">
        <f t="shared" si="67"/>
        <v>0.38716049382715995</v>
      </c>
      <c r="CY7" s="3">
        <v>8</v>
      </c>
      <c r="CZ7" s="5">
        <v>7</v>
      </c>
      <c r="DA7" s="12">
        <f t="shared" si="68"/>
        <v>0.875</v>
      </c>
      <c r="DB7" s="12">
        <f t="shared" si="69"/>
        <v>2.6316049382716034</v>
      </c>
      <c r="DC7" s="3">
        <v>9</v>
      </c>
      <c r="DD7" s="5">
        <v>8</v>
      </c>
      <c r="DE7" s="12">
        <f t="shared" si="70"/>
        <v>0.88888888888888884</v>
      </c>
      <c r="DF7" s="12">
        <f t="shared" si="71"/>
        <v>0.38716049382715995</v>
      </c>
      <c r="DG7" s="3">
        <v>8</v>
      </c>
      <c r="DH7" s="5">
        <v>7</v>
      </c>
      <c r="DI7" s="12">
        <f t="shared" si="72"/>
        <v>0.875</v>
      </c>
      <c r="DJ7" s="12">
        <f t="shared" si="73"/>
        <v>2.6316049382716034</v>
      </c>
      <c r="DK7" s="5">
        <v>10</v>
      </c>
      <c r="DL7" s="50">
        <v>9</v>
      </c>
      <c r="DM7" s="12">
        <f t="shared" si="74"/>
        <v>0.9</v>
      </c>
      <c r="DN7" s="12">
        <f t="shared" si="75"/>
        <v>0.14271604938271637</v>
      </c>
      <c r="DO7" s="3">
        <v>9</v>
      </c>
      <c r="DP7" s="3">
        <v>9</v>
      </c>
      <c r="DQ7" s="12">
        <f t="shared" si="76"/>
        <v>1</v>
      </c>
      <c r="DR7" s="12">
        <f t="shared" si="77"/>
        <v>0.14271604938271637</v>
      </c>
      <c r="DS7" s="3">
        <v>9</v>
      </c>
      <c r="DT7" s="5">
        <v>9</v>
      </c>
      <c r="DU7" s="12">
        <f t="shared" si="78"/>
        <v>1</v>
      </c>
      <c r="DV7" s="12">
        <f t="shared" si="79"/>
        <v>0.14271604938271637</v>
      </c>
      <c r="DW7" s="3">
        <v>10</v>
      </c>
      <c r="DX7" s="5">
        <v>10</v>
      </c>
      <c r="DY7" s="12">
        <f t="shared" si="80"/>
        <v>1</v>
      </c>
      <c r="DZ7" s="12">
        <f t="shared" si="81"/>
        <v>1.8982716049382728</v>
      </c>
      <c r="EA7" s="3">
        <v>10</v>
      </c>
      <c r="EB7" s="3">
        <v>10</v>
      </c>
      <c r="EC7" s="12">
        <f t="shared" si="82"/>
        <v>1</v>
      </c>
      <c r="ED7" s="12">
        <f t="shared" si="83"/>
        <v>1.8982716049382728</v>
      </c>
      <c r="EE7" s="3">
        <v>10</v>
      </c>
      <c r="EF7" s="5">
        <v>10</v>
      </c>
      <c r="EG7" s="12">
        <f t="shared" si="84"/>
        <v>1</v>
      </c>
      <c r="EH7" s="12">
        <f t="shared" si="85"/>
        <v>1.8982716049382728</v>
      </c>
      <c r="EI7" s="3">
        <v>10</v>
      </c>
      <c r="EJ7" s="5">
        <v>10</v>
      </c>
      <c r="EK7" s="12">
        <f t="shared" si="86"/>
        <v>1</v>
      </c>
      <c r="EL7" s="12">
        <f t="shared" si="87"/>
        <v>1.8982716049382728</v>
      </c>
      <c r="EM7" s="3">
        <v>10</v>
      </c>
      <c r="EN7" s="5">
        <v>10</v>
      </c>
      <c r="EO7" s="12">
        <f t="shared" si="88"/>
        <v>1</v>
      </c>
      <c r="EP7" s="12">
        <f t="shared" si="89"/>
        <v>1.8982716049382728</v>
      </c>
      <c r="EQ7" s="3">
        <v>10</v>
      </c>
      <c r="ER7" s="5">
        <v>10</v>
      </c>
      <c r="ES7" s="12">
        <f t="shared" si="0"/>
        <v>1</v>
      </c>
      <c r="ET7" s="12">
        <f t="shared" si="1"/>
        <v>1.8982716049382728</v>
      </c>
      <c r="EU7" s="3">
        <v>10</v>
      </c>
      <c r="EV7" s="5">
        <v>10</v>
      </c>
      <c r="EW7" s="12">
        <f t="shared" si="2"/>
        <v>1</v>
      </c>
      <c r="EX7" s="12">
        <f t="shared" si="3"/>
        <v>1.8982716049382728</v>
      </c>
      <c r="EY7" s="3">
        <v>10</v>
      </c>
      <c r="EZ7" s="5">
        <v>10</v>
      </c>
      <c r="FA7" s="12">
        <f t="shared" si="4"/>
        <v>1</v>
      </c>
      <c r="FB7" s="12">
        <f t="shared" si="5"/>
        <v>1.8982716049382728</v>
      </c>
      <c r="FC7" s="3">
        <v>10</v>
      </c>
      <c r="FD7" s="5">
        <v>10</v>
      </c>
      <c r="FE7" s="12">
        <f t="shared" si="6"/>
        <v>1</v>
      </c>
      <c r="FF7" s="12">
        <f t="shared" si="7"/>
        <v>1.8982716049382728</v>
      </c>
      <c r="FG7" s="3">
        <v>10</v>
      </c>
      <c r="FH7" s="5">
        <v>10</v>
      </c>
      <c r="FI7" s="12">
        <f t="shared" si="8"/>
        <v>1</v>
      </c>
      <c r="FJ7" s="12">
        <f t="shared" si="9"/>
        <v>1.8982716049382728</v>
      </c>
      <c r="FK7" s="3">
        <v>10</v>
      </c>
      <c r="FL7" s="5">
        <v>10</v>
      </c>
      <c r="FM7" s="12">
        <f t="shared" si="10"/>
        <v>1</v>
      </c>
      <c r="FN7" s="12">
        <f t="shared" si="11"/>
        <v>1.8982716049382728</v>
      </c>
      <c r="FO7" s="3">
        <v>10</v>
      </c>
      <c r="FP7" s="5">
        <v>10</v>
      </c>
      <c r="FQ7" s="12">
        <f t="shared" si="12"/>
        <v>1</v>
      </c>
      <c r="FR7" s="12">
        <f t="shared" si="13"/>
        <v>1.8982716049382728</v>
      </c>
      <c r="FS7" s="3">
        <v>10</v>
      </c>
      <c r="FT7" s="5">
        <v>10</v>
      </c>
      <c r="FU7" s="12">
        <f t="shared" si="14"/>
        <v>1</v>
      </c>
      <c r="FV7" s="12">
        <f t="shared" si="15"/>
        <v>1.8982716049382728</v>
      </c>
      <c r="FW7" s="3">
        <v>10</v>
      </c>
      <c r="FX7" s="5">
        <v>10</v>
      </c>
      <c r="FY7" s="12">
        <f t="shared" si="16"/>
        <v>1</v>
      </c>
      <c r="FZ7" s="12">
        <f t="shared" si="17"/>
        <v>1.8982716049382728</v>
      </c>
      <c r="GA7" s="4">
        <f t="shared" si="90"/>
        <v>45</v>
      </c>
      <c r="GB7" s="15">
        <f t="shared" si="91"/>
        <v>96.460317460317469</v>
      </c>
      <c r="GC7" s="15">
        <f t="shared" si="92"/>
        <v>8.6222222222222218</v>
      </c>
      <c r="GD7" s="15">
        <f t="shared" si="93"/>
        <v>1.437472251774889</v>
      </c>
      <c r="GE7" s="16">
        <f t="shared" si="94"/>
        <v>96.460317460317469</v>
      </c>
      <c r="GF7" s="17" t="s">
        <v>3</v>
      </c>
      <c r="GG7" s="24">
        <f t="shared" si="95"/>
        <v>1.437472251774889</v>
      </c>
      <c r="GH7" s="4" t="str">
        <f t="shared" si="96"/>
        <v>отлично</v>
      </c>
    </row>
    <row r="8" spans="1:190" ht="48.75" customHeight="1" thickBot="1" x14ac:dyDescent="0.3">
      <c r="A8" s="21">
        <v>6</v>
      </c>
      <c r="B8" s="31" t="s">
        <v>12</v>
      </c>
      <c r="C8" s="3">
        <v>10</v>
      </c>
      <c r="D8" s="3">
        <v>10</v>
      </c>
      <c r="E8" s="8">
        <f t="shared" si="18"/>
        <v>1</v>
      </c>
      <c r="F8" s="12">
        <f t="shared" si="19"/>
        <v>1.3353086419753073</v>
      </c>
      <c r="G8" s="3">
        <v>9</v>
      </c>
      <c r="H8" s="5">
        <v>9</v>
      </c>
      <c r="I8" s="12">
        <f t="shared" si="20"/>
        <v>1</v>
      </c>
      <c r="J8" s="12">
        <f t="shared" si="21"/>
        <v>2.4197530864197358E-2</v>
      </c>
      <c r="K8" s="3">
        <v>9</v>
      </c>
      <c r="L8" s="5">
        <v>9</v>
      </c>
      <c r="M8" s="12">
        <f t="shared" si="22"/>
        <v>1</v>
      </c>
      <c r="N8" s="12">
        <f t="shared" si="23"/>
        <v>2.4197530864197358E-2</v>
      </c>
      <c r="O8" s="3">
        <v>8</v>
      </c>
      <c r="P8" s="5">
        <v>8</v>
      </c>
      <c r="Q8" s="12">
        <f t="shared" si="24"/>
        <v>1</v>
      </c>
      <c r="R8" s="12">
        <f t="shared" si="25"/>
        <v>0.7130864197530874</v>
      </c>
      <c r="S8" s="3">
        <v>7</v>
      </c>
      <c r="T8" s="26">
        <v>7</v>
      </c>
      <c r="U8" s="12">
        <f t="shared" si="26"/>
        <v>1</v>
      </c>
      <c r="V8" s="12">
        <f t="shared" si="27"/>
        <v>3.4019753086419775</v>
      </c>
      <c r="W8" s="3">
        <v>7</v>
      </c>
      <c r="X8" s="5">
        <v>6</v>
      </c>
      <c r="Y8" s="12">
        <f t="shared" si="28"/>
        <v>0.8571428571428571</v>
      </c>
      <c r="Z8" s="12">
        <f t="shared" si="29"/>
        <v>8.0908641975308679</v>
      </c>
      <c r="AA8" s="3">
        <v>10</v>
      </c>
      <c r="AB8" s="5">
        <v>8</v>
      </c>
      <c r="AC8" s="12">
        <f t="shared" si="30"/>
        <v>0.8</v>
      </c>
      <c r="AD8" s="12">
        <f t="shared" si="31"/>
        <v>0.7130864197530874</v>
      </c>
      <c r="AE8" s="3">
        <v>8</v>
      </c>
      <c r="AF8" s="5">
        <v>8</v>
      </c>
      <c r="AG8" s="12">
        <f t="shared" si="32"/>
        <v>1</v>
      </c>
      <c r="AH8" s="12">
        <f t="shared" si="33"/>
        <v>0.7130864197530874</v>
      </c>
      <c r="AI8" s="3">
        <v>10</v>
      </c>
      <c r="AJ8" s="5">
        <v>7</v>
      </c>
      <c r="AK8" s="12">
        <f t="shared" si="34"/>
        <v>0.7</v>
      </c>
      <c r="AL8" s="12">
        <f t="shared" si="35"/>
        <v>3.4019753086419775</v>
      </c>
      <c r="AM8" s="3">
        <v>9</v>
      </c>
      <c r="AN8" s="5">
        <v>9</v>
      </c>
      <c r="AO8" s="12">
        <f t="shared" si="36"/>
        <v>1</v>
      </c>
      <c r="AP8" s="12">
        <f t="shared" si="37"/>
        <v>2.4197530864197358E-2</v>
      </c>
      <c r="AQ8" s="3">
        <v>9</v>
      </c>
      <c r="AR8" s="5">
        <v>9</v>
      </c>
      <c r="AS8" s="12">
        <f t="shared" si="38"/>
        <v>1</v>
      </c>
      <c r="AT8" s="12">
        <f t="shared" si="39"/>
        <v>2.4197530864197358E-2</v>
      </c>
      <c r="AU8" s="3">
        <v>10</v>
      </c>
      <c r="AV8" s="5">
        <v>9</v>
      </c>
      <c r="AW8" s="12">
        <f t="shared" si="40"/>
        <v>0.9</v>
      </c>
      <c r="AX8" s="12">
        <f t="shared" si="41"/>
        <v>2.4197530864197358E-2</v>
      </c>
      <c r="AY8" s="3">
        <v>9</v>
      </c>
      <c r="AZ8" s="5">
        <v>9</v>
      </c>
      <c r="BA8" s="12">
        <f t="shared" si="42"/>
        <v>1</v>
      </c>
      <c r="BB8" s="12">
        <f t="shared" si="43"/>
        <v>2.4197530864197358E-2</v>
      </c>
      <c r="BC8" s="3">
        <v>6</v>
      </c>
      <c r="BD8" s="3">
        <v>6</v>
      </c>
      <c r="BE8" s="12">
        <f t="shared" si="44"/>
        <v>1</v>
      </c>
      <c r="BF8" s="12">
        <f t="shared" si="45"/>
        <v>8.0908641975308679</v>
      </c>
      <c r="BG8" s="3">
        <v>9</v>
      </c>
      <c r="BH8" s="5">
        <v>8</v>
      </c>
      <c r="BI8" s="12">
        <f t="shared" si="46"/>
        <v>0.88888888888888884</v>
      </c>
      <c r="BJ8" s="12">
        <f t="shared" si="47"/>
        <v>0.7130864197530874</v>
      </c>
      <c r="BK8" s="3">
        <v>10</v>
      </c>
      <c r="BL8" s="5">
        <v>10</v>
      </c>
      <c r="BM8" s="12">
        <f t="shared" si="48"/>
        <v>1</v>
      </c>
      <c r="BN8" s="12">
        <f t="shared" si="49"/>
        <v>1.3353086419753073</v>
      </c>
      <c r="BO8" s="3">
        <v>9</v>
      </c>
      <c r="BP8" s="3">
        <v>9</v>
      </c>
      <c r="BQ8" s="12">
        <f t="shared" si="50"/>
        <v>1</v>
      </c>
      <c r="BR8" s="12">
        <f t="shared" si="51"/>
        <v>2.4197530864197358E-2</v>
      </c>
      <c r="BS8" s="3">
        <v>10</v>
      </c>
      <c r="BT8" s="5">
        <v>9</v>
      </c>
      <c r="BU8" s="12">
        <f t="shared" si="52"/>
        <v>0.9</v>
      </c>
      <c r="BV8" s="12">
        <f t="shared" si="53"/>
        <v>2.4197530864197358E-2</v>
      </c>
      <c r="BW8" s="3">
        <v>10</v>
      </c>
      <c r="BX8" s="5">
        <v>7</v>
      </c>
      <c r="BY8" s="12">
        <f t="shared" si="54"/>
        <v>0.7</v>
      </c>
      <c r="BZ8" s="12">
        <f t="shared" si="55"/>
        <v>3.4019753086419775</v>
      </c>
      <c r="CA8" s="3">
        <v>9</v>
      </c>
      <c r="CB8" s="5">
        <v>8</v>
      </c>
      <c r="CC8" s="12">
        <f t="shared" si="56"/>
        <v>0.88888888888888884</v>
      </c>
      <c r="CD8" s="12">
        <f t="shared" si="57"/>
        <v>0.7130864197530874</v>
      </c>
      <c r="CE8" s="3">
        <v>7</v>
      </c>
      <c r="CF8" s="5">
        <v>7</v>
      </c>
      <c r="CG8" s="12">
        <f t="shared" si="58"/>
        <v>1</v>
      </c>
      <c r="CH8" s="12">
        <f t="shared" si="59"/>
        <v>3.4019753086419775</v>
      </c>
      <c r="CI8" s="3">
        <v>9</v>
      </c>
      <c r="CJ8" s="5">
        <v>9</v>
      </c>
      <c r="CK8" s="12">
        <f t="shared" si="60"/>
        <v>1</v>
      </c>
      <c r="CL8" s="12">
        <f t="shared" si="61"/>
        <v>2.4197530864197358E-2</v>
      </c>
      <c r="CM8" s="3">
        <v>7</v>
      </c>
      <c r="CN8" s="5">
        <v>6</v>
      </c>
      <c r="CO8" s="12">
        <f t="shared" si="62"/>
        <v>0.8571428571428571</v>
      </c>
      <c r="CP8" s="12">
        <f t="shared" si="63"/>
        <v>8.0908641975308679</v>
      </c>
      <c r="CQ8" s="3">
        <v>9</v>
      </c>
      <c r="CR8" s="5">
        <v>9</v>
      </c>
      <c r="CS8" s="12">
        <f t="shared" si="64"/>
        <v>1</v>
      </c>
      <c r="CT8" s="12">
        <f t="shared" si="65"/>
        <v>2.4197530864197358E-2</v>
      </c>
      <c r="CU8" s="3">
        <v>10</v>
      </c>
      <c r="CV8" s="5">
        <v>9</v>
      </c>
      <c r="CW8" s="12">
        <f t="shared" si="66"/>
        <v>0.9</v>
      </c>
      <c r="CX8" s="12">
        <f t="shared" si="67"/>
        <v>2.4197530864197358E-2</v>
      </c>
      <c r="CY8" s="3">
        <v>10</v>
      </c>
      <c r="CZ8" s="5">
        <v>9</v>
      </c>
      <c r="DA8" s="12">
        <f t="shared" si="68"/>
        <v>0.9</v>
      </c>
      <c r="DB8" s="12">
        <f t="shared" si="69"/>
        <v>2.4197530864197358E-2</v>
      </c>
      <c r="DC8" s="3">
        <v>8</v>
      </c>
      <c r="DD8" s="5">
        <v>7</v>
      </c>
      <c r="DE8" s="12">
        <f t="shared" si="70"/>
        <v>0.875</v>
      </c>
      <c r="DF8" s="12">
        <f t="shared" si="71"/>
        <v>3.4019753086419775</v>
      </c>
      <c r="DG8" s="3">
        <v>9</v>
      </c>
      <c r="DH8" s="5">
        <v>9</v>
      </c>
      <c r="DI8" s="12">
        <f t="shared" si="72"/>
        <v>1</v>
      </c>
      <c r="DJ8" s="12">
        <f t="shared" si="73"/>
        <v>2.4197530864197358E-2</v>
      </c>
      <c r="DK8" s="3">
        <v>8</v>
      </c>
      <c r="DL8" s="5">
        <v>8</v>
      </c>
      <c r="DM8" s="12">
        <f t="shared" si="74"/>
        <v>1</v>
      </c>
      <c r="DN8" s="12">
        <f t="shared" si="75"/>
        <v>0.7130864197530874</v>
      </c>
      <c r="DO8" s="3">
        <v>10</v>
      </c>
      <c r="DP8" s="3">
        <v>10</v>
      </c>
      <c r="DQ8" s="12">
        <f t="shared" si="76"/>
        <v>1</v>
      </c>
      <c r="DR8" s="12">
        <f t="shared" si="77"/>
        <v>1.3353086419753073</v>
      </c>
      <c r="DS8" s="3">
        <v>10</v>
      </c>
      <c r="DT8" s="5">
        <v>10</v>
      </c>
      <c r="DU8" s="12">
        <f t="shared" si="78"/>
        <v>1</v>
      </c>
      <c r="DV8" s="12">
        <f t="shared" si="79"/>
        <v>1.3353086419753073</v>
      </c>
      <c r="DW8" s="3">
        <v>10</v>
      </c>
      <c r="DX8" s="5">
        <v>10</v>
      </c>
      <c r="DY8" s="12">
        <f t="shared" si="80"/>
        <v>1</v>
      </c>
      <c r="DZ8" s="12">
        <f t="shared" si="81"/>
        <v>1.3353086419753073</v>
      </c>
      <c r="EA8" s="3">
        <v>10</v>
      </c>
      <c r="EB8" s="3">
        <v>10</v>
      </c>
      <c r="EC8" s="12">
        <f t="shared" si="82"/>
        <v>1</v>
      </c>
      <c r="ED8" s="12">
        <f t="shared" si="83"/>
        <v>1.3353086419753073</v>
      </c>
      <c r="EE8" s="3">
        <v>10</v>
      </c>
      <c r="EF8" s="5">
        <v>10</v>
      </c>
      <c r="EG8" s="12">
        <f t="shared" si="84"/>
        <v>1</v>
      </c>
      <c r="EH8" s="12">
        <f t="shared" si="85"/>
        <v>1.3353086419753073</v>
      </c>
      <c r="EI8" s="3">
        <v>10</v>
      </c>
      <c r="EJ8" s="5">
        <v>10</v>
      </c>
      <c r="EK8" s="12">
        <f t="shared" si="86"/>
        <v>1</v>
      </c>
      <c r="EL8" s="12">
        <f t="shared" si="87"/>
        <v>1.3353086419753073</v>
      </c>
      <c r="EM8" s="3">
        <v>10</v>
      </c>
      <c r="EN8" s="5">
        <v>10</v>
      </c>
      <c r="EO8" s="12">
        <f t="shared" si="88"/>
        <v>1</v>
      </c>
      <c r="EP8" s="12">
        <f t="shared" si="89"/>
        <v>1.3353086419753073</v>
      </c>
      <c r="EQ8" s="3">
        <v>10</v>
      </c>
      <c r="ER8" s="5">
        <v>10</v>
      </c>
      <c r="ES8" s="12">
        <f t="shared" si="0"/>
        <v>1</v>
      </c>
      <c r="ET8" s="12">
        <f t="shared" si="1"/>
        <v>1.3353086419753073</v>
      </c>
      <c r="EU8" s="3">
        <v>10</v>
      </c>
      <c r="EV8" s="5">
        <v>10</v>
      </c>
      <c r="EW8" s="12">
        <f t="shared" si="2"/>
        <v>1</v>
      </c>
      <c r="EX8" s="12">
        <f t="shared" si="3"/>
        <v>1.3353086419753073</v>
      </c>
      <c r="EY8" s="3">
        <v>10</v>
      </c>
      <c r="EZ8" s="5">
        <v>10</v>
      </c>
      <c r="FA8" s="12">
        <f t="shared" si="4"/>
        <v>1</v>
      </c>
      <c r="FB8" s="12">
        <f t="shared" si="5"/>
        <v>1.3353086419753073</v>
      </c>
      <c r="FC8" s="3">
        <v>10</v>
      </c>
      <c r="FD8" s="5">
        <v>10</v>
      </c>
      <c r="FE8" s="12">
        <f t="shared" si="6"/>
        <v>1</v>
      </c>
      <c r="FF8" s="12">
        <f t="shared" si="7"/>
        <v>1.3353086419753073</v>
      </c>
      <c r="FG8" s="3">
        <v>10</v>
      </c>
      <c r="FH8" s="5">
        <v>10</v>
      </c>
      <c r="FI8" s="12">
        <f t="shared" si="8"/>
        <v>1</v>
      </c>
      <c r="FJ8" s="12">
        <f t="shared" si="9"/>
        <v>1.3353086419753073</v>
      </c>
      <c r="FK8" s="3">
        <v>10</v>
      </c>
      <c r="FL8" s="5">
        <v>10</v>
      </c>
      <c r="FM8" s="12">
        <f t="shared" si="10"/>
        <v>1</v>
      </c>
      <c r="FN8" s="12">
        <f t="shared" si="11"/>
        <v>1.3353086419753073</v>
      </c>
      <c r="FO8" s="3">
        <v>10</v>
      </c>
      <c r="FP8" s="5">
        <v>10</v>
      </c>
      <c r="FQ8" s="12">
        <f t="shared" si="12"/>
        <v>1</v>
      </c>
      <c r="FR8" s="12">
        <f t="shared" si="13"/>
        <v>1.3353086419753073</v>
      </c>
      <c r="FS8" s="3">
        <v>10</v>
      </c>
      <c r="FT8" s="5">
        <v>10</v>
      </c>
      <c r="FU8" s="12">
        <f t="shared" si="14"/>
        <v>1</v>
      </c>
      <c r="FV8" s="12">
        <f t="shared" si="15"/>
        <v>1.3353086419753073</v>
      </c>
      <c r="FW8" s="3">
        <v>10</v>
      </c>
      <c r="FX8" s="5">
        <v>10</v>
      </c>
      <c r="FY8" s="12">
        <f t="shared" si="16"/>
        <v>1</v>
      </c>
      <c r="FZ8" s="12">
        <f t="shared" si="17"/>
        <v>1.3353086419753073</v>
      </c>
      <c r="GA8" s="4">
        <f t="shared" si="90"/>
        <v>45</v>
      </c>
      <c r="GB8" s="15">
        <f t="shared" si="91"/>
        <v>95.926807760141088</v>
      </c>
      <c r="GC8" s="15">
        <f t="shared" si="92"/>
        <v>8.844444444444445</v>
      </c>
      <c r="GD8" s="15">
        <f t="shared" si="93"/>
        <v>1.197867332138524</v>
      </c>
      <c r="GE8" s="16">
        <f t="shared" si="94"/>
        <v>95.926807760141088</v>
      </c>
      <c r="GF8" s="17" t="s">
        <v>3</v>
      </c>
      <c r="GG8" s="24">
        <f t="shared" si="95"/>
        <v>1.197867332138524</v>
      </c>
      <c r="GH8" s="4" t="str">
        <f t="shared" si="96"/>
        <v>отлично</v>
      </c>
    </row>
    <row r="9" spans="1:190" ht="77.25" customHeight="1" thickBot="1" x14ac:dyDescent="0.3">
      <c r="A9" s="21">
        <v>7</v>
      </c>
      <c r="B9" s="31" t="s">
        <v>16</v>
      </c>
      <c r="C9" s="3">
        <v>10</v>
      </c>
      <c r="D9" s="3">
        <v>10</v>
      </c>
      <c r="E9" s="8">
        <f t="shared" si="18"/>
        <v>1</v>
      </c>
      <c r="F9" s="12">
        <f t="shared" si="19"/>
        <v>1.2844444444444434</v>
      </c>
      <c r="G9" s="3">
        <v>9</v>
      </c>
      <c r="H9" s="5">
        <v>9</v>
      </c>
      <c r="I9" s="12">
        <f t="shared" si="20"/>
        <v>1</v>
      </c>
      <c r="J9" s="12">
        <f t="shared" si="21"/>
        <v>1.7777777777777653E-2</v>
      </c>
      <c r="K9" s="3">
        <v>9</v>
      </c>
      <c r="L9" s="5">
        <v>9</v>
      </c>
      <c r="M9" s="12">
        <f t="shared" si="22"/>
        <v>1</v>
      </c>
      <c r="N9" s="12">
        <f t="shared" si="23"/>
        <v>1.7777777777777653E-2</v>
      </c>
      <c r="O9" s="3">
        <v>9</v>
      </c>
      <c r="P9" s="5">
        <v>9</v>
      </c>
      <c r="Q9" s="12">
        <f t="shared" si="24"/>
        <v>1</v>
      </c>
      <c r="R9" s="12">
        <f t="shared" si="25"/>
        <v>1.7777777777777653E-2</v>
      </c>
      <c r="S9" s="3">
        <v>8</v>
      </c>
      <c r="T9" s="26">
        <v>8</v>
      </c>
      <c r="U9" s="12">
        <f t="shared" si="26"/>
        <v>1</v>
      </c>
      <c r="V9" s="12">
        <f t="shared" si="27"/>
        <v>0.75111111111111195</v>
      </c>
      <c r="W9" s="3">
        <v>8</v>
      </c>
      <c r="X9" s="5">
        <v>7</v>
      </c>
      <c r="Y9" s="12">
        <f t="shared" si="28"/>
        <v>0.875</v>
      </c>
      <c r="Z9" s="12">
        <f t="shared" si="29"/>
        <v>3.484444444444446</v>
      </c>
      <c r="AA9" s="3">
        <v>9</v>
      </c>
      <c r="AB9" s="5">
        <v>7</v>
      </c>
      <c r="AC9" s="12">
        <f t="shared" si="30"/>
        <v>0.77777777777777779</v>
      </c>
      <c r="AD9" s="12">
        <f t="shared" si="31"/>
        <v>3.484444444444446</v>
      </c>
      <c r="AE9" s="3">
        <v>9</v>
      </c>
      <c r="AF9" s="5">
        <v>8</v>
      </c>
      <c r="AG9" s="12">
        <f t="shared" si="32"/>
        <v>0.88888888888888884</v>
      </c>
      <c r="AH9" s="12">
        <f t="shared" si="33"/>
        <v>0.75111111111111195</v>
      </c>
      <c r="AI9" s="3">
        <v>10</v>
      </c>
      <c r="AJ9" s="5">
        <v>8</v>
      </c>
      <c r="AK9" s="12">
        <f t="shared" si="34"/>
        <v>0.8</v>
      </c>
      <c r="AL9" s="12">
        <f t="shared" si="35"/>
        <v>0.75111111111111195</v>
      </c>
      <c r="AM9" s="3">
        <v>9</v>
      </c>
      <c r="AN9" s="5">
        <v>9</v>
      </c>
      <c r="AO9" s="12">
        <f t="shared" si="36"/>
        <v>1</v>
      </c>
      <c r="AP9" s="12">
        <f t="shared" si="37"/>
        <v>1.7777777777777653E-2</v>
      </c>
      <c r="AQ9" s="3">
        <v>10</v>
      </c>
      <c r="AR9" s="5">
        <v>9</v>
      </c>
      <c r="AS9" s="12">
        <f t="shared" si="38"/>
        <v>0.9</v>
      </c>
      <c r="AT9" s="12">
        <f t="shared" si="39"/>
        <v>1.7777777777777653E-2</v>
      </c>
      <c r="AU9" s="3">
        <v>7</v>
      </c>
      <c r="AV9" s="5">
        <v>6</v>
      </c>
      <c r="AW9" s="12">
        <f t="shared" si="40"/>
        <v>0.8571428571428571</v>
      </c>
      <c r="AX9" s="12">
        <f t="shared" si="41"/>
        <v>8.2177777777777798</v>
      </c>
      <c r="AY9" s="3">
        <v>9</v>
      </c>
      <c r="AZ9" s="5">
        <v>9</v>
      </c>
      <c r="BA9" s="12">
        <f t="shared" si="42"/>
        <v>1</v>
      </c>
      <c r="BB9" s="12">
        <f t="shared" si="43"/>
        <v>1.7777777777777653E-2</v>
      </c>
      <c r="BC9" s="3">
        <v>7</v>
      </c>
      <c r="BD9" s="3">
        <v>7</v>
      </c>
      <c r="BE9" s="12">
        <f t="shared" si="44"/>
        <v>1</v>
      </c>
      <c r="BF9" s="12">
        <f t="shared" si="45"/>
        <v>3.484444444444446</v>
      </c>
      <c r="BG9" s="3">
        <v>7</v>
      </c>
      <c r="BH9" s="5">
        <v>7</v>
      </c>
      <c r="BI9" s="12">
        <f t="shared" si="46"/>
        <v>1</v>
      </c>
      <c r="BJ9" s="12">
        <f t="shared" si="47"/>
        <v>3.484444444444446</v>
      </c>
      <c r="BK9" s="3">
        <v>8</v>
      </c>
      <c r="BL9" s="5">
        <v>8</v>
      </c>
      <c r="BM9" s="12">
        <f t="shared" si="48"/>
        <v>1</v>
      </c>
      <c r="BN9" s="12">
        <f t="shared" si="49"/>
        <v>0.75111111111111195</v>
      </c>
      <c r="BO9" s="3">
        <v>9</v>
      </c>
      <c r="BP9" s="3">
        <v>9</v>
      </c>
      <c r="BQ9" s="12">
        <f t="shared" si="50"/>
        <v>1</v>
      </c>
      <c r="BR9" s="12">
        <f t="shared" si="51"/>
        <v>1.7777777777777653E-2</v>
      </c>
      <c r="BS9" s="3">
        <v>10</v>
      </c>
      <c r="BT9" s="5">
        <v>9</v>
      </c>
      <c r="BU9" s="12">
        <f t="shared" si="52"/>
        <v>0.9</v>
      </c>
      <c r="BV9" s="12">
        <f t="shared" si="53"/>
        <v>1.7777777777777653E-2</v>
      </c>
      <c r="BW9" s="3">
        <v>10</v>
      </c>
      <c r="BX9" s="5">
        <v>8</v>
      </c>
      <c r="BY9" s="12">
        <f t="shared" si="54"/>
        <v>0.8</v>
      </c>
      <c r="BZ9" s="12">
        <f t="shared" si="55"/>
        <v>0.75111111111111195</v>
      </c>
      <c r="CA9" s="3">
        <v>9</v>
      </c>
      <c r="CB9" s="5">
        <v>9</v>
      </c>
      <c r="CC9" s="12">
        <f t="shared" si="56"/>
        <v>1</v>
      </c>
      <c r="CD9" s="12">
        <f t="shared" si="57"/>
        <v>1.7777777777777653E-2</v>
      </c>
      <c r="CE9" s="3">
        <v>9</v>
      </c>
      <c r="CF9" s="5">
        <v>8</v>
      </c>
      <c r="CG9" s="12">
        <f t="shared" si="58"/>
        <v>0.88888888888888884</v>
      </c>
      <c r="CH9" s="12">
        <f t="shared" si="59"/>
        <v>0.75111111111111195</v>
      </c>
      <c r="CI9" s="3">
        <v>10</v>
      </c>
      <c r="CJ9" s="5">
        <v>10</v>
      </c>
      <c r="CK9" s="12">
        <f t="shared" si="60"/>
        <v>1</v>
      </c>
      <c r="CL9" s="12">
        <f t="shared" si="61"/>
        <v>1.2844444444444434</v>
      </c>
      <c r="CM9" s="3">
        <v>9</v>
      </c>
      <c r="CN9" s="5">
        <v>7</v>
      </c>
      <c r="CO9" s="12">
        <f t="shared" si="62"/>
        <v>0.77777777777777779</v>
      </c>
      <c r="CP9" s="12">
        <f t="shared" si="63"/>
        <v>3.484444444444446</v>
      </c>
      <c r="CQ9" s="3">
        <v>9</v>
      </c>
      <c r="CR9" s="5">
        <v>9</v>
      </c>
      <c r="CS9" s="12">
        <f t="shared" si="64"/>
        <v>1</v>
      </c>
      <c r="CT9" s="12">
        <f t="shared" si="65"/>
        <v>1.7777777777777653E-2</v>
      </c>
      <c r="CU9" s="3">
        <v>10</v>
      </c>
      <c r="CV9" s="5">
        <v>10</v>
      </c>
      <c r="CW9" s="12">
        <f t="shared" si="66"/>
        <v>1</v>
      </c>
      <c r="CX9" s="12">
        <f t="shared" si="67"/>
        <v>1.2844444444444434</v>
      </c>
      <c r="CY9" s="3">
        <v>8</v>
      </c>
      <c r="CZ9" s="5">
        <v>8</v>
      </c>
      <c r="DA9" s="12">
        <f t="shared" si="68"/>
        <v>1</v>
      </c>
      <c r="DB9" s="12">
        <f t="shared" si="69"/>
        <v>0.75111111111111195</v>
      </c>
      <c r="DC9" s="3">
        <v>8</v>
      </c>
      <c r="DD9" s="5">
        <v>6</v>
      </c>
      <c r="DE9" s="12">
        <f t="shared" si="70"/>
        <v>0.75</v>
      </c>
      <c r="DF9" s="12">
        <f t="shared" si="71"/>
        <v>8.2177777777777798</v>
      </c>
      <c r="DG9" s="3">
        <v>10</v>
      </c>
      <c r="DH9" s="5">
        <v>9</v>
      </c>
      <c r="DI9" s="12">
        <f t="shared" si="72"/>
        <v>0.9</v>
      </c>
      <c r="DJ9" s="12">
        <f t="shared" si="73"/>
        <v>1.7777777777777653E-2</v>
      </c>
      <c r="DK9" s="3">
        <v>10</v>
      </c>
      <c r="DL9" s="5">
        <v>10</v>
      </c>
      <c r="DM9" s="12">
        <f t="shared" si="74"/>
        <v>1</v>
      </c>
      <c r="DN9" s="12">
        <f t="shared" si="75"/>
        <v>1.2844444444444434</v>
      </c>
      <c r="DO9" s="3">
        <v>9</v>
      </c>
      <c r="DP9" s="3">
        <v>9</v>
      </c>
      <c r="DQ9" s="12">
        <f t="shared" si="76"/>
        <v>1</v>
      </c>
      <c r="DR9" s="12">
        <f t="shared" si="77"/>
        <v>1.7777777777777653E-2</v>
      </c>
      <c r="DS9" s="3">
        <v>8</v>
      </c>
      <c r="DT9" s="5">
        <v>8</v>
      </c>
      <c r="DU9" s="12">
        <f t="shared" si="78"/>
        <v>1</v>
      </c>
      <c r="DV9" s="12">
        <f t="shared" si="79"/>
        <v>0.75111111111111195</v>
      </c>
      <c r="DW9" s="3">
        <v>10</v>
      </c>
      <c r="DX9" s="5">
        <v>10</v>
      </c>
      <c r="DY9" s="12">
        <f t="shared" si="80"/>
        <v>1</v>
      </c>
      <c r="DZ9" s="12">
        <f t="shared" si="81"/>
        <v>1.2844444444444434</v>
      </c>
      <c r="EA9" s="3">
        <v>10</v>
      </c>
      <c r="EB9" s="3">
        <v>10</v>
      </c>
      <c r="EC9" s="12">
        <f t="shared" si="82"/>
        <v>1</v>
      </c>
      <c r="ED9" s="12">
        <f t="shared" si="83"/>
        <v>1.2844444444444434</v>
      </c>
      <c r="EE9" s="3">
        <v>10</v>
      </c>
      <c r="EF9" s="5">
        <v>10</v>
      </c>
      <c r="EG9" s="12">
        <f t="shared" si="84"/>
        <v>1</v>
      </c>
      <c r="EH9" s="12">
        <f t="shared" si="85"/>
        <v>1.2844444444444434</v>
      </c>
      <c r="EI9" s="3">
        <v>10</v>
      </c>
      <c r="EJ9" s="5">
        <v>10</v>
      </c>
      <c r="EK9" s="12">
        <f t="shared" si="86"/>
        <v>1</v>
      </c>
      <c r="EL9" s="12">
        <f t="shared" si="87"/>
        <v>1.2844444444444434</v>
      </c>
      <c r="EM9" s="3">
        <v>10</v>
      </c>
      <c r="EN9" s="5">
        <v>10</v>
      </c>
      <c r="EO9" s="12">
        <f t="shared" si="88"/>
        <v>1</v>
      </c>
      <c r="EP9" s="12">
        <f t="shared" si="89"/>
        <v>1.2844444444444434</v>
      </c>
      <c r="EQ9" s="3">
        <v>10</v>
      </c>
      <c r="ER9" s="5">
        <v>10</v>
      </c>
      <c r="ES9" s="12">
        <f t="shared" si="0"/>
        <v>1</v>
      </c>
      <c r="ET9" s="12">
        <f t="shared" si="1"/>
        <v>1.2844444444444434</v>
      </c>
      <c r="EU9" s="3">
        <v>10</v>
      </c>
      <c r="EV9" s="5">
        <v>10</v>
      </c>
      <c r="EW9" s="12">
        <f t="shared" si="2"/>
        <v>1</v>
      </c>
      <c r="EX9" s="12">
        <f t="shared" si="3"/>
        <v>1.2844444444444434</v>
      </c>
      <c r="EY9" s="3">
        <v>10</v>
      </c>
      <c r="EZ9" s="5">
        <v>10</v>
      </c>
      <c r="FA9" s="12">
        <f t="shared" si="4"/>
        <v>1</v>
      </c>
      <c r="FB9" s="12">
        <f t="shared" si="5"/>
        <v>1.2844444444444434</v>
      </c>
      <c r="FC9" s="3">
        <v>10</v>
      </c>
      <c r="FD9" s="5">
        <v>10</v>
      </c>
      <c r="FE9" s="12">
        <f t="shared" si="6"/>
        <v>1</v>
      </c>
      <c r="FF9" s="12">
        <f t="shared" si="7"/>
        <v>1.2844444444444434</v>
      </c>
      <c r="FG9" s="3">
        <v>10</v>
      </c>
      <c r="FH9" s="5">
        <v>10</v>
      </c>
      <c r="FI9" s="12">
        <f t="shared" si="8"/>
        <v>1</v>
      </c>
      <c r="FJ9" s="12">
        <f t="shared" si="9"/>
        <v>1.2844444444444434</v>
      </c>
      <c r="FK9" s="3">
        <v>10</v>
      </c>
      <c r="FL9" s="5">
        <v>10</v>
      </c>
      <c r="FM9" s="12">
        <f t="shared" si="10"/>
        <v>1</v>
      </c>
      <c r="FN9" s="12">
        <f t="shared" si="11"/>
        <v>1.2844444444444434</v>
      </c>
      <c r="FO9" s="3">
        <v>10</v>
      </c>
      <c r="FP9" s="5">
        <v>10</v>
      </c>
      <c r="FQ9" s="12">
        <f t="shared" si="12"/>
        <v>1</v>
      </c>
      <c r="FR9" s="12">
        <f t="shared" si="13"/>
        <v>1.2844444444444434</v>
      </c>
      <c r="FS9" s="3">
        <v>10</v>
      </c>
      <c r="FT9" s="5">
        <v>10</v>
      </c>
      <c r="FU9" s="12">
        <f t="shared" si="14"/>
        <v>1</v>
      </c>
      <c r="FV9" s="12">
        <f t="shared" si="15"/>
        <v>1.2844444444444434</v>
      </c>
      <c r="FW9" s="3">
        <v>10</v>
      </c>
      <c r="FX9" s="5">
        <v>10</v>
      </c>
      <c r="FY9" s="12">
        <f t="shared" si="16"/>
        <v>1</v>
      </c>
      <c r="FZ9" s="12">
        <f t="shared" si="17"/>
        <v>1.2844444444444434</v>
      </c>
      <c r="GA9" s="4">
        <f t="shared" si="90"/>
        <v>45</v>
      </c>
      <c r="GB9" s="15">
        <f t="shared" si="91"/>
        <v>95.812169312169303</v>
      </c>
      <c r="GC9" s="15">
        <f t="shared" si="92"/>
        <v>8.8666666666666671</v>
      </c>
      <c r="GD9" s="15">
        <f t="shared" si="93"/>
        <v>1.1359012302741258</v>
      </c>
      <c r="GE9" s="16">
        <f t="shared" si="94"/>
        <v>95.812169312169303</v>
      </c>
      <c r="GF9" s="17" t="s">
        <v>3</v>
      </c>
      <c r="GG9" s="24">
        <f t="shared" si="95"/>
        <v>1.1359012302741258</v>
      </c>
      <c r="GH9" s="4" t="str">
        <f t="shared" si="96"/>
        <v>отлично</v>
      </c>
    </row>
    <row r="10" spans="1:190" ht="85.5" customHeight="1" thickBot="1" x14ac:dyDescent="0.3">
      <c r="A10" s="21">
        <v>8</v>
      </c>
      <c r="B10" s="31" t="s">
        <v>17</v>
      </c>
      <c r="C10" s="3">
        <v>10</v>
      </c>
      <c r="D10" s="3">
        <v>10</v>
      </c>
      <c r="E10" s="8">
        <f t="shared" si="18"/>
        <v>1</v>
      </c>
      <c r="F10" s="12">
        <f t="shared" si="19"/>
        <v>1.4399999999999984</v>
      </c>
      <c r="G10" s="3">
        <v>9</v>
      </c>
      <c r="H10" s="5">
        <v>9</v>
      </c>
      <c r="I10" s="12">
        <f t="shared" si="20"/>
        <v>1</v>
      </c>
      <c r="J10" s="12">
        <f t="shared" si="21"/>
        <v>3.9999999999999716E-2</v>
      </c>
      <c r="K10" s="3">
        <v>9</v>
      </c>
      <c r="L10" s="5">
        <v>9</v>
      </c>
      <c r="M10" s="12">
        <f t="shared" si="22"/>
        <v>1</v>
      </c>
      <c r="N10" s="12">
        <f t="shared" si="23"/>
        <v>3.9999999999999716E-2</v>
      </c>
      <c r="O10" s="3">
        <v>9</v>
      </c>
      <c r="P10" s="5">
        <v>9</v>
      </c>
      <c r="Q10" s="12">
        <f t="shared" si="24"/>
        <v>1</v>
      </c>
      <c r="R10" s="12">
        <f t="shared" si="25"/>
        <v>3.9999999999999716E-2</v>
      </c>
      <c r="S10" s="3">
        <v>9</v>
      </c>
      <c r="T10" s="26">
        <v>9</v>
      </c>
      <c r="U10" s="12">
        <f t="shared" si="26"/>
        <v>1</v>
      </c>
      <c r="V10" s="12">
        <f t="shared" si="27"/>
        <v>3.9999999999999716E-2</v>
      </c>
      <c r="W10" s="3">
        <v>9</v>
      </c>
      <c r="X10" s="5">
        <v>9</v>
      </c>
      <c r="Y10" s="12">
        <f t="shared" si="28"/>
        <v>1</v>
      </c>
      <c r="Z10" s="12">
        <f t="shared" si="29"/>
        <v>3.9999999999999716E-2</v>
      </c>
      <c r="AA10" s="3">
        <v>9</v>
      </c>
      <c r="AB10" s="5">
        <v>7</v>
      </c>
      <c r="AC10" s="12">
        <f t="shared" si="30"/>
        <v>0.77777777777777779</v>
      </c>
      <c r="AD10" s="12">
        <f t="shared" si="31"/>
        <v>3.2400000000000024</v>
      </c>
      <c r="AE10" s="3">
        <v>7</v>
      </c>
      <c r="AF10" s="5">
        <v>7</v>
      </c>
      <c r="AG10" s="12">
        <f t="shared" si="32"/>
        <v>1</v>
      </c>
      <c r="AH10" s="12">
        <f t="shared" si="33"/>
        <v>3.2400000000000024</v>
      </c>
      <c r="AI10" s="3">
        <v>10</v>
      </c>
      <c r="AJ10" s="5">
        <v>9</v>
      </c>
      <c r="AK10" s="12">
        <f t="shared" si="34"/>
        <v>0.9</v>
      </c>
      <c r="AL10" s="12">
        <f t="shared" si="35"/>
        <v>3.9999999999999716E-2</v>
      </c>
      <c r="AM10" s="3">
        <v>8</v>
      </c>
      <c r="AN10" s="5">
        <v>7</v>
      </c>
      <c r="AO10" s="12">
        <f t="shared" si="36"/>
        <v>0.875</v>
      </c>
      <c r="AP10" s="12">
        <f t="shared" si="37"/>
        <v>3.2400000000000024</v>
      </c>
      <c r="AQ10" s="3">
        <v>8</v>
      </c>
      <c r="AR10" s="5">
        <v>8</v>
      </c>
      <c r="AS10" s="12">
        <f t="shared" si="38"/>
        <v>1</v>
      </c>
      <c r="AT10" s="12">
        <f t="shared" si="39"/>
        <v>0.64000000000000112</v>
      </c>
      <c r="AU10" s="3">
        <v>4</v>
      </c>
      <c r="AV10" s="5">
        <v>4</v>
      </c>
      <c r="AW10" s="12">
        <f t="shared" si="40"/>
        <v>1</v>
      </c>
      <c r="AX10" s="12">
        <f t="shared" si="41"/>
        <v>23.040000000000006</v>
      </c>
      <c r="AY10" s="3">
        <v>8</v>
      </c>
      <c r="AZ10" s="5">
        <v>8</v>
      </c>
      <c r="BA10" s="12">
        <f t="shared" si="42"/>
        <v>1</v>
      </c>
      <c r="BB10" s="12">
        <f t="shared" si="43"/>
        <v>0.64000000000000112</v>
      </c>
      <c r="BC10" s="3">
        <v>8</v>
      </c>
      <c r="BD10" s="3">
        <v>8</v>
      </c>
      <c r="BE10" s="12">
        <f t="shared" si="44"/>
        <v>1</v>
      </c>
      <c r="BF10" s="12">
        <f t="shared" si="45"/>
        <v>0.64000000000000112</v>
      </c>
      <c r="BG10" s="3">
        <v>9</v>
      </c>
      <c r="BH10" s="5">
        <v>7</v>
      </c>
      <c r="BI10" s="12">
        <f t="shared" si="46"/>
        <v>0.77777777777777779</v>
      </c>
      <c r="BJ10" s="12">
        <f t="shared" si="47"/>
        <v>3.2400000000000024</v>
      </c>
      <c r="BK10" s="3">
        <v>9</v>
      </c>
      <c r="BL10" s="5">
        <v>9</v>
      </c>
      <c r="BM10" s="12">
        <f t="shared" si="48"/>
        <v>1</v>
      </c>
      <c r="BN10" s="12">
        <f t="shared" si="49"/>
        <v>3.9999999999999716E-2</v>
      </c>
      <c r="BO10" s="3">
        <v>9</v>
      </c>
      <c r="BP10" s="3">
        <v>9</v>
      </c>
      <c r="BQ10" s="12">
        <f t="shared" si="50"/>
        <v>1</v>
      </c>
      <c r="BR10" s="12">
        <f t="shared" si="51"/>
        <v>3.9999999999999716E-2</v>
      </c>
      <c r="BS10" s="3">
        <v>10</v>
      </c>
      <c r="BT10" s="5">
        <v>8</v>
      </c>
      <c r="BU10" s="12">
        <f t="shared" si="52"/>
        <v>0.8</v>
      </c>
      <c r="BV10" s="12">
        <f t="shared" si="53"/>
        <v>0.64000000000000112</v>
      </c>
      <c r="BW10" s="3">
        <v>10</v>
      </c>
      <c r="BX10" s="5">
        <v>9</v>
      </c>
      <c r="BY10" s="12">
        <f t="shared" si="54"/>
        <v>0.9</v>
      </c>
      <c r="BZ10" s="12">
        <f t="shared" si="55"/>
        <v>3.9999999999999716E-2</v>
      </c>
      <c r="CA10" s="3">
        <v>8</v>
      </c>
      <c r="CB10" s="5">
        <v>8</v>
      </c>
      <c r="CC10" s="12">
        <f t="shared" si="56"/>
        <v>1</v>
      </c>
      <c r="CD10" s="12">
        <f t="shared" si="57"/>
        <v>0.64000000000000112</v>
      </c>
      <c r="CE10" s="3">
        <v>9</v>
      </c>
      <c r="CF10" s="5">
        <v>8</v>
      </c>
      <c r="CG10" s="12">
        <f t="shared" si="58"/>
        <v>0.88888888888888884</v>
      </c>
      <c r="CH10" s="12">
        <f t="shared" si="59"/>
        <v>0.64000000000000112</v>
      </c>
      <c r="CI10" s="3">
        <v>10</v>
      </c>
      <c r="CJ10" s="5">
        <v>10</v>
      </c>
      <c r="CK10" s="12">
        <f t="shared" si="60"/>
        <v>1</v>
      </c>
      <c r="CL10" s="12">
        <f t="shared" si="61"/>
        <v>1.4399999999999984</v>
      </c>
      <c r="CM10" s="3">
        <v>10</v>
      </c>
      <c r="CN10" s="5">
        <v>9</v>
      </c>
      <c r="CO10" s="12">
        <f t="shared" si="62"/>
        <v>0.9</v>
      </c>
      <c r="CP10" s="12">
        <f t="shared" si="63"/>
        <v>3.9999999999999716E-2</v>
      </c>
      <c r="CQ10" s="3">
        <v>9</v>
      </c>
      <c r="CR10" s="5">
        <v>8</v>
      </c>
      <c r="CS10" s="12">
        <f t="shared" si="64"/>
        <v>0.88888888888888884</v>
      </c>
      <c r="CT10" s="12">
        <f t="shared" si="65"/>
        <v>0.64000000000000112</v>
      </c>
      <c r="CU10" s="3">
        <v>9</v>
      </c>
      <c r="CV10" s="5">
        <v>8</v>
      </c>
      <c r="CW10" s="12">
        <f t="shared" si="66"/>
        <v>0.88888888888888884</v>
      </c>
      <c r="CX10" s="12">
        <f t="shared" si="67"/>
        <v>0.64000000000000112</v>
      </c>
      <c r="CY10" s="3">
        <v>8</v>
      </c>
      <c r="CZ10" s="5">
        <v>8</v>
      </c>
      <c r="DA10" s="12">
        <f t="shared" si="68"/>
        <v>1</v>
      </c>
      <c r="DB10" s="12">
        <f t="shared" si="69"/>
        <v>0.64000000000000112</v>
      </c>
      <c r="DC10" s="3">
        <v>8</v>
      </c>
      <c r="DD10" s="5">
        <v>6</v>
      </c>
      <c r="DE10" s="12">
        <f t="shared" si="70"/>
        <v>0.75</v>
      </c>
      <c r="DF10" s="12">
        <f t="shared" si="71"/>
        <v>7.8400000000000043</v>
      </c>
      <c r="DG10" s="3">
        <v>9</v>
      </c>
      <c r="DH10" s="5">
        <v>8</v>
      </c>
      <c r="DI10" s="12">
        <f t="shared" si="72"/>
        <v>0.88888888888888884</v>
      </c>
      <c r="DJ10" s="12">
        <f t="shared" si="73"/>
        <v>0.64000000000000112</v>
      </c>
      <c r="DK10" s="3">
        <v>10</v>
      </c>
      <c r="DL10" s="5">
        <v>10</v>
      </c>
      <c r="DM10" s="12">
        <f t="shared" si="74"/>
        <v>1</v>
      </c>
      <c r="DN10" s="12">
        <f t="shared" si="75"/>
        <v>1.4399999999999984</v>
      </c>
      <c r="DO10" s="3">
        <v>9</v>
      </c>
      <c r="DP10" s="3">
        <v>9</v>
      </c>
      <c r="DQ10" s="12">
        <f t="shared" si="76"/>
        <v>1</v>
      </c>
      <c r="DR10" s="12">
        <f t="shared" si="77"/>
        <v>3.9999999999999716E-2</v>
      </c>
      <c r="DS10" s="3">
        <v>9</v>
      </c>
      <c r="DT10" s="5">
        <v>9</v>
      </c>
      <c r="DU10" s="12">
        <f t="shared" si="78"/>
        <v>1</v>
      </c>
      <c r="DV10" s="12">
        <f t="shared" si="79"/>
        <v>3.9999999999999716E-2</v>
      </c>
      <c r="DW10" s="3">
        <v>10</v>
      </c>
      <c r="DX10" s="5">
        <v>10</v>
      </c>
      <c r="DY10" s="12">
        <f t="shared" si="80"/>
        <v>1</v>
      </c>
      <c r="DZ10" s="12">
        <f t="shared" si="81"/>
        <v>1.4399999999999984</v>
      </c>
      <c r="EA10" s="3">
        <v>10</v>
      </c>
      <c r="EB10" s="3">
        <v>10</v>
      </c>
      <c r="EC10" s="12">
        <f t="shared" si="82"/>
        <v>1</v>
      </c>
      <c r="ED10" s="12">
        <f t="shared" si="83"/>
        <v>1.4399999999999984</v>
      </c>
      <c r="EE10" s="3">
        <v>10</v>
      </c>
      <c r="EF10" s="5">
        <v>10</v>
      </c>
      <c r="EG10" s="12">
        <f t="shared" si="84"/>
        <v>1</v>
      </c>
      <c r="EH10" s="12">
        <f t="shared" si="85"/>
        <v>1.4399999999999984</v>
      </c>
      <c r="EI10" s="3">
        <v>10</v>
      </c>
      <c r="EJ10" s="5">
        <v>10</v>
      </c>
      <c r="EK10" s="12">
        <f t="shared" si="86"/>
        <v>1</v>
      </c>
      <c r="EL10" s="12">
        <f t="shared" si="87"/>
        <v>1.4399999999999984</v>
      </c>
      <c r="EM10" s="3">
        <v>10</v>
      </c>
      <c r="EN10" s="5">
        <v>10</v>
      </c>
      <c r="EO10" s="12">
        <f t="shared" si="88"/>
        <v>1</v>
      </c>
      <c r="EP10" s="12">
        <f t="shared" si="89"/>
        <v>1.4399999999999984</v>
      </c>
      <c r="EQ10" s="3">
        <v>10</v>
      </c>
      <c r="ER10" s="5">
        <v>10</v>
      </c>
      <c r="ES10" s="12">
        <f t="shared" si="0"/>
        <v>1</v>
      </c>
      <c r="ET10" s="12">
        <f t="shared" si="1"/>
        <v>1.4399999999999984</v>
      </c>
      <c r="EU10" s="3">
        <v>10</v>
      </c>
      <c r="EV10" s="5">
        <v>10</v>
      </c>
      <c r="EW10" s="12">
        <f t="shared" si="2"/>
        <v>1</v>
      </c>
      <c r="EX10" s="12">
        <f t="shared" si="3"/>
        <v>1.4399999999999984</v>
      </c>
      <c r="EY10" s="3">
        <v>10</v>
      </c>
      <c r="EZ10" s="5">
        <v>10</v>
      </c>
      <c r="FA10" s="12">
        <f t="shared" si="4"/>
        <v>1</v>
      </c>
      <c r="FB10" s="12">
        <f t="shared" si="5"/>
        <v>1.4399999999999984</v>
      </c>
      <c r="FC10" s="3">
        <v>10</v>
      </c>
      <c r="FD10" s="5">
        <v>10</v>
      </c>
      <c r="FE10" s="12">
        <f t="shared" si="6"/>
        <v>1</v>
      </c>
      <c r="FF10" s="12">
        <f t="shared" si="7"/>
        <v>1.4399999999999984</v>
      </c>
      <c r="FG10" s="3">
        <v>9</v>
      </c>
      <c r="FH10" s="5">
        <v>10</v>
      </c>
      <c r="FI10" s="12">
        <f t="shared" si="8"/>
        <v>1.1111111111111112</v>
      </c>
      <c r="FJ10" s="12">
        <f t="shared" si="9"/>
        <v>1.4399999999999984</v>
      </c>
      <c r="FK10" s="3">
        <v>10</v>
      </c>
      <c r="FL10" s="5">
        <v>10</v>
      </c>
      <c r="FM10" s="12">
        <f t="shared" si="10"/>
        <v>1</v>
      </c>
      <c r="FN10" s="12">
        <f t="shared" si="11"/>
        <v>1.4399999999999984</v>
      </c>
      <c r="FO10" s="3">
        <v>10</v>
      </c>
      <c r="FP10" s="5">
        <v>10</v>
      </c>
      <c r="FQ10" s="12">
        <f t="shared" si="12"/>
        <v>1</v>
      </c>
      <c r="FR10" s="12">
        <f t="shared" si="13"/>
        <v>1.4399999999999984</v>
      </c>
      <c r="FS10" s="3">
        <v>10</v>
      </c>
      <c r="FT10" s="5">
        <v>10</v>
      </c>
      <c r="FU10" s="12">
        <f t="shared" si="14"/>
        <v>1</v>
      </c>
      <c r="FV10" s="12">
        <f t="shared" si="15"/>
        <v>1.4399999999999984</v>
      </c>
      <c r="FW10" s="3">
        <v>10</v>
      </c>
      <c r="FX10" s="5">
        <v>10</v>
      </c>
      <c r="FY10" s="12">
        <f t="shared" si="16"/>
        <v>1</v>
      </c>
      <c r="FZ10" s="12">
        <f t="shared" si="17"/>
        <v>1.4399999999999984</v>
      </c>
      <c r="GA10" s="4">
        <f t="shared" si="90"/>
        <v>45</v>
      </c>
      <c r="GB10" s="15">
        <f t="shared" si="91"/>
        <v>96.327160493827165</v>
      </c>
      <c r="GC10" s="15">
        <f t="shared" si="92"/>
        <v>8.8000000000000007</v>
      </c>
      <c r="GD10" s="15">
        <f t="shared" si="93"/>
        <v>1.2422202345442257</v>
      </c>
      <c r="GE10" s="16">
        <f t="shared" si="94"/>
        <v>96.327160493827165</v>
      </c>
      <c r="GF10" s="17" t="s">
        <v>3</v>
      </c>
      <c r="GG10" s="24">
        <f t="shared" si="95"/>
        <v>1.2422202345442257</v>
      </c>
      <c r="GH10" s="4" t="str">
        <f t="shared" si="96"/>
        <v>отлично</v>
      </c>
    </row>
    <row r="11" spans="1:190" ht="48" customHeight="1" thickBot="1" x14ac:dyDescent="0.3">
      <c r="A11" s="21">
        <v>9</v>
      </c>
      <c r="B11" s="31" t="s">
        <v>18</v>
      </c>
      <c r="C11" s="3">
        <v>10</v>
      </c>
      <c r="D11" s="3">
        <v>10</v>
      </c>
      <c r="E11" s="8">
        <f t="shared" si="18"/>
        <v>1</v>
      </c>
      <c r="F11" s="12">
        <f t="shared" si="19"/>
        <v>1.2844444444444434</v>
      </c>
      <c r="G11" s="3">
        <v>9</v>
      </c>
      <c r="H11" s="5">
        <v>9</v>
      </c>
      <c r="I11" s="12">
        <f t="shared" si="20"/>
        <v>1</v>
      </c>
      <c r="J11" s="12">
        <f t="shared" si="21"/>
        <v>1.7777777777777653E-2</v>
      </c>
      <c r="K11" s="3">
        <v>10</v>
      </c>
      <c r="L11" s="5">
        <v>10</v>
      </c>
      <c r="M11" s="12">
        <f t="shared" si="22"/>
        <v>1</v>
      </c>
      <c r="N11" s="12">
        <f t="shared" si="23"/>
        <v>1.2844444444444434</v>
      </c>
      <c r="O11" s="3">
        <v>9</v>
      </c>
      <c r="P11" s="5">
        <v>9</v>
      </c>
      <c r="Q11" s="12">
        <f t="shared" si="24"/>
        <v>1</v>
      </c>
      <c r="R11" s="12">
        <f t="shared" si="25"/>
        <v>1.7777777777777653E-2</v>
      </c>
      <c r="S11" s="3">
        <v>9</v>
      </c>
      <c r="T11" s="26">
        <v>9</v>
      </c>
      <c r="U11" s="12">
        <f t="shared" si="26"/>
        <v>1</v>
      </c>
      <c r="V11" s="12">
        <f t="shared" si="27"/>
        <v>1.7777777777777653E-2</v>
      </c>
      <c r="W11" s="3">
        <v>8</v>
      </c>
      <c r="X11" s="5">
        <v>7</v>
      </c>
      <c r="Y11" s="12">
        <f t="shared" si="28"/>
        <v>0.875</v>
      </c>
      <c r="Z11" s="12">
        <f t="shared" si="29"/>
        <v>3.484444444444446</v>
      </c>
      <c r="AA11" s="3">
        <v>10</v>
      </c>
      <c r="AB11" s="5">
        <v>9</v>
      </c>
      <c r="AC11" s="12">
        <f t="shared" si="30"/>
        <v>0.9</v>
      </c>
      <c r="AD11" s="12">
        <f t="shared" si="31"/>
        <v>1.7777777777777653E-2</v>
      </c>
      <c r="AE11" s="3">
        <v>8</v>
      </c>
      <c r="AF11" s="5">
        <v>7</v>
      </c>
      <c r="AG11" s="12">
        <f t="shared" si="32"/>
        <v>0.875</v>
      </c>
      <c r="AH11" s="12">
        <f t="shared" si="33"/>
        <v>3.484444444444446</v>
      </c>
      <c r="AI11" s="3">
        <v>10</v>
      </c>
      <c r="AJ11" s="5">
        <v>9</v>
      </c>
      <c r="AK11" s="12">
        <f t="shared" si="34"/>
        <v>0.9</v>
      </c>
      <c r="AL11" s="12">
        <f t="shared" si="35"/>
        <v>1.7777777777777653E-2</v>
      </c>
      <c r="AM11" s="3">
        <v>9</v>
      </c>
      <c r="AN11" s="5">
        <v>9</v>
      </c>
      <c r="AO11" s="12">
        <f t="shared" si="36"/>
        <v>1</v>
      </c>
      <c r="AP11" s="12">
        <f t="shared" si="37"/>
        <v>1.7777777777777653E-2</v>
      </c>
      <c r="AQ11" s="3">
        <v>9</v>
      </c>
      <c r="AR11" s="5">
        <v>9</v>
      </c>
      <c r="AS11" s="12">
        <f t="shared" si="38"/>
        <v>1</v>
      </c>
      <c r="AT11" s="12">
        <f t="shared" si="39"/>
        <v>1.7777777777777653E-2</v>
      </c>
      <c r="AU11" s="3">
        <v>5</v>
      </c>
      <c r="AV11" s="5">
        <v>5</v>
      </c>
      <c r="AW11" s="12">
        <f t="shared" si="40"/>
        <v>1</v>
      </c>
      <c r="AX11" s="12">
        <f t="shared" si="41"/>
        <v>14.951111111111114</v>
      </c>
      <c r="AY11" s="3">
        <v>8</v>
      </c>
      <c r="AZ11" s="5">
        <v>7</v>
      </c>
      <c r="BA11" s="12">
        <f t="shared" si="42"/>
        <v>0.875</v>
      </c>
      <c r="BB11" s="12">
        <f t="shared" si="43"/>
        <v>3.484444444444446</v>
      </c>
      <c r="BC11" s="3">
        <v>7</v>
      </c>
      <c r="BD11" s="3">
        <v>7</v>
      </c>
      <c r="BE11" s="12">
        <f t="shared" si="44"/>
        <v>1</v>
      </c>
      <c r="BF11" s="12">
        <f t="shared" si="45"/>
        <v>3.484444444444446</v>
      </c>
      <c r="BG11" s="3">
        <v>8</v>
      </c>
      <c r="BH11" s="5">
        <v>8</v>
      </c>
      <c r="BI11" s="12">
        <f t="shared" si="46"/>
        <v>1</v>
      </c>
      <c r="BJ11" s="12">
        <f t="shared" si="47"/>
        <v>0.75111111111111195</v>
      </c>
      <c r="BK11" s="3">
        <v>8</v>
      </c>
      <c r="BL11" s="5">
        <v>8</v>
      </c>
      <c r="BM11" s="12">
        <f t="shared" si="48"/>
        <v>1</v>
      </c>
      <c r="BN11" s="12">
        <f t="shared" si="49"/>
        <v>0.75111111111111195</v>
      </c>
      <c r="BO11" s="3">
        <v>9</v>
      </c>
      <c r="BP11" s="3">
        <v>9</v>
      </c>
      <c r="BQ11" s="12">
        <f t="shared" si="50"/>
        <v>1</v>
      </c>
      <c r="BR11" s="12">
        <f t="shared" si="51"/>
        <v>1.7777777777777653E-2</v>
      </c>
      <c r="BS11" s="3">
        <v>10</v>
      </c>
      <c r="BT11" s="5">
        <v>9</v>
      </c>
      <c r="BU11" s="12">
        <f t="shared" si="52"/>
        <v>0.9</v>
      </c>
      <c r="BV11" s="12">
        <f t="shared" si="53"/>
        <v>1.7777777777777653E-2</v>
      </c>
      <c r="BW11" s="3">
        <v>10</v>
      </c>
      <c r="BX11" s="5">
        <v>9</v>
      </c>
      <c r="BY11" s="12">
        <f t="shared" si="54"/>
        <v>0.9</v>
      </c>
      <c r="BZ11" s="12">
        <f t="shared" si="55"/>
        <v>1.7777777777777653E-2</v>
      </c>
      <c r="CA11" s="3">
        <v>7</v>
      </c>
      <c r="CB11" s="5">
        <v>7</v>
      </c>
      <c r="CC11" s="12">
        <f t="shared" si="56"/>
        <v>1</v>
      </c>
      <c r="CD11" s="12">
        <f t="shared" si="57"/>
        <v>3.484444444444446</v>
      </c>
      <c r="CE11" s="3">
        <v>10</v>
      </c>
      <c r="CF11" s="5">
        <v>9</v>
      </c>
      <c r="CG11" s="12">
        <f t="shared" si="58"/>
        <v>0.9</v>
      </c>
      <c r="CH11" s="12">
        <f t="shared" si="59"/>
        <v>1.7777777777777653E-2</v>
      </c>
      <c r="CI11" s="3">
        <v>9</v>
      </c>
      <c r="CJ11" s="5">
        <v>7</v>
      </c>
      <c r="CK11" s="12">
        <f t="shared" si="60"/>
        <v>0.77777777777777779</v>
      </c>
      <c r="CL11" s="12">
        <f t="shared" si="61"/>
        <v>3.484444444444446</v>
      </c>
      <c r="CM11" s="3">
        <v>9</v>
      </c>
      <c r="CN11" s="5">
        <v>8</v>
      </c>
      <c r="CO11" s="12">
        <f t="shared" si="62"/>
        <v>0.88888888888888884</v>
      </c>
      <c r="CP11" s="12">
        <f t="shared" si="63"/>
        <v>0.75111111111111195</v>
      </c>
      <c r="CQ11" s="3">
        <v>9</v>
      </c>
      <c r="CR11" s="5">
        <v>8</v>
      </c>
      <c r="CS11" s="12">
        <f t="shared" si="64"/>
        <v>0.88888888888888884</v>
      </c>
      <c r="CT11" s="12">
        <f t="shared" si="65"/>
        <v>0.75111111111111195</v>
      </c>
      <c r="CU11" s="3">
        <v>10</v>
      </c>
      <c r="CV11" s="5">
        <v>10</v>
      </c>
      <c r="CW11" s="12">
        <f t="shared" si="66"/>
        <v>1</v>
      </c>
      <c r="CX11" s="12">
        <f t="shared" si="67"/>
        <v>1.2844444444444434</v>
      </c>
      <c r="CY11" s="3">
        <v>9</v>
      </c>
      <c r="CZ11" s="5">
        <v>9</v>
      </c>
      <c r="DA11" s="12">
        <f t="shared" si="68"/>
        <v>1</v>
      </c>
      <c r="DB11" s="12">
        <f t="shared" si="69"/>
        <v>1.7777777777777653E-2</v>
      </c>
      <c r="DC11" s="3">
        <v>8</v>
      </c>
      <c r="DD11" s="5">
        <v>7</v>
      </c>
      <c r="DE11" s="12">
        <f t="shared" si="70"/>
        <v>0.875</v>
      </c>
      <c r="DF11" s="12">
        <f t="shared" si="71"/>
        <v>3.484444444444446</v>
      </c>
      <c r="DG11" s="3">
        <v>9</v>
      </c>
      <c r="DH11" s="5">
        <v>9</v>
      </c>
      <c r="DI11" s="12">
        <f t="shared" si="72"/>
        <v>1</v>
      </c>
      <c r="DJ11" s="12">
        <f t="shared" si="73"/>
        <v>1.7777777777777653E-2</v>
      </c>
      <c r="DK11" s="3">
        <v>10</v>
      </c>
      <c r="DL11" s="5">
        <v>10</v>
      </c>
      <c r="DM11" s="12">
        <f t="shared" si="74"/>
        <v>1</v>
      </c>
      <c r="DN11" s="12">
        <f t="shared" si="75"/>
        <v>1.2844444444444434</v>
      </c>
      <c r="DO11" s="3">
        <v>9</v>
      </c>
      <c r="DP11" s="3">
        <v>9</v>
      </c>
      <c r="DQ11" s="12">
        <f t="shared" si="76"/>
        <v>1</v>
      </c>
      <c r="DR11" s="12">
        <f t="shared" si="77"/>
        <v>1.7777777777777653E-2</v>
      </c>
      <c r="DS11" s="3">
        <v>8</v>
      </c>
      <c r="DT11" s="5">
        <v>8</v>
      </c>
      <c r="DU11" s="12">
        <f t="shared" si="78"/>
        <v>1</v>
      </c>
      <c r="DV11" s="12">
        <f t="shared" si="79"/>
        <v>0.75111111111111195</v>
      </c>
      <c r="DW11" s="3">
        <v>10</v>
      </c>
      <c r="DX11" s="5">
        <v>10</v>
      </c>
      <c r="DY11" s="12">
        <f t="shared" si="80"/>
        <v>1</v>
      </c>
      <c r="DZ11" s="12">
        <f t="shared" si="81"/>
        <v>1.2844444444444434</v>
      </c>
      <c r="EA11" s="3">
        <v>10</v>
      </c>
      <c r="EB11" s="3">
        <v>10</v>
      </c>
      <c r="EC11" s="12">
        <f t="shared" si="82"/>
        <v>1</v>
      </c>
      <c r="ED11" s="12">
        <f t="shared" si="83"/>
        <v>1.2844444444444434</v>
      </c>
      <c r="EE11" s="3">
        <v>10</v>
      </c>
      <c r="EF11" s="5">
        <v>10</v>
      </c>
      <c r="EG11" s="12">
        <f t="shared" si="84"/>
        <v>1</v>
      </c>
      <c r="EH11" s="12">
        <f t="shared" si="85"/>
        <v>1.2844444444444434</v>
      </c>
      <c r="EI11" s="3">
        <v>10</v>
      </c>
      <c r="EJ11" s="5">
        <v>10</v>
      </c>
      <c r="EK11" s="12">
        <f t="shared" si="86"/>
        <v>1</v>
      </c>
      <c r="EL11" s="12">
        <f t="shared" si="87"/>
        <v>1.2844444444444434</v>
      </c>
      <c r="EM11" s="3">
        <v>10</v>
      </c>
      <c r="EN11" s="5">
        <v>10</v>
      </c>
      <c r="EO11" s="12">
        <f t="shared" si="88"/>
        <v>1</v>
      </c>
      <c r="EP11" s="12">
        <f>POWER(EN11-$GC11,2)</f>
        <v>1.2844444444444434</v>
      </c>
      <c r="EQ11" s="3">
        <v>10</v>
      </c>
      <c r="ER11" s="5">
        <v>10</v>
      </c>
      <c r="ES11" s="12">
        <f t="shared" si="0"/>
        <v>1</v>
      </c>
      <c r="ET11" s="12">
        <f t="shared" si="1"/>
        <v>1.2844444444444434</v>
      </c>
      <c r="EU11" s="3">
        <v>10</v>
      </c>
      <c r="EV11" s="5">
        <v>10</v>
      </c>
      <c r="EW11" s="12">
        <f t="shared" si="2"/>
        <v>1</v>
      </c>
      <c r="EX11" s="12">
        <f t="shared" si="3"/>
        <v>1.2844444444444434</v>
      </c>
      <c r="EY11" s="3">
        <v>10</v>
      </c>
      <c r="EZ11" s="5">
        <v>10</v>
      </c>
      <c r="FA11" s="12">
        <f t="shared" si="4"/>
        <v>1</v>
      </c>
      <c r="FB11" s="12">
        <f t="shared" si="5"/>
        <v>1.2844444444444434</v>
      </c>
      <c r="FC11" s="3">
        <v>10</v>
      </c>
      <c r="FD11" s="5">
        <v>10</v>
      </c>
      <c r="FE11" s="12">
        <f t="shared" si="6"/>
        <v>1</v>
      </c>
      <c r="FF11" s="12">
        <f t="shared" si="7"/>
        <v>1.2844444444444434</v>
      </c>
      <c r="FG11" s="3">
        <v>10</v>
      </c>
      <c r="FH11" s="5">
        <v>9</v>
      </c>
      <c r="FI11" s="12">
        <f t="shared" si="8"/>
        <v>0.9</v>
      </c>
      <c r="FJ11" s="12">
        <f t="shared" si="9"/>
        <v>1.7777777777777653E-2</v>
      </c>
      <c r="FK11" s="3">
        <v>10</v>
      </c>
      <c r="FL11" s="5">
        <v>10</v>
      </c>
      <c r="FM11" s="12">
        <f t="shared" si="10"/>
        <v>1</v>
      </c>
      <c r="FN11" s="12">
        <f t="shared" si="11"/>
        <v>1.2844444444444434</v>
      </c>
      <c r="FO11" s="3">
        <v>10</v>
      </c>
      <c r="FP11" s="5">
        <v>10</v>
      </c>
      <c r="FQ11" s="12">
        <f t="shared" si="12"/>
        <v>1</v>
      </c>
      <c r="FR11" s="12">
        <f t="shared" si="13"/>
        <v>1.2844444444444434</v>
      </c>
      <c r="FS11" s="3">
        <v>10</v>
      </c>
      <c r="FT11" s="5">
        <v>10</v>
      </c>
      <c r="FU11" s="12">
        <f t="shared" si="14"/>
        <v>1</v>
      </c>
      <c r="FV11" s="12">
        <f t="shared" si="15"/>
        <v>1.2844444444444434</v>
      </c>
      <c r="FW11" s="3">
        <v>10</v>
      </c>
      <c r="FX11" s="5">
        <v>10</v>
      </c>
      <c r="FY11" s="12">
        <f t="shared" si="16"/>
        <v>1</v>
      </c>
      <c r="FZ11" s="12">
        <f t="shared" si="17"/>
        <v>1.2844444444444434</v>
      </c>
      <c r="GA11" s="4">
        <f t="shared" si="90"/>
        <v>45</v>
      </c>
      <c r="GB11" s="15">
        <f t="shared" si="91"/>
        <v>96.567901234567898</v>
      </c>
      <c r="GC11" s="15">
        <f t="shared" si="92"/>
        <v>8.8666666666666671</v>
      </c>
      <c r="GD11" s="15">
        <f t="shared" si="93"/>
        <v>1.1674177476511423</v>
      </c>
      <c r="GE11" s="19">
        <f t="shared" si="94"/>
        <v>96.567901234567898</v>
      </c>
      <c r="GF11" s="20" t="s">
        <v>3</v>
      </c>
      <c r="GG11" s="25">
        <f t="shared" si="95"/>
        <v>1.1674177476511423</v>
      </c>
      <c r="GH11" s="4" t="str">
        <f t="shared" si="96"/>
        <v>отлично</v>
      </c>
    </row>
    <row r="12" spans="1:190" ht="15" hidden="1" customHeight="1" x14ac:dyDescent="0.25">
      <c r="B12" s="27" t="s">
        <v>7</v>
      </c>
      <c r="C12" s="13">
        <f>SUM(C3:C11)</f>
        <v>90</v>
      </c>
      <c r="D12" s="13">
        <f>SUM(D3:D11)</f>
        <v>90</v>
      </c>
      <c r="E12" s="8">
        <f t="shared" si="18"/>
        <v>1</v>
      </c>
      <c r="F12" s="12">
        <f t="shared" ref="F12:F14" si="97">POWER(D12-FE12,2)</f>
        <v>20.25</v>
      </c>
      <c r="G12" s="13">
        <f>SUM(G3:G11)</f>
        <v>81</v>
      </c>
      <c r="H12" s="13">
        <f>SUM(H3:H11)</f>
        <v>81</v>
      </c>
      <c r="I12" s="12">
        <f t="shared" si="20"/>
        <v>1</v>
      </c>
      <c r="J12" s="12">
        <f t="shared" ref="J12:J14" si="98">POWER(H12-$FE12,2)</f>
        <v>20.25</v>
      </c>
      <c r="K12" s="13"/>
      <c r="L12" s="13"/>
      <c r="M12" s="12" t="e">
        <f t="shared" si="22"/>
        <v>#DIV/0!</v>
      </c>
      <c r="N12" s="12">
        <f t="shared" ref="N12:N14" si="99">POWER(L12-$FE12,2)</f>
        <v>7310.25</v>
      </c>
      <c r="O12" s="13"/>
      <c r="P12" s="13"/>
      <c r="Q12" s="12" t="e">
        <f t="shared" si="24"/>
        <v>#DIV/0!</v>
      </c>
      <c r="R12" s="12">
        <f t="shared" ref="R12:R14" si="100">POWER(P12-$FE12,2)</f>
        <v>7310.25</v>
      </c>
      <c r="S12" s="3">
        <v>10</v>
      </c>
      <c r="T12" s="13"/>
      <c r="U12" s="12">
        <f t="shared" si="26"/>
        <v>0</v>
      </c>
      <c r="V12" s="12">
        <f t="shared" ref="V12:V14" si="101">POWER(T12-$FE12,2)</f>
        <v>7310.25</v>
      </c>
      <c r="W12" s="3">
        <v>10</v>
      </c>
      <c r="Y12" s="12">
        <f t="shared" si="28"/>
        <v>0</v>
      </c>
      <c r="Z12" s="12">
        <f t="shared" ref="Z12:Z14" si="102">POWER(X12-$FE12,2)</f>
        <v>7310.25</v>
      </c>
      <c r="AC12" s="12" t="e">
        <f t="shared" si="30"/>
        <v>#DIV/0!</v>
      </c>
      <c r="AD12" s="12">
        <f t="shared" ref="AD12:AD14" si="103">POWER(AB12-$FE12,2)</f>
        <v>7310.25</v>
      </c>
      <c r="AE12" s="3">
        <v>10</v>
      </c>
      <c r="AG12" s="12">
        <f t="shared" si="32"/>
        <v>0</v>
      </c>
      <c r="AH12" s="12">
        <f t="shared" ref="AH12:AH14" si="104">POWER(AF12-$FE12,2)</f>
        <v>7310.25</v>
      </c>
      <c r="AK12" s="12" t="e">
        <f t="shared" si="34"/>
        <v>#DIV/0!</v>
      </c>
      <c r="AL12" s="12">
        <f t="shared" ref="AL12:AL14" si="105">POWER(AJ12-$FE12,2)</f>
        <v>7310.25</v>
      </c>
      <c r="AO12" s="12" t="e">
        <f t="shared" si="36"/>
        <v>#DIV/0!</v>
      </c>
      <c r="AP12" s="12">
        <f t="shared" ref="AP12:AP14" si="106">POWER(AN12-$FE12,2)</f>
        <v>7310.25</v>
      </c>
      <c r="AS12" s="12" t="e">
        <f t="shared" si="38"/>
        <v>#DIV/0!</v>
      </c>
      <c r="AT12" s="12">
        <f t="shared" ref="AT12:AT14" si="107">POWER(AR12-$FE12,2)</f>
        <v>7310.25</v>
      </c>
      <c r="BJ12" s="12" t="e">
        <f t="shared" si="47"/>
        <v>#DIV/0!</v>
      </c>
      <c r="DN12" s="12">
        <f t="shared" ref="DN12:DN14" si="108">POWER(DL12-$FE12,2)</f>
        <v>7310.25</v>
      </c>
      <c r="EQ12" s="3">
        <v>10</v>
      </c>
      <c r="FC12" s="4">
        <f t="shared" ref="FC12:FC14" si="109">COUNT(EY12,EU12,EQ12,EM12,EI12,EE12,EA12,DW12,DS12,DO12,DK12,DG12,DC12,CY12,CU12,CQ12,CM12,CI12,CE12,CA12,BW12,BS12,BO12,BK12,BG12,BC12,AY12,AU12,AQ12,AM12,AI12,AE12,AA12,W12,S12,O12,K12,G12,C12)</f>
        <v>6</v>
      </c>
      <c r="FD12" s="15" t="e">
        <f t="shared" ref="FD12:FD14" si="110">(E12+I12+M12+Q12+U12+Y12+AC12+AG12+AK12+AO12+AS12+AW12+BA12+BE12+BI12+BM12+BQ12+BU12+BY12+CC12+CG12+CK12+CO12+CS12+CW12+DA12+DE12+DI12+DM12+DQ12+DU12+DY12+EC12+EG12+EK12+EO12+ES12+EW12+FA12)*100/FC12</f>
        <v>#DIV/0!</v>
      </c>
      <c r="FE12" s="15">
        <f t="shared" ref="FE12:FE14" si="111">AVERAGE(D12,H12,L12,P12,T12,X12,AB12,AF12,AJ12,AN12,AR12,AV12,AZ12,BD12,BH12,BL12,BP12,BT12,BX12,CB12,CF12,CJ12,CN12,CR12,CV12,CZ12,DD12,DH12,DL12,DP12,DT12,DX12,EB12,EF12,EJ12,EN12,ER12,EV12,EZ12)</f>
        <v>85.5</v>
      </c>
      <c r="FF12" s="15" t="e">
        <f t="shared" ref="FF12:FF14" si="112">SQRT((F12+J12+N12+R12+V12+Z12+AD12+AH12+AL12+AP12+AT12+AX12+BB12+BF12+BJ12++BN12+BR12+BV12+BZ12+CD12+CH12+CL12+CP12+CT12+CX12+DB12+DF12+DJ12+DN12+DR12+DV12+DZ12+ED12+EH12+EL12+EP12+ET12+EX12+FB12)/FC12)</f>
        <v>#DIV/0!</v>
      </c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3">
        <v>10</v>
      </c>
      <c r="FX12" s="17" t="s">
        <v>3</v>
      </c>
      <c r="FY12" s="25" t="e">
        <f t="shared" ref="FY12:FY14" si="113">FF12</f>
        <v>#DIV/0!</v>
      </c>
      <c r="FZ12" s="4" t="e">
        <f t="shared" ref="FZ12:FZ14" si="114">IF(FD12&lt;40,"неудовлетворительно",IF((FD12&gt;=40)*AND(FD12&lt;60),"удовлетворительно",IF((FD12&gt;=60)*AND(FD12&lt;80),"хорошо","отлично")))</f>
        <v>#DIV/0!</v>
      </c>
      <c r="GA12" s="18"/>
      <c r="GB12" s="15" t="e">
        <f t="shared" ref="GB12:GB14" si="115">(E12+I12+M12+Q12+U12+Y12+AC12+AG12+AK12+AO12+AS12+AW12+BA12+BE12+BI12+BM12+BQ12+BU12+BY12+CC12+CG12+CK12+CO12+CS12+CW12+DA12+DE12+DI12+DM12+DQ12+DU12+DY12+EC12+EG12+EK12+EO12+ES12+EW12+FA12+FE12+FY12)*100/GA12</f>
        <v>#DIV/0!</v>
      </c>
      <c r="GC12" s="15" t="e">
        <f t="shared" si="92"/>
        <v>#DIV/0!</v>
      </c>
      <c r="GD12" s="18"/>
      <c r="GE12" s="18"/>
      <c r="GF12" s="18"/>
      <c r="GG12" s="18"/>
    </row>
    <row r="13" spans="1:190" ht="15" hidden="1" customHeight="1" x14ac:dyDescent="0.25">
      <c r="B13" s="27" t="s">
        <v>8</v>
      </c>
      <c r="C13" s="14">
        <f>AVERAGE(C3:C11)</f>
        <v>10</v>
      </c>
      <c r="D13" s="14">
        <f>AVERAGE(D3:D11)</f>
        <v>10</v>
      </c>
      <c r="E13" s="8">
        <f t="shared" si="18"/>
        <v>1</v>
      </c>
      <c r="F13" s="12">
        <f t="shared" si="97"/>
        <v>0</v>
      </c>
      <c r="G13" s="14"/>
      <c r="H13" s="14"/>
      <c r="I13" s="12" t="e">
        <f t="shared" si="20"/>
        <v>#DIV/0!</v>
      </c>
      <c r="J13" s="12">
        <f t="shared" si="98"/>
        <v>100</v>
      </c>
      <c r="K13" s="14"/>
      <c r="L13" s="14"/>
      <c r="M13" s="12" t="e">
        <f t="shared" si="22"/>
        <v>#DIV/0!</v>
      </c>
      <c r="N13" s="12">
        <f t="shared" si="99"/>
        <v>100</v>
      </c>
      <c r="O13" s="14"/>
      <c r="P13" s="14"/>
      <c r="Q13" s="12" t="e">
        <f t="shared" si="24"/>
        <v>#DIV/0!</v>
      </c>
      <c r="R13" s="12">
        <f t="shared" si="100"/>
        <v>100</v>
      </c>
      <c r="S13" s="3">
        <v>10</v>
      </c>
      <c r="T13" s="14"/>
      <c r="U13" s="12">
        <f t="shared" si="26"/>
        <v>0</v>
      </c>
      <c r="V13" s="12">
        <f t="shared" si="101"/>
        <v>100</v>
      </c>
      <c r="W13" s="3">
        <v>10</v>
      </c>
      <c r="Y13" s="12">
        <f t="shared" si="28"/>
        <v>0</v>
      </c>
      <c r="Z13" s="12">
        <f t="shared" si="102"/>
        <v>100</v>
      </c>
      <c r="AC13" s="12" t="e">
        <f t="shared" si="30"/>
        <v>#DIV/0!</v>
      </c>
      <c r="AD13" s="12">
        <f t="shared" si="103"/>
        <v>100</v>
      </c>
      <c r="AE13" s="3">
        <v>10</v>
      </c>
      <c r="AG13" s="12">
        <f t="shared" si="32"/>
        <v>0</v>
      </c>
      <c r="AH13" s="12">
        <f t="shared" si="104"/>
        <v>100</v>
      </c>
      <c r="AK13" s="12" t="e">
        <f t="shared" si="34"/>
        <v>#DIV/0!</v>
      </c>
      <c r="AL13" s="12">
        <f t="shared" si="105"/>
        <v>100</v>
      </c>
      <c r="AO13" s="12" t="e">
        <f t="shared" si="36"/>
        <v>#DIV/0!</v>
      </c>
      <c r="AP13" s="12">
        <f t="shared" si="106"/>
        <v>100</v>
      </c>
      <c r="AS13" s="12" t="e">
        <f t="shared" si="38"/>
        <v>#DIV/0!</v>
      </c>
      <c r="AT13" s="12">
        <f t="shared" si="107"/>
        <v>100</v>
      </c>
      <c r="BJ13" s="12" t="e">
        <f t="shared" si="47"/>
        <v>#DIV/0!</v>
      </c>
      <c r="DN13" s="12">
        <f t="shared" si="108"/>
        <v>100</v>
      </c>
      <c r="EQ13" s="3">
        <v>10</v>
      </c>
      <c r="FC13" s="4">
        <f t="shared" si="109"/>
        <v>5</v>
      </c>
      <c r="FD13" s="15" t="e">
        <f t="shared" si="110"/>
        <v>#DIV/0!</v>
      </c>
      <c r="FE13" s="15">
        <f t="shared" si="111"/>
        <v>10</v>
      </c>
      <c r="FF13" s="15" t="e">
        <f t="shared" si="112"/>
        <v>#DIV/0!</v>
      </c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3">
        <v>10</v>
      </c>
      <c r="FX13" s="17" t="s">
        <v>3</v>
      </c>
      <c r="FY13" s="25" t="e">
        <f t="shared" si="113"/>
        <v>#DIV/0!</v>
      </c>
      <c r="FZ13" s="4" t="e">
        <f t="shared" si="114"/>
        <v>#DIV/0!</v>
      </c>
      <c r="GA13" s="18"/>
      <c r="GB13" s="15" t="e">
        <f t="shared" si="115"/>
        <v>#DIV/0!</v>
      </c>
      <c r="GC13" s="15" t="e">
        <f t="shared" si="92"/>
        <v>#DIV/0!</v>
      </c>
      <c r="GD13" s="18"/>
      <c r="GE13" s="18"/>
      <c r="GF13" s="18"/>
      <c r="GG13" s="18"/>
    </row>
    <row r="14" spans="1:190" ht="15" hidden="1" customHeight="1" x14ac:dyDescent="0.25">
      <c r="B14" s="28" t="s">
        <v>9</v>
      </c>
      <c r="E14" s="8" t="e">
        <f t="shared" si="18"/>
        <v>#DIV/0!</v>
      </c>
      <c r="F14" s="12" t="e">
        <f t="shared" si="97"/>
        <v>#DIV/0!</v>
      </c>
      <c r="I14" s="12" t="e">
        <f t="shared" si="20"/>
        <v>#DIV/0!</v>
      </c>
      <c r="J14" s="12" t="e">
        <f t="shared" si="98"/>
        <v>#DIV/0!</v>
      </c>
      <c r="M14" s="12" t="e">
        <f t="shared" si="22"/>
        <v>#DIV/0!</v>
      </c>
      <c r="N14" s="12" t="e">
        <f t="shared" si="99"/>
        <v>#DIV/0!</v>
      </c>
      <c r="Q14" s="12" t="e">
        <f t="shared" si="24"/>
        <v>#DIV/0!</v>
      </c>
      <c r="R14" s="12" t="e">
        <f t="shared" si="100"/>
        <v>#DIV/0!</v>
      </c>
      <c r="S14" s="3">
        <v>10</v>
      </c>
      <c r="U14" s="12">
        <f t="shared" si="26"/>
        <v>0</v>
      </c>
      <c r="V14" s="12" t="e">
        <f t="shared" si="101"/>
        <v>#DIV/0!</v>
      </c>
      <c r="W14" s="47">
        <v>10</v>
      </c>
      <c r="Y14" s="29">
        <f t="shared" si="28"/>
        <v>0</v>
      </c>
      <c r="Z14" s="29" t="e">
        <f t="shared" si="102"/>
        <v>#DIV/0!</v>
      </c>
      <c r="AC14" s="29" t="e">
        <f t="shared" si="30"/>
        <v>#DIV/0!</v>
      </c>
      <c r="AD14" s="12" t="e">
        <f t="shared" si="103"/>
        <v>#DIV/0!</v>
      </c>
      <c r="AE14" s="3">
        <v>10</v>
      </c>
      <c r="AG14" s="12">
        <f t="shared" si="32"/>
        <v>0</v>
      </c>
      <c r="AH14" s="12" t="e">
        <f t="shared" si="104"/>
        <v>#DIV/0!</v>
      </c>
      <c r="AK14" s="12" t="e">
        <f t="shared" si="34"/>
        <v>#DIV/0!</v>
      </c>
      <c r="AL14" s="12" t="e">
        <f t="shared" si="105"/>
        <v>#DIV/0!</v>
      </c>
      <c r="AO14" s="12" t="e">
        <f t="shared" si="36"/>
        <v>#DIV/0!</v>
      </c>
      <c r="AP14" s="12" t="e">
        <f t="shared" si="106"/>
        <v>#DIV/0!</v>
      </c>
      <c r="AS14" s="12" t="e">
        <f t="shared" si="38"/>
        <v>#DIV/0!</v>
      </c>
      <c r="AT14" s="12" t="e">
        <f t="shared" si="107"/>
        <v>#DIV/0!</v>
      </c>
      <c r="BJ14" s="12" t="e">
        <f t="shared" si="47"/>
        <v>#DIV/0!</v>
      </c>
      <c r="DN14" s="29" t="e">
        <f t="shared" si="108"/>
        <v>#DIV/0!</v>
      </c>
      <c r="EQ14" s="3">
        <v>10</v>
      </c>
      <c r="FC14" s="4">
        <f t="shared" si="109"/>
        <v>4</v>
      </c>
      <c r="FD14" s="15" t="e">
        <f t="shared" si="110"/>
        <v>#DIV/0!</v>
      </c>
      <c r="FE14" s="15" t="e">
        <f t="shared" si="111"/>
        <v>#DIV/0!</v>
      </c>
      <c r="FF14" s="15" t="e">
        <f t="shared" si="112"/>
        <v>#DIV/0!</v>
      </c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3">
        <v>10</v>
      </c>
      <c r="FX14" s="17" t="s">
        <v>3</v>
      </c>
      <c r="FY14" s="25" t="e">
        <f t="shared" si="113"/>
        <v>#DIV/0!</v>
      </c>
      <c r="FZ14" s="4" t="e">
        <f t="shared" si="114"/>
        <v>#DIV/0!</v>
      </c>
      <c r="GA14" s="18"/>
      <c r="GB14" s="15" t="e">
        <f t="shared" si="115"/>
        <v>#DIV/0!</v>
      </c>
      <c r="GC14" s="15" t="e">
        <f t="shared" si="92"/>
        <v>#DIV/0!</v>
      </c>
      <c r="GD14" s="18"/>
      <c r="GE14" s="18"/>
      <c r="GF14" s="18"/>
      <c r="GG14" s="18"/>
    </row>
    <row r="15" spans="1:190" ht="43.5" customHeight="1" x14ac:dyDescent="0.25">
      <c r="W15" s="32"/>
      <c r="X15" s="32"/>
      <c r="Y15" s="32"/>
      <c r="Z15" s="32"/>
      <c r="AA15" s="32"/>
      <c r="AB15" s="32"/>
      <c r="AC15" s="32"/>
      <c r="FW15" s="2"/>
      <c r="FY15" s="2"/>
      <c r="FZ15" s="2"/>
      <c r="GA15" s="2"/>
      <c r="GB15" s="2"/>
      <c r="GC15" s="2"/>
      <c r="GD15" s="2"/>
      <c r="GE15" s="2"/>
      <c r="GF15" s="2"/>
      <c r="GG15" s="2"/>
    </row>
    <row r="16" spans="1:190" x14ac:dyDescent="0.25">
      <c r="W16" s="32"/>
      <c r="X16" s="32"/>
      <c r="Y16" s="32"/>
      <c r="Z16" s="32"/>
      <c r="AA16" s="32"/>
      <c r="AB16" s="32"/>
      <c r="AC16" s="32"/>
      <c r="GE16" s="38">
        <f>AVERAGE(GE3:GE11)</f>
        <v>96.092200666274749</v>
      </c>
      <c r="GF16" s="39" t="s">
        <v>3</v>
      </c>
      <c r="GG16" s="40">
        <f>AVERAGE(GG3:GG11)</f>
        <v>1.2338688045908732</v>
      </c>
      <c r="GH16" s="41" t="str">
        <f>IF(GE16&lt;40,"неудовлетворительно",IF((GE16&gt;=40)*AND(GE16&lt;60),"удовлетворительно",IF((GE16&gt;=60)*AND(GE16&lt;80),"хорошо","отлично")))</f>
        <v>отлично</v>
      </c>
    </row>
    <row r="17" spans="1:189" x14ac:dyDescent="0.25"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pans="1:189" ht="15.75" x14ac:dyDescent="0.25">
      <c r="V18" s="32"/>
      <c r="W18" s="32"/>
      <c r="X18" s="48"/>
      <c r="Y18" s="48"/>
      <c r="Z18" s="48"/>
      <c r="AA18" s="82"/>
      <c r="AB18" s="82"/>
      <c r="AC18" s="82"/>
      <c r="AD18" s="56"/>
      <c r="AE18" s="32"/>
    </row>
    <row r="19" spans="1:189" x14ac:dyDescent="0.25">
      <c r="V19" s="32"/>
      <c r="W19" s="32"/>
      <c r="X19" s="33"/>
      <c r="Y19" s="32"/>
      <c r="Z19" s="32"/>
      <c r="AA19" s="34"/>
      <c r="AB19" s="35"/>
      <c r="AC19" s="36"/>
      <c r="AD19" s="32"/>
      <c r="AE19" s="32"/>
    </row>
    <row r="20" spans="1:189" x14ac:dyDescent="0.25">
      <c r="V20" s="32"/>
      <c r="W20" s="32"/>
      <c r="X20" s="33"/>
      <c r="Y20" s="32"/>
      <c r="Z20" s="32"/>
      <c r="AA20" s="34"/>
      <c r="AB20" s="35"/>
      <c r="AC20" s="36"/>
      <c r="AD20" s="32"/>
      <c r="AE20" s="32"/>
    </row>
    <row r="21" spans="1:189" x14ac:dyDescent="0.25">
      <c r="V21" s="32"/>
      <c r="W21" s="32"/>
      <c r="X21" s="33"/>
      <c r="Y21" s="32"/>
      <c r="Z21" s="32"/>
      <c r="AA21" s="34"/>
      <c r="AB21" s="35"/>
      <c r="AC21" s="36"/>
      <c r="AD21" s="32"/>
      <c r="AE21" s="32"/>
      <c r="FC21" s="32"/>
      <c r="FD21" s="34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</row>
    <row r="22" spans="1:189" x14ac:dyDescent="0.25">
      <c r="V22" s="32"/>
      <c r="W22" s="32"/>
      <c r="X22" s="33"/>
      <c r="Y22" s="32"/>
      <c r="Z22" s="32"/>
      <c r="AA22" s="34"/>
      <c r="AB22" s="35"/>
      <c r="AC22" s="36"/>
      <c r="AD22" s="32"/>
      <c r="AE22" s="32"/>
      <c r="FC22" s="32"/>
      <c r="FD22" s="34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</row>
    <row r="23" spans="1:189" x14ac:dyDescent="0.25">
      <c r="V23" s="32"/>
      <c r="W23" s="32"/>
      <c r="X23" s="33"/>
      <c r="Y23" s="32"/>
      <c r="Z23" s="32"/>
      <c r="AA23" s="34"/>
      <c r="AB23" s="35"/>
      <c r="AC23" s="36"/>
      <c r="AD23" s="32"/>
      <c r="AE23" s="32"/>
      <c r="FC23" s="32"/>
      <c r="FD23" s="34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</row>
    <row r="24" spans="1:189" x14ac:dyDescent="0.25">
      <c r="V24" s="32"/>
      <c r="W24" s="32"/>
      <c r="X24" s="33"/>
      <c r="Y24" s="32"/>
      <c r="Z24" s="32"/>
      <c r="AA24" s="34"/>
      <c r="AB24" s="35"/>
      <c r="AC24" s="36"/>
      <c r="AD24" s="32"/>
      <c r="AE24" s="32"/>
      <c r="FC24" s="32"/>
      <c r="FD24" s="34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</row>
    <row r="25" spans="1:189" x14ac:dyDescent="0.25">
      <c r="V25" s="32"/>
      <c r="W25" s="32"/>
      <c r="X25" s="33"/>
      <c r="Y25" s="32"/>
      <c r="Z25" s="32"/>
      <c r="AA25" s="34"/>
      <c r="AB25" s="35"/>
      <c r="AC25" s="36"/>
      <c r="AD25" s="32"/>
      <c r="AE25" s="32"/>
      <c r="FC25" s="32"/>
      <c r="FD25" s="34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</row>
    <row r="26" spans="1:189" x14ac:dyDescent="0.25">
      <c r="V26" s="32"/>
      <c r="W26" s="32"/>
      <c r="X26" s="33"/>
      <c r="Y26" s="32"/>
      <c r="Z26" s="32"/>
      <c r="AA26" s="34"/>
      <c r="AB26" s="35"/>
      <c r="AC26" s="36"/>
      <c r="AD26" s="32"/>
      <c r="AE26" s="32"/>
      <c r="FC26" s="32"/>
      <c r="FD26" s="34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</row>
    <row r="27" spans="1:189" x14ac:dyDescent="0.25">
      <c r="V27" s="32"/>
      <c r="W27" s="32"/>
      <c r="X27" s="33"/>
      <c r="Y27" s="32"/>
      <c r="Z27" s="32"/>
      <c r="AA27" s="34"/>
      <c r="AB27" s="35"/>
      <c r="AC27" s="36"/>
      <c r="AD27" s="32"/>
      <c r="AE27" s="32"/>
      <c r="FC27" s="79"/>
      <c r="FD27" s="79"/>
      <c r="FE27" s="79"/>
      <c r="FF27" s="42"/>
      <c r="FG27" s="42"/>
      <c r="FH27" s="42"/>
      <c r="FI27" s="42"/>
      <c r="FJ27" s="42"/>
      <c r="FK27" s="42"/>
      <c r="FL27" s="42"/>
      <c r="FM27" s="42"/>
      <c r="FN27" s="42"/>
      <c r="FO27" s="42"/>
      <c r="FP27" s="42"/>
      <c r="FQ27" s="42"/>
      <c r="FR27" s="42"/>
      <c r="FS27" s="42"/>
      <c r="FT27" s="42"/>
      <c r="FU27" s="42"/>
      <c r="FV27" s="42"/>
      <c r="FW27" s="32"/>
      <c r="FX27" s="32"/>
      <c r="FY27" s="32"/>
      <c r="FZ27" s="32"/>
    </row>
    <row r="28" spans="1:189" ht="19.5" x14ac:dyDescent="0.35">
      <c r="A28" s="83"/>
      <c r="B28" s="84"/>
      <c r="V28" s="32"/>
      <c r="W28" s="32"/>
      <c r="X28" s="33"/>
      <c r="Y28" s="32"/>
      <c r="Z28" s="32"/>
      <c r="AA28" s="34"/>
      <c r="AB28" s="35"/>
      <c r="AC28" s="36"/>
      <c r="AD28" s="32"/>
      <c r="AE28" s="32"/>
      <c r="FC28" s="79"/>
      <c r="FD28" s="79"/>
      <c r="FE28" s="79"/>
      <c r="FF28" s="79"/>
      <c r="FG28" s="68"/>
      <c r="FH28" s="68"/>
      <c r="FI28" s="68"/>
      <c r="FJ28" s="68"/>
      <c r="FK28" s="68"/>
      <c r="FL28" s="68"/>
      <c r="FM28" s="68"/>
      <c r="FN28" s="68"/>
      <c r="FO28" s="68"/>
      <c r="FP28" s="68"/>
      <c r="FQ28" s="68"/>
      <c r="FR28" s="68"/>
      <c r="FS28" s="68"/>
      <c r="FT28" s="68"/>
      <c r="FU28" s="68"/>
      <c r="FV28" s="68"/>
      <c r="FW28" s="43"/>
      <c r="FX28" s="44"/>
      <c r="FY28" s="45"/>
      <c r="FZ28" s="46"/>
      <c r="GA28" s="51"/>
      <c r="GB28" s="51"/>
      <c r="GC28" s="51"/>
      <c r="GD28" s="51"/>
      <c r="GE28" s="51"/>
      <c r="GF28" s="51"/>
      <c r="GG28" s="51"/>
    </row>
    <row r="29" spans="1:189" x14ac:dyDescent="0.25">
      <c r="V29" s="32"/>
      <c r="W29" s="32"/>
      <c r="X29" s="34"/>
      <c r="Y29" s="32"/>
      <c r="Z29" s="32"/>
      <c r="AA29" s="32"/>
      <c r="AB29" s="32"/>
      <c r="AC29" s="32"/>
      <c r="AD29" s="32"/>
      <c r="AE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</row>
    <row r="30" spans="1:189" x14ac:dyDescent="0.25">
      <c r="V30" s="32"/>
      <c r="W30" s="32"/>
      <c r="X30" s="34"/>
      <c r="Y30" s="32"/>
      <c r="Z30" s="32"/>
      <c r="AA30" s="32"/>
      <c r="AB30" s="32"/>
      <c r="AC30" s="32"/>
      <c r="AD30" s="32"/>
      <c r="AE30" s="32"/>
    </row>
    <row r="31" spans="1:189" x14ac:dyDescent="0.25">
      <c r="V31" s="32"/>
      <c r="W31" s="79"/>
      <c r="X31" s="79"/>
      <c r="Y31" s="79"/>
      <c r="Z31" s="34"/>
      <c r="AA31" s="32"/>
      <c r="AB31" s="32"/>
      <c r="AC31" s="32"/>
      <c r="AD31" s="32"/>
      <c r="AE31" s="32"/>
    </row>
    <row r="32" spans="1:189" x14ac:dyDescent="0.25">
      <c r="V32" s="32"/>
      <c r="W32" s="79"/>
      <c r="X32" s="79"/>
      <c r="Y32" s="79"/>
      <c r="Z32" s="79"/>
      <c r="AA32" s="43"/>
      <c r="AB32" s="44"/>
      <c r="AC32" s="45"/>
      <c r="AD32" s="46"/>
      <c r="AE32" s="32"/>
    </row>
    <row r="33" spans="23:29" customFormat="1" x14ac:dyDescent="0.25">
      <c r="W33" s="32"/>
      <c r="X33" s="32"/>
      <c r="Y33" s="32"/>
      <c r="Z33" s="32"/>
      <c r="AA33" s="32"/>
      <c r="AB33" s="32"/>
      <c r="AC33" s="32"/>
    </row>
    <row r="34" spans="23:29" customFormat="1" x14ac:dyDescent="0.25">
      <c r="W34" s="32"/>
      <c r="X34" s="32"/>
      <c r="Y34" s="32"/>
      <c r="Z34" s="32"/>
      <c r="AA34" s="32"/>
      <c r="AB34" s="32"/>
      <c r="AC34" s="32"/>
    </row>
    <row r="35" spans="23:29" customFormat="1" x14ac:dyDescent="0.25">
      <c r="W35" s="32"/>
      <c r="X35" s="32"/>
      <c r="Y35" s="32"/>
      <c r="Z35" s="32"/>
      <c r="AA35" s="32"/>
      <c r="AB35" s="32"/>
      <c r="AC35" s="32"/>
    </row>
    <row r="36" spans="23:29" customFormat="1" x14ac:dyDescent="0.25">
      <c r="W36" s="32"/>
      <c r="X36" s="32"/>
      <c r="Y36" s="32"/>
      <c r="Z36" s="32"/>
      <c r="AA36" s="32"/>
      <c r="AB36" s="32"/>
      <c r="AC36" s="32"/>
    </row>
    <row r="37" spans="23:29" customFormat="1" x14ac:dyDescent="0.25">
      <c r="W37" s="37"/>
      <c r="X37" s="52"/>
      <c r="Y37" s="52"/>
      <c r="Z37" s="37"/>
      <c r="AA37" s="18"/>
      <c r="AB37" s="18"/>
      <c r="AC37" s="18"/>
    </row>
    <row r="38" spans="23:29" customFormat="1" x14ac:dyDescent="0.25">
      <c r="W38" s="37"/>
      <c r="X38" s="52"/>
      <c r="Y38" s="52"/>
      <c r="Z38" s="37"/>
      <c r="AA38" s="18"/>
      <c r="AB38" s="18"/>
      <c r="AC38" s="18"/>
    </row>
    <row r="39" spans="23:29" customFormat="1" x14ac:dyDescent="0.25">
      <c r="W39" s="37"/>
      <c r="X39" s="52"/>
      <c r="Y39" s="52"/>
      <c r="Z39" s="37"/>
      <c r="AA39" s="18"/>
      <c r="AB39" s="18"/>
      <c r="AC39" s="18"/>
    </row>
    <row r="40" spans="23:29" customFormat="1" x14ac:dyDescent="0.25">
      <c r="W40" s="37"/>
      <c r="X40" s="52"/>
      <c r="Y40" s="52"/>
      <c r="Z40" s="37"/>
      <c r="AA40" s="18"/>
      <c r="AB40" s="18"/>
      <c r="AC40" s="18"/>
    </row>
    <row r="41" spans="23:29" customFormat="1" x14ac:dyDescent="0.25">
      <c r="W41" s="37"/>
      <c r="X41" s="52"/>
      <c r="Y41" s="52"/>
      <c r="Z41" s="37"/>
      <c r="AA41" s="18"/>
      <c r="AB41" s="18"/>
      <c r="AC41" s="18"/>
    </row>
    <row r="42" spans="23:29" customFormat="1" x14ac:dyDescent="0.25">
      <c r="W42" s="37"/>
      <c r="X42" s="52"/>
      <c r="Y42" s="52"/>
      <c r="Z42" s="37"/>
      <c r="AA42" s="18"/>
      <c r="AB42" s="18"/>
      <c r="AC42" s="18"/>
    </row>
    <row r="43" spans="23:29" customFormat="1" x14ac:dyDescent="0.25">
      <c r="W43" s="37"/>
      <c r="X43" s="52"/>
      <c r="Y43" s="52"/>
      <c r="Z43" s="37"/>
      <c r="AA43" s="18"/>
      <c r="AB43" s="18"/>
      <c r="AC43" s="18"/>
    </row>
    <row r="44" spans="23:29" customFormat="1" x14ac:dyDescent="0.25">
      <c r="W44" s="37"/>
      <c r="X44" s="52"/>
      <c r="Y44" s="52"/>
      <c r="Z44" s="37"/>
      <c r="AA44" s="18"/>
      <c r="AB44" s="18"/>
      <c r="AC44" s="18"/>
    </row>
    <row r="45" spans="23:29" customFormat="1" x14ac:dyDescent="0.25">
      <c r="W45" s="37"/>
      <c r="X45" s="52"/>
      <c r="Y45" s="52"/>
      <c r="Z45" s="37"/>
      <c r="AA45" s="18"/>
      <c r="AB45" s="18"/>
      <c r="AC45" s="18"/>
    </row>
    <row r="46" spans="23:29" customFormat="1" x14ac:dyDescent="0.25">
      <c r="W46" s="37"/>
      <c r="X46" s="52"/>
      <c r="Y46" s="52"/>
      <c r="Z46" s="37"/>
      <c r="AA46" s="18"/>
      <c r="AB46" s="18"/>
      <c r="AC46" s="18"/>
    </row>
    <row r="47" spans="23:29" customFormat="1" x14ac:dyDescent="0.25">
      <c r="W47" s="37"/>
      <c r="X47" s="52"/>
      <c r="Y47" s="52"/>
      <c r="Z47" s="37"/>
      <c r="AA47" s="18"/>
      <c r="AB47" s="18"/>
      <c r="AC47" s="18"/>
    </row>
    <row r="48" spans="23:29" customFormat="1" x14ac:dyDescent="0.25">
      <c r="W48" s="37"/>
      <c r="X48" s="52"/>
      <c r="Y48" s="52"/>
      <c r="Z48" s="37"/>
      <c r="AA48" s="18"/>
      <c r="AB48" s="18"/>
      <c r="AC48" s="18"/>
    </row>
    <row r="49" spans="23:29" customFormat="1" x14ac:dyDescent="0.25">
      <c r="W49" s="37"/>
      <c r="X49" s="52"/>
      <c r="Y49" s="52"/>
      <c r="Z49" s="37"/>
      <c r="AA49" s="18"/>
      <c r="AB49" s="18"/>
      <c r="AC49" s="18"/>
    </row>
    <row r="50" spans="23:29" customFormat="1" x14ac:dyDescent="0.25">
      <c r="W50" s="37"/>
      <c r="X50" s="52"/>
      <c r="Y50" s="52"/>
      <c r="Z50" s="37"/>
      <c r="AA50" s="18"/>
      <c r="AB50" s="18"/>
      <c r="AC50" s="18"/>
    </row>
    <row r="51" spans="23:29" customFormat="1" x14ac:dyDescent="0.25">
      <c r="W51" s="37"/>
      <c r="X51" s="52"/>
      <c r="Y51" s="52"/>
      <c r="Z51" s="37"/>
      <c r="AA51" s="18"/>
      <c r="AB51" s="18"/>
      <c r="AC51" s="18"/>
    </row>
    <row r="52" spans="23:29" customFormat="1" x14ac:dyDescent="0.25">
      <c r="W52" s="37"/>
      <c r="X52" s="52"/>
      <c r="Y52" s="52"/>
      <c r="Z52" s="37"/>
      <c r="AA52" s="18"/>
      <c r="AB52" s="18"/>
      <c r="AC52" s="18"/>
    </row>
    <row r="53" spans="23:29" customFormat="1" x14ac:dyDescent="0.25">
      <c r="W53" s="37"/>
      <c r="X53" s="52"/>
      <c r="Y53" s="52"/>
      <c r="Z53" s="37"/>
      <c r="AA53" s="18"/>
      <c r="AB53" s="18"/>
      <c r="AC53" s="18"/>
    </row>
    <row r="54" spans="23:29" customFormat="1" x14ac:dyDescent="0.25">
      <c r="W54" s="37"/>
      <c r="X54" s="52"/>
      <c r="Y54" s="52"/>
      <c r="Z54" s="37"/>
      <c r="AA54" s="18"/>
      <c r="AB54" s="18"/>
      <c r="AC54" s="18"/>
    </row>
    <row r="55" spans="23:29" customFormat="1" x14ac:dyDescent="0.25">
      <c r="W55" s="37"/>
      <c r="X55" s="52"/>
      <c r="Y55" s="52"/>
      <c r="Z55" s="37"/>
      <c r="AA55" s="18"/>
      <c r="AB55" s="18"/>
      <c r="AC55" s="18"/>
    </row>
    <row r="56" spans="23:29" customFormat="1" x14ac:dyDescent="0.25">
      <c r="W56" s="37"/>
      <c r="X56" s="52"/>
      <c r="Y56" s="52"/>
      <c r="Z56" s="37"/>
      <c r="AA56" s="18"/>
      <c r="AB56" s="18"/>
      <c r="AC56" s="18"/>
    </row>
    <row r="57" spans="23:29" customFormat="1" x14ac:dyDescent="0.25">
      <c r="W57" s="37"/>
      <c r="X57" s="52"/>
      <c r="Y57" s="52"/>
      <c r="Z57" s="37"/>
      <c r="AA57" s="18"/>
      <c r="AB57" s="18"/>
      <c r="AC57" s="18"/>
    </row>
    <row r="58" spans="23:29" customFormat="1" x14ac:dyDescent="0.25">
      <c r="W58" s="37"/>
      <c r="X58" s="52"/>
      <c r="Y58" s="52"/>
      <c r="Z58" s="37"/>
      <c r="AA58" s="18"/>
      <c r="AB58" s="18"/>
      <c r="AC58" s="18"/>
    </row>
    <row r="59" spans="23:29" customFormat="1" x14ac:dyDescent="0.25">
      <c r="W59" s="37"/>
      <c r="X59" s="52"/>
      <c r="Y59" s="52"/>
      <c r="Z59" s="37"/>
      <c r="AA59" s="18"/>
      <c r="AB59" s="18"/>
      <c r="AC59" s="18"/>
    </row>
    <row r="60" spans="23:29" customFormat="1" x14ac:dyDescent="0.25">
      <c r="W60" s="37"/>
      <c r="X60" s="52"/>
      <c r="Y60" s="52"/>
      <c r="Z60" s="37"/>
      <c r="AA60" s="18"/>
      <c r="AB60" s="18"/>
      <c r="AC60" s="18"/>
    </row>
    <row r="61" spans="23:29" customFormat="1" x14ac:dyDescent="0.25">
      <c r="W61" s="37"/>
      <c r="X61" s="52"/>
      <c r="Y61" s="52"/>
      <c r="Z61" s="37"/>
      <c r="AA61" s="18"/>
      <c r="AB61" s="18"/>
      <c r="AC61" s="18"/>
    </row>
    <row r="62" spans="23:29" customFormat="1" x14ac:dyDescent="0.25">
      <c r="W62" s="37"/>
      <c r="X62" s="52"/>
      <c r="Y62" s="52"/>
      <c r="Z62" s="37"/>
      <c r="AA62" s="18"/>
      <c r="AB62" s="18"/>
      <c r="AC62" s="18"/>
    </row>
    <row r="63" spans="23:29" customFormat="1" x14ac:dyDescent="0.25">
      <c r="W63" s="37"/>
      <c r="X63" s="52"/>
      <c r="Y63" s="52"/>
      <c r="Z63" s="37"/>
      <c r="AA63" s="18"/>
      <c r="AB63" s="18"/>
      <c r="AC63" s="18"/>
    </row>
    <row r="64" spans="23:29" customFormat="1" x14ac:dyDescent="0.25">
      <c r="W64" s="37"/>
      <c r="X64" s="52"/>
      <c r="Y64" s="52"/>
      <c r="Z64" s="37"/>
      <c r="AA64" s="18"/>
      <c r="AB64" s="18"/>
      <c r="AC64" s="18"/>
    </row>
    <row r="65" spans="23:29" customFormat="1" x14ac:dyDescent="0.25">
      <c r="W65" s="37"/>
      <c r="X65" s="52"/>
      <c r="Y65" s="52"/>
      <c r="Z65" s="37"/>
      <c r="AA65" s="18"/>
      <c r="AB65" s="18"/>
      <c r="AC65" s="18"/>
    </row>
    <row r="66" spans="23:29" customFormat="1" x14ac:dyDescent="0.25">
      <c r="W66" s="37"/>
      <c r="X66" s="52"/>
      <c r="Y66" s="52"/>
      <c r="Z66" s="37"/>
      <c r="AA66" s="18"/>
      <c r="AB66" s="18"/>
      <c r="AC66" s="18"/>
    </row>
    <row r="67" spans="23:29" customFormat="1" x14ac:dyDescent="0.25">
      <c r="W67" s="37"/>
      <c r="X67" s="52"/>
      <c r="Y67" s="52"/>
      <c r="Z67" s="37"/>
      <c r="AA67" s="18"/>
      <c r="AB67" s="18"/>
      <c r="AC67" s="18"/>
    </row>
    <row r="68" spans="23:29" customFormat="1" x14ac:dyDescent="0.25">
      <c r="W68" s="37"/>
      <c r="X68" s="52"/>
      <c r="Y68" s="52"/>
      <c r="Z68" s="37"/>
      <c r="AA68" s="18"/>
      <c r="AB68" s="18"/>
      <c r="AC68" s="18"/>
    </row>
    <row r="69" spans="23:29" customFormat="1" x14ac:dyDescent="0.25">
      <c r="W69" s="37"/>
      <c r="X69" s="52"/>
      <c r="Y69" s="52"/>
      <c r="Z69" s="37"/>
      <c r="AA69" s="18"/>
      <c r="AB69" s="18"/>
      <c r="AC69" s="18"/>
    </row>
    <row r="70" spans="23:29" customFormat="1" x14ac:dyDescent="0.25">
      <c r="W70" s="37"/>
      <c r="X70" s="52"/>
      <c r="Y70" s="52"/>
      <c r="Z70" s="37"/>
      <c r="AA70" s="18"/>
      <c r="AB70" s="18"/>
      <c r="AC70" s="18"/>
    </row>
    <row r="71" spans="23:29" customFormat="1" x14ac:dyDescent="0.25">
      <c r="W71" s="37"/>
      <c r="X71" s="52"/>
      <c r="Y71" s="52"/>
      <c r="Z71" s="37"/>
      <c r="AA71" s="18"/>
      <c r="AB71" s="18"/>
      <c r="AC71" s="18"/>
    </row>
    <row r="72" spans="23:29" customFormat="1" x14ac:dyDescent="0.25">
      <c r="W72" s="37"/>
      <c r="X72" s="52"/>
      <c r="Y72" s="52"/>
      <c r="Z72" s="37"/>
      <c r="AA72" s="18"/>
      <c r="AB72" s="18"/>
      <c r="AC72" s="18"/>
    </row>
    <row r="73" spans="23:29" customFormat="1" x14ac:dyDescent="0.25">
      <c r="W73" s="37"/>
      <c r="X73" s="52"/>
      <c r="Y73" s="52"/>
      <c r="Z73" s="37"/>
      <c r="AA73" s="18"/>
      <c r="AB73" s="18"/>
      <c r="AC73" s="18"/>
    </row>
    <row r="74" spans="23:29" customFormat="1" x14ac:dyDescent="0.25">
      <c r="W74" s="37"/>
      <c r="X74" s="52"/>
      <c r="Y74" s="52"/>
      <c r="Z74" s="37"/>
      <c r="AA74" s="18"/>
      <c r="AB74" s="18"/>
      <c r="AC74" s="18"/>
    </row>
    <row r="75" spans="23:29" customFormat="1" x14ac:dyDescent="0.25">
      <c r="W75" s="37"/>
      <c r="X75" s="52"/>
      <c r="Y75" s="52"/>
      <c r="Z75" s="37"/>
      <c r="AA75" s="18"/>
      <c r="AB75" s="18"/>
      <c r="AC75" s="18"/>
    </row>
    <row r="76" spans="23:29" customFormat="1" x14ac:dyDescent="0.25">
      <c r="W76" s="37"/>
      <c r="X76" s="52"/>
      <c r="Y76" s="52"/>
      <c r="Z76" s="37"/>
      <c r="AA76" s="18"/>
      <c r="AB76" s="18"/>
      <c r="AC76" s="18"/>
    </row>
    <row r="77" spans="23:29" customFormat="1" x14ac:dyDescent="0.25">
      <c r="W77" s="37"/>
      <c r="X77" s="52"/>
      <c r="Y77" s="52"/>
      <c r="Z77" s="37"/>
      <c r="AA77" s="18"/>
      <c r="AB77" s="18"/>
      <c r="AC77" s="18"/>
    </row>
    <row r="78" spans="23:29" customFormat="1" x14ac:dyDescent="0.25">
      <c r="W78" s="37"/>
      <c r="X78" s="52"/>
      <c r="Y78" s="52"/>
      <c r="Z78" s="37"/>
      <c r="AA78" s="18"/>
      <c r="AB78" s="18"/>
      <c r="AC78" s="18"/>
    </row>
    <row r="79" spans="23:29" customFormat="1" x14ac:dyDescent="0.25">
      <c r="W79" s="37"/>
      <c r="X79" s="52"/>
      <c r="Y79" s="52"/>
      <c r="Z79" s="37"/>
      <c r="AA79" s="18"/>
      <c r="AB79" s="18"/>
      <c r="AC79" s="18"/>
    </row>
    <row r="80" spans="23:29" customFormat="1" x14ac:dyDescent="0.25">
      <c r="W80" s="37"/>
      <c r="X80" s="52"/>
      <c r="Y80" s="52"/>
      <c r="Z80" s="37"/>
      <c r="AA80" s="18"/>
      <c r="AB80" s="18"/>
      <c r="AC80" s="18"/>
    </row>
    <row r="81" spans="23:29" customFormat="1" x14ac:dyDescent="0.25">
      <c r="W81" s="37"/>
      <c r="X81" s="52"/>
      <c r="Y81" s="52"/>
      <c r="Z81" s="37"/>
      <c r="AA81" s="18"/>
      <c r="AB81" s="18"/>
      <c r="AC81" s="18"/>
    </row>
    <row r="82" spans="23:29" customFormat="1" x14ac:dyDescent="0.25">
      <c r="W82" s="37"/>
      <c r="X82" s="52"/>
      <c r="Y82" s="52"/>
      <c r="Z82" s="37"/>
      <c r="AA82" s="18"/>
      <c r="AB82" s="18"/>
      <c r="AC82" s="18"/>
    </row>
    <row r="83" spans="23:29" customFormat="1" x14ac:dyDescent="0.25">
      <c r="W83" s="37"/>
      <c r="X83" s="52"/>
      <c r="Y83" s="52"/>
      <c r="Z83" s="37"/>
      <c r="AA83" s="18"/>
      <c r="AB83" s="18"/>
      <c r="AC83" s="18"/>
    </row>
    <row r="84" spans="23:29" customFormat="1" x14ac:dyDescent="0.25">
      <c r="W84" s="37"/>
      <c r="X84" s="52"/>
      <c r="Y84" s="52"/>
      <c r="Z84" s="37"/>
      <c r="AA84" s="18"/>
      <c r="AB84" s="18"/>
      <c r="AC84" s="18"/>
    </row>
    <row r="85" spans="23:29" customFormat="1" x14ac:dyDescent="0.25">
      <c r="W85" s="37"/>
      <c r="X85" s="52"/>
      <c r="Y85" s="52"/>
      <c r="Z85" s="37"/>
      <c r="AA85" s="18"/>
      <c r="AB85" s="18"/>
      <c r="AC85" s="18"/>
    </row>
    <row r="86" spans="23:29" customFormat="1" x14ac:dyDescent="0.25">
      <c r="W86" s="37"/>
      <c r="X86" s="52"/>
      <c r="Y86" s="52"/>
      <c r="Z86" s="37"/>
      <c r="AA86" s="18"/>
      <c r="AB86" s="18"/>
      <c r="AC86" s="18"/>
    </row>
    <row r="87" spans="23:29" customFormat="1" x14ac:dyDescent="0.25">
      <c r="W87" s="37"/>
      <c r="X87" s="52"/>
      <c r="Y87" s="52"/>
      <c r="Z87" s="37"/>
      <c r="AA87" s="18"/>
      <c r="AB87" s="18"/>
      <c r="AC87" s="18"/>
    </row>
    <row r="88" spans="23:29" customFormat="1" x14ac:dyDescent="0.25">
      <c r="W88" s="37"/>
      <c r="X88" s="52"/>
      <c r="Y88" s="52"/>
      <c r="Z88" s="37"/>
      <c r="AA88" s="18"/>
      <c r="AB88" s="18"/>
      <c r="AC88" s="18"/>
    </row>
    <row r="89" spans="23:29" customFormat="1" x14ac:dyDescent="0.25">
      <c r="W89" s="37"/>
      <c r="X89" s="52"/>
      <c r="Y89" s="52"/>
      <c r="Z89" s="37"/>
      <c r="AA89" s="18"/>
      <c r="AB89" s="18"/>
      <c r="AC89" s="18"/>
    </row>
    <row r="90" spans="23:29" customFormat="1" x14ac:dyDescent="0.25">
      <c r="W90" s="37"/>
      <c r="X90" s="52"/>
      <c r="Y90" s="52"/>
      <c r="Z90" s="37"/>
      <c r="AA90" s="18"/>
      <c r="AB90" s="18"/>
      <c r="AC90" s="18"/>
    </row>
    <row r="91" spans="23:29" customFormat="1" x14ac:dyDescent="0.25">
      <c r="W91" s="37"/>
      <c r="X91" s="52"/>
      <c r="Y91" s="52"/>
      <c r="Z91" s="37"/>
      <c r="AA91" s="18"/>
      <c r="AB91" s="18"/>
      <c r="AC91" s="18"/>
    </row>
    <row r="92" spans="23:29" customFormat="1" x14ac:dyDescent="0.25">
      <c r="W92" s="37"/>
      <c r="X92" s="52"/>
      <c r="Y92" s="52"/>
      <c r="Z92" s="37"/>
      <c r="AA92" s="18"/>
      <c r="AB92" s="18"/>
      <c r="AC92" s="18"/>
    </row>
    <row r="93" spans="23:29" customFormat="1" x14ac:dyDescent="0.25">
      <c r="W93" s="37"/>
      <c r="X93" s="52"/>
      <c r="Y93" s="52"/>
      <c r="Z93" s="37"/>
      <c r="AA93" s="18"/>
      <c r="AB93" s="18"/>
      <c r="AC93" s="18"/>
    </row>
    <row r="94" spans="23:29" customFormat="1" x14ac:dyDescent="0.25">
      <c r="W94" s="37"/>
      <c r="X94" s="52"/>
      <c r="Y94" s="52"/>
      <c r="Z94" s="37"/>
      <c r="AA94" s="18"/>
      <c r="AB94" s="18"/>
      <c r="AC94" s="18"/>
    </row>
    <row r="95" spans="23:29" customFormat="1" x14ac:dyDescent="0.25">
      <c r="W95" s="37"/>
      <c r="X95" s="52"/>
      <c r="Y95" s="52"/>
      <c r="Z95" s="37"/>
      <c r="AA95" s="18"/>
      <c r="AB95" s="18"/>
      <c r="AC95" s="18"/>
    </row>
    <row r="96" spans="23:29" customFormat="1" x14ac:dyDescent="0.25">
      <c r="W96" s="37"/>
      <c r="X96" s="52"/>
      <c r="Y96" s="52"/>
      <c r="Z96" s="37"/>
      <c r="AA96" s="18"/>
      <c r="AB96" s="18"/>
      <c r="AC96" s="18"/>
    </row>
    <row r="97" spans="23:29" customFormat="1" x14ac:dyDescent="0.25">
      <c r="W97" s="37"/>
      <c r="X97" s="52"/>
      <c r="Y97" s="52"/>
      <c r="Z97" s="37"/>
      <c r="AA97" s="18"/>
      <c r="AB97" s="18"/>
      <c r="AC97" s="18"/>
    </row>
    <row r="98" spans="23:29" customFormat="1" x14ac:dyDescent="0.25">
      <c r="W98" s="37"/>
      <c r="X98" s="52"/>
      <c r="Y98" s="52"/>
      <c r="Z98" s="37"/>
      <c r="AA98" s="18"/>
      <c r="AB98" s="18"/>
      <c r="AC98" s="18"/>
    </row>
    <row r="99" spans="23:29" customFormat="1" x14ac:dyDescent="0.25">
      <c r="W99" s="37"/>
      <c r="X99" s="52"/>
      <c r="Y99" s="52"/>
      <c r="Z99" s="37"/>
      <c r="AA99" s="18"/>
      <c r="AB99" s="18"/>
      <c r="AC99" s="18"/>
    </row>
    <row r="100" spans="23:29" customFormat="1" x14ac:dyDescent="0.25">
      <c r="W100" s="37"/>
      <c r="X100" s="52"/>
      <c r="Y100" s="52"/>
      <c r="Z100" s="37"/>
      <c r="AA100" s="18"/>
      <c r="AB100" s="18"/>
      <c r="AC100" s="18"/>
    </row>
    <row r="101" spans="23:29" customFormat="1" x14ac:dyDescent="0.25">
      <c r="W101" s="37"/>
      <c r="X101" s="52"/>
      <c r="Y101" s="52"/>
      <c r="Z101" s="37"/>
      <c r="AA101" s="18"/>
      <c r="AB101" s="18"/>
      <c r="AC101" s="18"/>
    </row>
    <row r="102" spans="23:29" customFormat="1" x14ac:dyDescent="0.25">
      <c r="W102" s="37"/>
      <c r="X102" s="52"/>
      <c r="Y102" s="52"/>
      <c r="Z102" s="37"/>
      <c r="AA102" s="18"/>
      <c r="AB102" s="18"/>
      <c r="AC102" s="18"/>
    </row>
    <row r="103" spans="23:29" customFormat="1" x14ac:dyDescent="0.25">
      <c r="W103" s="37"/>
      <c r="X103" s="52"/>
      <c r="Y103" s="52"/>
      <c r="Z103" s="37"/>
      <c r="AA103" s="18"/>
      <c r="AB103" s="18"/>
      <c r="AC103" s="18"/>
    </row>
    <row r="104" spans="23:29" customFormat="1" x14ac:dyDescent="0.25">
      <c r="W104" s="37"/>
      <c r="X104" s="52"/>
      <c r="Y104" s="52"/>
      <c r="Z104" s="37"/>
      <c r="AA104" s="18"/>
      <c r="AB104" s="18"/>
      <c r="AC104" s="18"/>
    </row>
    <row r="105" spans="23:29" customFormat="1" x14ac:dyDescent="0.25">
      <c r="W105" s="37"/>
      <c r="X105" s="52"/>
      <c r="Y105" s="52"/>
      <c r="Z105" s="37"/>
      <c r="AA105" s="18"/>
      <c r="AB105" s="18"/>
      <c r="AC105" s="18"/>
    </row>
    <row r="106" spans="23:29" customFormat="1" x14ac:dyDescent="0.25">
      <c r="W106" s="37"/>
      <c r="X106" s="52"/>
      <c r="Y106" s="52"/>
      <c r="Z106" s="37"/>
      <c r="AA106" s="18"/>
      <c r="AB106" s="18"/>
      <c r="AC106" s="18"/>
    </row>
    <row r="107" spans="23:29" customFormat="1" x14ac:dyDescent="0.25">
      <c r="W107" s="37"/>
      <c r="X107" s="52"/>
      <c r="Y107" s="52"/>
      <c r="Z107" s="37"/>
      <c r="AA107" s="18"/>
      <c r="AB107" s="18"/>
      <c r="AC107" s="18"/>
    </row>
    <row r="108" spans="23:29" customFormat="1" x14ac:dyDescent="0.25">
      <c r="W108" s="37"/>
      <c r="X108" s="52"/>
      <c r="Y108" s="52"/>
      <c r="Z108" s="37"/>
      <c r="AA108" s="18"/>
      <c r="AB108" s="18"/>
      <c r="AC108" s="18"/>
    </row>
    <row r="109" spans="23:29" customFormat="1" x14ac:dyDescent="0.25">
      <c r="W109" s="37"/>
      <c r="X109" s="52"/>
      <c r="Y109" s="52"/>
      <c r="Z109" s="37"/>
      <c r="AA109" s="18"/>
      <c r="AB109" s="18"/>
      <c r="AC109" s="18"/>
    </row>
    <row r="110" spans="23:29" customFormat="1" x14ac:dyDescent="0.25">
      <c r="W110" s="37"/>
      <c r="X110" s="52"/>
      <c r="Y110" s="52"/>
      <c r="Z110" s="37"/>
      <c r="AA110" s="18"/>
      <c r="AB110" s="18"/>
      <c r="AC110" s="18"/>
    </row>
    <row r="111" spans="23:29" customFormat="1" x14ac:dyDescent="0.25">
      <c r="W111" s="37"/>
      <c r="X111" s="52"/>
      <c r="Y111" s="52"/>
      <c r="Z111" s="37"/>
      <c r="AA111" s="18"/>
      <c r="AB111" s="18"/>
      <c r="AC111" s="18"/>
    </row>
    <row r="112" spans="23:29" customFormat="1" x14ac:dyDescent="0.25">
      <c r="W112" s="37"/>
      <c r="X112" s="52"/>
      <c r="Y112" s="52"/>
      <c r="Z112" s="37"/>
      <c r="AA112" s="18"/>
      <c r="AB112" s="18"/>
      <c r="AC112" s="18"/>
    </row>
    <row r="113" spans="23:29" customFormat="1" x14ac:dyDescent="0.25">
      <c r="W113" s="37"/>
      <c r="X113" s="52"/>
      <c r="Y113" s="52"/>
      <c r="Z113" s="37"/>
      <c r="AA113" s="18"/>
      <c r="AB113" s="18"/>
      <c r="AC113" s="18"/>
    </row>
    <row r="114" spans="23:29" customFormat="1" x14ac:dyDescent="0.25">
      <c r="W114" s="37"/>
      <c r="X114" s="52"/>
      <c r="Y114" s="52"/>
      <c r="Z114" s="37"/>
      <c r="AA114" s="18"/>
      <c r="AB114" s="18"/>
      <c r="AC114" s="18"/>
    </row>
    <row r="115" spans="23:29" customFormat="1" x14ac:dyDescent="0.25">
      <c r="W115" s="37"/>
      <c r="X115" s="52"/>
      <c r="Y115" s="52"/>
      <c r="Z115" s="37"/>
      <c r="AA115" s="18"/>
      <c r="AB115" s="18"/>
      <c r="AC115" s="18"/>
    </row>
    <row r="116" spans="23:29" customFormat="1" x14ac:dyDescent="0.25">
      <c r="W116" s="37"/>
      <c r="X116" s="52"/>
      <c r="Y116" s="52"/>
      <c r="Z116" s="37"/>
      <c r="AA116" s="18"/>
      <c r="AB116" s="18"/>
      <c r="AC116" s="18"/>
    </row>
    <row r="117" spans="23:29" customFormat="1" x14ac:dyDescent="0.25">
      <c r="W117" s="37"/>
      <c r="X117" s="52"/>
      <c r="Y117" s="52"/>
      <c r="Z117" s="37"/>
      <c r="AA117" s="18"/>
      <c r="AB117" s="18"/>
      <c r="AC117" s="18"/>
    </row>
    <row r="118" spans="23:29" customFormat="1" x14ac:dyDescent="0.25">
      <c r="W118" s="37"/>
      <c r="X118" s="52"/>
      <c r="Y118" s="52"/>
      <c r="Z118" s="37"/>
      <c r="AA118" s="18"/>
      <c r="AB118" s="18"/>
      <c r="AC118" s="18"/>
    </row>
    <row r="119" spans="23:29" customFormat="1" x14ac:dyDescent="0.25">
      <c r="W119" s="37"/>
      <c r="X119" s="52"/>
      <c r="Y119" s="52"/>
      <c r="Z119" s="37"/>
      <c r="AA119" s="18"/>
      <c r="AB119" s="18"/>
      <c r="AC119" s="18"/>
    </row>
    <row r="120" spans="23:29" customFormat="1" x14ac:dyDescent="0.25">
      <c r="W120" s="37"/>
      <c r="X120" s="52"/>
      <c r="Y120" s="52"/>
      <c r="Z120" s="37"/>
      <c r="AA120" s="18"/>
      <c r="AB120" s="18"/>
      <c r="AC120" s="18"/>
    </row>
    <row r="121" spans="23:29" customFormat="1" x14ac:dyDescent="0.25">
      <c r="W121" s="37"/>
      <c r="X121" s="52"/>
      <c r="Y121" s="52"/>
      <c r="Z121" s="37"/>
      <c r="AA121" s="18"/>
      <c r="AB121" s="18"/>
      <c r="AC121" s="18"/>
    </row>
    <row r="122" spans="23:29" customFormat="1" x14ac:dyDescent="0.25">
      <c r="W122" s="37"/>
      <c r="X122" s="52"/>
      <c r="Y122" s="52"/>
      <c r="Z122" s="37"/>
      <c r="AA122" s="18"/>
      <c r="AB122" s="18"/>
      <c r="AC122" s="18"/>
    </row>
    <row r="123" spans="23:29" customFormat="1" x14ac:dyDescent="0.25">
      <c r="W123" s="37"/>
      <c r="X123" s="52"/>
      <c r="Y123" s="52"/>
      <c r="Z123" s="37"/>
      <c r="AA123" s="18"/>
      <c r="AB123" s="18"/>
      <c r="AC123" s="18"/>
    </row>
    <row r="124" spans="23:29" customFormat="1" x14ac:dyDescent="0.25">
      <c r="W124" s="37"/>
      <c r="X124" s="52"/>
      <c r="Y124" s="52"/>
      <c r="Z124" s="37"/>
      <c r="AA124" s="18"/>
      <c r="AB124" s="18"/>
      <c r="AC124" s="18"/>
    </row>
    <row r="125" spans="23:29" customFormat="1" x14ac:dyDescent="0.25">
      <c r="W125" s="37"/>
      <c r="X125" s="52"/>
      <c r="Y125" s="52"/>
      <c r="Z125" s="37"/>
      <c r="AA125" s="18"/>
      <c r="AB125" s="18"/>
      <c r="AC125" s="18"/>
    </row>
    <row r="126" spans="23:29" customFormat="1" x14ac:dyDescent="0.25">
      <c r="W126" s="37"/>
      <c r="X126" s="52"/>
      <c r="Y126" s="52"/>
      <c r="Z126" s="37"/>
      <c r="AA126" s="18"/>
      <c r="AB126" s="18"/>
      <c r="AC126" s="18"/>
    </row>
    <row r="127" spans="23:29" customFormat="1" x14ac:dyDescent="0.25">
      <c r="W127" s="37"/>
      <c r="X127" s="52"/>
      <c r="Y127" s="52"/>
      <c r="Z127" s="37"/>
      <c r="AA127" s="18"/>
      <c r="AB127" s="18"/>
      <c r="AC127" s="18"/>
    </row>
    <row r="128" spans="23:29" customFormat="1" x14ac:dyDescent="0.25">
      <c r="W128" s="37"/>
      <c r="X128" s="52"/>
      <c r="Y128" s="52"/>
      <c r="Z128" s="37"/>
      <c r="AA128" s="18"/>
      <c r="AB128" s="18"/>
      <c r="AC128" s="18"/>
    </row>
    <row r="129" spans="23:29" customFormat="1" x14ac:dyDescent="0.25">
      <c r="W129" s="37"/>
      <c r="X129" s="52"/>
      <c r="Y129" s="52"/>
      <c r="Z129" s="37"/>
      <c r="AA129" s="18"/>
      <c r="AB129" s="18"/>
      <c r="AC129" s="18"/>
    </row>
    <row r="130" spans="23:29" customFormat="1" x14ac:dyDescent="0.25">
      <c r="W130" s="37"/>
      <c r="X130" s="52"/>
      <c r="Y130" s="52"/>
      <c r="Z130" s="37"/>
      <c r="AA130" s="18"/>
      <c r="AB130" s="18"/>
      <c r="AC130" s="18"/>
    </row>
    <row r="131" spans="23:29" customFormat="1" x14ac:dyDescent="0.25">
      <c r="W131" s="37"/>
      <c r="X131" s="52"/>
      <c r="Y131" s="52"/>
      <c r="Z131" s="37"/>
      <c r="AA131" s="18"/>
      <c r="AB131" s="18"/>
      <c r="AC131" s="18"/>
    </row>
    <row r="132" spans="23:29" customFormat="1" x14ac:dyDescent="0.25">
      <c r="W132" s="37"/>
      <c r="X132" s="52"/>
      <c r="Y132" s="52"/>
      <c r="Z132" s="37"/>
      <c r="AA132" s="18"/>
      <c r="AB132" s="18"/>
      <c r="AC132" s="18"/>
    </row>
    <row r="133" spans="23:29" customFormat="1" x14ac:dyDescent="0.25">
      <c r="W133" s="37"/>
      <c r="X133" s="52"/>
      <c r="Y133" s="52"/>
      <c r="Z133" s="37"/>
      <c r="AA133" s="18"/>
      <c r="AB133" s="18"/>
      <c r="AC133" s="18"/>
    </row>
    <row r="134" spans="23:29" customFormat="1" x14ac:dyDescent="0.25">
      <c r="W134" s="37"/>
      <c r="X134" s="52"/>
      <c r="Y134" s="52"/>
      <c r="Z134" s="37"/>
      <c r="AA134" s="18"/>
      <c r="AB134" s="18"/>
      <c r="AC134" s="18"/>
    </row>
    <row r="135" spans="23:29" customFormat="1" x14ac:dyDescent="0.25">
      <c r="W135" s="37"/>
      <c r="X135" s="52"/>
      <c r="Y135" s="52"/>
      <c r="Z135" s="37"/>
      <c r="AA135" s="18"/>
      <c r="AB135" s="18"/>
      <c r="AC135" s="18"/>
    </row>
    <row r="136" spans="23:29" customFormat="1" x14ac:dyDescent="0.25">
      <c r="W136" s="37"/>
      <c r="X136" s="52"/>
      <c r="Y136" s="52"/>
      <c r="Z136" s="37"/>
      <c r="AA136" s="18"/>
      <c r="AB136" s="18"/>
      <c r="AC136" s="18"/>
    </row>
    <row r="137" spans="23:29" customFormat="1" x14ac:dyDescent="0.25">
      <c r="W137" s="37"/>
      <c r="X137" s="52"/>
      <c r="Y137" s="52"/>
      <c r="Z137" s="37"/>
      <c r="AA137" s="18"/>
      <c r="AB137" s="18"/>
      <c r="AC137" s="18"/>
    </row>
    <row r="138" spans="23:29" customFormat="1" x14ac:dyDescent="0.25">
      <c r="W138" s="37"/>
      <c r="X138" s="52"/>
      <c r="Y138" s="52"/>
      <c r="Z138" s="37"/>
      <c r="AA138" s="18"/>
      <c r="AB138" s="18"/>
      <c r="AC138" s="18"/>
    </row>
    <row r="139" spans="23:29" customFormat="1" x14ac:dyDescent="0.25">
      <c r="W139" s="37"/>
      <c r="X139" s="52"/>
      <c r="Y139" s="52"/>
      <c r="Z139" s="37"/>
      <c r="AA139" s="18"/>
      <c r="AB139" s="18"/>
      <c r="AC139" s="18"/>
    </row>
    <row r="140" spans="23:29" customFormat="1" x14ac:dyDescent="0.25">
      <c r="W140" s="37"/>
      <c r="X140" s="52"/>
      <c r="Y140" s="52"/>
      <c r="Z140" s="37"/>
      <c r="AA140" s="18"/>
      <c r="AB140" s="18"/>
      <c r="AC140" s="18"/>
    </row>
    <row r="141" spans="23:29" customFormat="1" x14ac:dyDescent="0.25">
      <c r="W141" s="37"/>
      <c r="X141" s="52"/>
      <c r="Y141" s="52"/>
      <c r="Z141" s="37"/>
      <c r="AA141" s="18"/>
      <c r="AB141" s="18"/>
      <c r="AC141" s="18"/>
    </row>
    <row r="142" spans="23:29" customFormat="1" x14ac:dyDescent="0.25">
      <c r="W142" s="37"/>
      <c r="X142" s="52"/>
      <c r="Y142" s="52"/>
      <c r="Z142" s="37"/>
      <c r="AA142" s="18"/>
      <c r="AB142" s="18"/>
      <c r="AC142" s="18"/>
    </row>
    <row r="143" spans="23:29" customFormat="1" x14ac:dyDescent="0.25">
      <c r="W143" s="37"/>
      <c r="X143" s="52"/>
      <c r="Y143" s="52"/>
      <c r="Z143" s="37"/>
      <c r="AA143" s="18"/>
      <c r="AB143" s="18"/>
      <c r="AC143" s="18"/>
    </row>
    <row r="144" spans="23:29" customFormat="1" x14ac:dyDescent="0.25">
      <c r="W144" s="37"/>
      <c r="X144" s="52"/>
      <c r="Y144" s="52"/>
      <c r="Z144" s="37"/>
      <c r="AA144" s="18"/>
      <c r="AB144" s="18"/>
      <c r="AC144" s="18"/>
    </row>
    <row r="145" spans="23:29" customFormat="1" x14ac:dyDescent="0.25">
      <c r="W145" s="37"/>
      <c r="X145" s="52"/>
      <c r="Y145" s="52"/>
      <c r="Z145" s="37"/>
      <c r="AA145" s="18"/>
      <c r="AB145" s="18"/>
      <c r="AC145" s="18"/>
    </row>
    <row r="146" spans="23:29" customFormat="1" x14ac:dyDescent="0.25">
      <c r="W146" s="37"/>
      <c r="X146" s="52"/>
      <c r="Y146" s="52"/>
      <c r="Z146" s="37"/>
      <c r="AA146" s="18"/>
      <c r="AB146" s="18"/>
      <c r="AC146" s="18"/>
    </row>
    <row r="147" spans="23:29" customFormat="1" x14ac:dyDescent="0.25">
      <c r="W147" s="37"/>
      <c r="X147" s="52"/>
      <c r="Y147" s="52"/>
      <c r="Z147" s="37"/>
      <c r="AA147" s="18"/>
      <c r="AB147" s="18"/>
      <c r="AC147" s="18"/>
    </row>
    <row r="148" spans="23:29" customFormat="1" x14ac:dyDescent="0.25">
      <c r="W148" s="37"/>
      <c r="X148" s="52"/>
      <c r="Y148" s="52"/>
      <c r="Z148" s="37"/>
      <c r="AA148" s="18"/>
      <c r="AB148" s="18"/>
      <c r="AC148" s="18"/>
    </row>
    <row r="149" spans="23:29" customFormat="1" x14ac:dyDescent="0.25">
      <c r="W149" s="37"/>
      <c r="X149" s="52"/>
      <c r="Y149" s="52"/>
      <c r="Z149" s="37"/>
      <c r="AA149" s="18"/>
      <c r="AB149" s="18"/>
      <c r="AC149" s="18"/>
    </row>
    <row r="150" spans="23:29" customFormat="1" x14ac:dyDescent="0.25">
      <c r="W150" s="37"/>
      <c r="X150" s="52"/>
      <c r="Y150" s="52"/>
      <c r="Z150" s="37"/>
      <c r="AA150" s="18"/>
      <c r="AB150" s="18"/>
      <c r="AC150" s="18"/>
    </row>
    <row r="151" spans="23:29" customFormat="1" x14ac:dyDescent="0.25">
      <c r="W151" s="37"/>
      <c r="X151" s="52"/>
      <c r="Y151" s="52"/>
      <c r="Z151" s="37"/>
      <c r="AA151" s="18"/>
      <c r="AB151" s="18"/>
      <c r="AC151" s="18"/>
    </row>
    <row r="152" spans="23:29" customFormat="1" x14ac:dyDescent="0.25">
      <c r="W152" s="37"/>
      <c r="X152" s="52"/>
      <c r="Y152" s="52"/>
      <c r="Z152" s="37"/>
      <c r="AA152" s="18"/>
      <c r="AB152" s="18"/>
      <c r="AC152" s="18"/>
    </row>
    <row r="153" spans="23:29" customFormat="1" x14ac:dyDescent="0.25">
      <c r="W153" s="37"/>
      <c r="X153" s="52"/>
      <c r="Y153" s="52"/>
      <c r="Z153" s="37"/>
      <c r="AA153" s="18"/>
      <c r="AB153" s="18"/>
      <c r="AC153" s="18"/>
    </row>
    <row r="154" spans="23:29" customFormat="1" x14ac:dyDescent="0.25">
      <c r="W154" s="37"/>
      <c r="X154" s="52"/>
      <c r="Y154" s="52"/>
      <c r="Z154" s="37"/>
      <c r="AA154" s="18"/>
      <c r="AB154" s="18"/>
      <c r="AC154" s="18"/>
    </row>
    <row r="155" spans="23:29" customFormat="1" x14ac:dyDescent="0.25">
      <c r="W155" s="37"/>
      <c r="X155" s="52"/>
      <c r="Y155" s="52"/>
      <c r="Z155" s="37"/>
      <c r="AA155" s="18"/>
      <c r="AB155" s="18"/>
      <c r="AC155" s="18"/>
    </row>
    <row r="156" spans="23:29" customFormat="1" x14ac:dyDescent="0.25">
      <c r="W156" s="37"/>
      <c r="X156" s="52"/>
      <c r="Y156" s="52"/>
      <c r="Z156" s="37"/>
      <c r="AA156" s="18"/>
      <c r="AB156" s="18"/>
      <c r="AC156" s="18"/>
    </row>
    <row r="157" spans="23:29" customFormat="1" x14ac:dyDescent="0.25">
      <c r="W157" s="37"/>
      <c r="X157" s="52"/>
      <c r="Y157" s="52"/>
      <c r="Z157" s="37"/>
      <c r="AA157" s="18"/>
      <c r="AB157" s="18"/>
      <c r="AC157" s="18"/>
    </row>
    <row r="158" spans="23:29" customFormat="1" x14ac:dyDescent="0.25">
      <c r="W158" s="37"/>
      <c r="X158" s="52"/>
      <c r="Y158" s="52"/>
      <c r="Z158" s="37"/>
      <c r="AA158" s="18"/>
      <c r="AB158" s="18"/>
      <c r="AC158" s="18"/>
    </row>
    <row r="159" spans="23:29" customFormat="1" x14ac:dyDescent="0.25">
      <c r="W159" s="37"/>
      <c r="X159" s="52"/>
      <c r="Y159" s="52"/>
      <c r="Z159" s="37"/>
      <c r="AA159" s="18"/>
      <c r="AB159" s="18"/>
      <c r="AC159" s="18"/>
    </row>
    <row r="160" spans="23:29" customFormat="1" x14ac:dyDescent="0.25">
      <c r="W160" s="37"/>
      <c r="X160" s="52"/>
      <c r="Y160" s="52"/>
      <c r="Z160" s="37"/>
      <c r="AA160" s="18"/>
      <c r="AB160" s="18"/>
      <c r="AC160" s="18"/>
    </row>
    <row r="161" spans="23:29" customFormat="1" x14ac:dyDescent="0.25">
      <c r="W161" s="37"/>
      <c r="X161" s="52"/>
      <c r="Y161" s="52"/>
      <c r="Z161" s="37"/>
      <c r="AA161" s="18"/>
      <c r="AB161" s="18"/>
      <c r="AC161" s="18"/>
    </row>
    <row r="162" spans="23:29" customFormat="1" x14ac:dyDescent="0.25">
      <c r="W162" s="37"/>
      <c r="X162" s="52"/>
      <c r="Y162" s="52"/>
      <c r="Z162" s="37"/>
      <c r="AA162" s="18"/>
      <c r="AB162" s="18"/>
      <c r="AC162" s="18"/>
    </row>
    <row r="163" spans="23:29" customFormat="1" x14ac:dyDescent="0.25">
      <c r="W163" s="37"/>
      <c r="X163" s="52"/>
      <c r="Y163" s="52"/>
      <c r="Z163" s="37"/>
      <c r="AA163" s="18"/>
      <c r="AB163" s="18"/>
      <c r="AC163" s="18"/>
    </row>
    <row r="164" spans="23:29" customFormat="1" x14ac:dyDescent="0.25">
      <c r="W164" s="37"/>
      <c r="X164" s="52"/>
      <c r="Y164" s="52"/>
      <c r="Z164" s="37"/>
      <c r="AA164" s="18"/>
      <c r="AB164" s="18"/>
      <c r="AC164" s="18"/>
    </row>
    <row r="165" spans="23:29" customFormat="1" x14ac:dyDescent="0.25">
      <c r="W165" s="37"/>
      <c r="X165" s="52"/>
      <c r="Y165" s="52"/>
      <c r="Z165" s="37"/>
      <c r="AA165" s="18"/>
      <c r="AB165" s="18"/>
      <c r="AC165" s="18"/>
    </row>
    <row r="166" spans="23:29" customFormat="1" x14ac:dyDescent="0.25">
      <c r="W166" s="37"/>
      <c r="X166" s="52"/>
      <c r="Y166" s="52"/>
      <c r="Z166" s="37"/>
      <c r="AA166" s="18"/>
      <c r="AB166" s="18"/>
      <c r="AC166" s="18"/>
    </row>
    <row r="167" spans="23:29" customFormat="1" x14ac:dyDescent="0.25">
      <c r="W167" s="37"/>
      <c r="X167" s="52"/>
      <c r="Y167" s="52"/>
      <c r="Z167" s="37"/>
      <c r="AA167" s="18"/>
      <c r="AB167" s="18"/>
      <c r="AC167" s="18"/>
    </row>
    <row r="168" spans="23:29" customFormat="1" x14ac:dyDescent="0.25">
      <c r="W168" s="37"/>
      <c r="X168" s="52"/>
      <c r="Y168" s="52"/>
      <c r="Z168" s="37"/>
      <c r="AA168" s="18"/>
      <c r="AB168" s="18"/>
      <c r="AC168" s="18"/>
    </row>
    <row r="169" spans="23:29" customFormat="1" x14ac:dyDescent="0.25">
      <c r="W169" s="37"/>
      <c r="X169" s="52"/>
      <c r="Y169" s="52"/>
      <c r="Z169" s="37"/>
      <c r="AA169" s="18"/>
      <c r="AB169" s="18"/>
      <c r="AC169" s="18"/>
    </row>
    <row r="170" spans="23:29" customFormat="1" x14ac:dyDescent="0.25">
      <c r="W170" s="37"/>
      <c r="X170" s="52"/>
      <c r="Y170" s="52"/>
      <c r="Z170" s="37"/>
      <c r="AA170" s="18"/>
      <c r="AB170" s="18"/>
      <c r="AC170" s="18"/>
    </row>
    <row r="171" spans="23:29" customFormat="1" x14ac:dyDescent="0.25">
      <c r="W171" s="37"/>
      <c r="X171" s="52"/>
      <c r="Y171" s="52"/>
      <c r="Z171" s="37"/>
      <c r="AA171" s="18"/>
      <c r="AB171" s="18"/>
      <c r="AC171" s="18"/>
    </row>
    <row r="172" spans="23:29" customFormat="1" x14ac:dyDescent="0.25">
      <c r="W172" s="37"/>
      <c r="X172" s="52"/>
      <c r="Y172" s="52"/>
      <c r="Z172" s="37"/>
      <c r="AA172" s="18"/>
      <c r="AB172" s="18"/>
      <c r="AC172" s="18"/>
    </row>
    <row r="173" spans="23:29" customFormat="1" x14ac:dyDescent="0.25">
      <c r="W173" s="37"/>
      <c r="X173" s="52"/>
      <c r="Y173" s="52"/>
      <c r="Z173" s="37"/>
      <c r="AA173" s="18"/>
      <c r="AB173" s="18"/>
      <c r="AC173" s="18"/>
    </row>
    <row r="174" spans="23:29" customFormat="1" x14ac:dyDescent="0.25">
      <c r="W174" s="37"/>
      <c r="X174" s="52"/>
      <c r="Y174" s="52"/>
      <c r="Z174" s="37"/>
      <c r="AA174" s="18"/>
      <c r="AB174" s="18"/>
      <c r="AC174" s="18"/>
    </row>
    <row r="175" spans="23:29" customFormat="1" x14ac:dyDescent="0.25">
      <c r="W175" s="37"/>
      <c r="X175" s="52"/>
      <c r="Y175" s="52"/>
      <c r="Z175" s="37"/>
      <c r="AA175" s="18"/>
      <c r="AB175" s="18"/>
      <c r="AC175" s="18"/>
    </row>
    <row r="176" spans="23:29" customFormat="1" x14ac:dyDescent="0.25">
      <c r="W176" s="37"/>
      <c r="X176" s="52"/>
      <c r="Y176" s="52"/>
      <c r="Z176" s="37"/>
      <c r="AA176" s="18"/>
      <c r="AB176" s="18"/>
      <c r="AC176" s="18"/>
    </row>
    <row r="177" spans="23:29" customFormat="1" x14ac:dyDescent="0.25">
      <c r="W177" s="37"/>
      <c r="X177" s="52"/>
      <c r="Y177" s="52"/>
      <c r="Z177" s="37"/>
      <c r="AA177" s="18"/>
      <c r="AB177" s="18"/>
      <c r="AC177" s="18"/>
    </row>
    <row r="178" spans="23:29" customFormat="1" x14ac:dyDescent="0.25">
      <c r="W178" s="37"/>
      <c r="X178" s="52"/>
      <c r="Y178" s="52"/>
      <c r="Z178" s="37"/>
      <c r="AA178" s="18"/>
      <c r="AB178" s="18"/>
      <c r="AC178" s="18"/>
    </row>
    <row r="179" spans="23:29" customFormat="1" x14ac:dyDescent="0.25">
      <c r="W179" s="37"/>
      <c r="X179" s="52"/>
      <c r="Y179" s="52"/>
      <c r="Z179" s="37"/>
      <c r="AA179" s="18"/>
      <c r="AB179" s="18"/>
      <c r="AC179" s="18"/>
    </row>
    <row r="180" spans="23:29" customFormat="1" x14ac:dyDescent="0.25">
      <c r="W180" s="37"/>
      <c r="X180" s="52"/>
      <c r="Y180" s="52"/>
      <c r="Z180" s="37"/>
      <c r="AA180" s="18"/>
      <c r="AB180" s="18"/>
      <c r="AC180" s="18"/>
    </row>
    <row r="181" spans="23:29" customFormat="1" x14ac:dyDescent="0.25">
      <c r="W181" s="37"/>
      <c r="X181" s="52"/>
      <c r="Y181" s="52"/>
      <c r="Z181" s="37"/>
      <c r="AA181" s="18"/>
      <c r="AB181" s="18"/>
      <c r="AC181" s="18"/>
    </row>
    <row r="182" spans="23:29" customFormat="1" x14ac:dyDescent="0.25">
      <c r="W182" s="37"/>
      <c r="X182" s="52"/>
      <c r="Y182" s="52"/>
      <c r="Z182" s="37"/>
      <c r="AA182" s="18"/>
      <c r="AB182" s="18"/>
      <c r="AC182" s="18"/>
    </row>
    <row r="183" spans="23:29" customFormat="1" x14ac:dyDescent="0.25">
      <c r="W183" s="37"/>
      <c r="X183" s="52"/>
      <c r="Y183" s="52"/>
      <c r="Z183" s="37"/>
      <c r="AA183" s="18"/>
      <c r="AB183" s="18"/>
      <c r="AC183" s="18"/>
    </row>
    <row r="184" spans="23:29" customFormat="1" x14ac:dyDescent="0.25">
      <c r="W184" s="37"/>
      <c r="X184" s="52"/>
      <c r="Y184" s="52"/>
      <c r="Z184" s="37"/>
      <c r="AA184" s="18"/>
      <c r="AB184" s="18"/>
      <c r="AC184" s="18"/>
    </row>
    <row r="185" spans="23:29" customFormat="1" x14ac:dyDescent="0.25">
      <c r="W185" s="37"/>
      <c r="X185" s="52"/>
      <c r="Y185" s="52"/>
      <c r="Z185" s="37"/>
      <c r="AA185" s="18"/>
      <c r="AB185" s="18"/>
      <c r="AC185" s="18"/>
    </row>
    <row r="186" spans="23:29" customFormat="1" x14ac:dyDescent="0.25">
      <c r="W186" s="37"/>
      <c r="X186" s="52"/>
      <c r="Y186" s="52"/>
      <c r="Z186" s="37"/>
      <c r="AA186" s="18"/>
      <c r="AB186" s="18"/>
      <c r="AC186" s="18"/>
    </row>
    <row r="187" spans="23:29" customFormat="1" x14ac:dyDescent="0.25">
      <c r="W187" s="37"/>
      <c r="X187" s="52"/>
      <c r="Y187" s="52"/>
      <c r="Z187" s="37"/>
      <c r="AA187" s="18"/>
      <c r="AB187" s="18"/>
      <c r="AC187" s="18"/>
    </row>
    <row r="188" spans="23:29" customFormat="1" x14ac:dyDescent="0.25">
      <c r="W188" s="37"/>
      <c r="X188" s="52"/>
      <c r="Y188" s="52"/>
      <c r="Z188" s="37"/>
      <c r="AA188" s="18"/>
      <c r="AB188" s="18"/>
      <c r="AC188" s="18"/>
    </row>
    <row r="189" spans="23:29" customFormat="1" x14ac:dyDescent="0.25">
      <c r="W189" s="37"/>
      <c r="X189" s="52"/>
      <c r="Y189" s="52"/>
      <c r="Z189" s="37"/>
      <c r="AA189" s="18"/>
      <c r="AB189" s="18"/>
      <c r="AC189" s="18"/>
    </row>
    <row r="190" spans="23:29" customFormat="1" x14ac:dyDescent="0.25">
      <c r="W190" s="37"/>
      <c r="X190" s="52"/>
      <c r="Y190" s="52"/>
      <c r="Z190" s="37"/>
      <c r="AA190" s="18"/>
      <c r="AB190" s="18"/>
      <c r="AC190" s="18"/>
    </row>
    <row r="191" spans="23:29" customFormat="1" x14ac:dyDescent="0.25">
      <c r="W191" s="37"/>
      <c r="X191" s="52"/>
      <c r="Y191" s="52"/>
      <c r="Z191" s="37"/>
      <c r="AA191" s="18"/>
      <c r="AB191" s="18"/>
      <c r="AC191" s="18"/>
    </row>
    <row r="192" spans="23:29" customFormat="1" x14ac:dyDescent="0.25">
      <c r="W192" s="37"/>
      <c r="X192" s="52"/>
      <c r="Y192" s="52"/>
      <c r="Z192" s="37"/>
      <c r="AA192" s="18"/>
      <c r="AB192" s="18"/>
      <c r="AC192" s="18"/>
    </row>
    <row r="193" spans="23:29" customFormat="1" x14ac:dyDescent="0.25">
      <c r="W193" s="37"/>
      <c r="X193" s="52"/>
      <c r="Y193" s="52"/>
      <c r="Z193" s="37"/>
      <c r="AA193" s="18"/>
      <c r="AB193" s="18"/>
      <c r="AC193" s="18"/>
    </row>
    <row r="194" spans="23:29" customFormat="1" x14ac:dyDescent="0.25">
      <c r="W194" s="37"/>
      <c r="X194" s="52"/>
      <c r="Y194" s="52"/>
      <c r="Z194" s="37"/>
      <c r="AA194" s="18"/>
      <c r="AB194" s="18"/>
      <c r="AC194" s="18"/>
    </row>
    <row r="195" spans="23:29" customFormat="1" x14ac:dyDescent="0.25">
      <c r="W195" s="37"/>
      <c r="X195" s="52"/>
      <c r="Y195" s="52"/>
      <c r="Z195" s="37"/>
      <c r="AA195" s="18"/>
      <c r="AB195" s="18"/>
      <c r="AC195" s="18"/>
    </row>
    <row r="196" spans="23:29" customFormat="1" x14ac:dyDescent="0.25">
      <c r="W196" s="37"/>
      <c r="X196" s="52"/>
      <c r="Y196" s="52"/>
      <c r="Z196" s="37"/>
      <c r="AA196" s="18"/>
      <c r="AB196" s="18"/>
      <c r="AC196" s="18"/>
    </row>
    <row r="197" spans="23:29" customFormat="1" x14ac:dyDescent="0.25">
      <c r="W197" s="37"/>
      <c r="X197" s="52"/>
      <c r="Y197" s="52"/>
      <c r="Z197" s="37"/>
      <c r="AA197" s="18"/>
      <c r="AB197" s="18"/>
      <c r="AC197" s="18"/>
    </row>
    <row r="198" spans="23:29" customFormat="1" x14ac:dyDescent="0.25">
      <c r="W198" s="37"/>
      <c r="X198" s="52"/>
      <c r="Y198" s="52"/>
      <c r="Z198" s="37"/>
      <c r="AA198" s="18"/>
      <c r="AB198" s="18"/>
      <c r="AC198" s="18"/>
    </row>
    <row r="199" spans="23:29" customFormat="1" x14ac:dyDescent="0.25">
      <c r="W199" s="37"/>
      <c r="X199" s="52"/>
      <c r="Y199" s="52"/>
      <c r="Z199" s="37"/>
      <c r="AA199" s="18"/>
      <c r="AB199" s="18"/>
      <c r="AC199" s="18"/>
    </row>
    <row r="200" spans="23:29" customFormat="1" x14ac:dyDescent="0.25">
      <c r="W200" s="37"/>
      <c r="X200" s="52"/>
      <c r="Y200" s="52"/>
      <c r="Z200" s="37"/>
      <c r="AA200" s="18"/>
      <c r="AB200" s="18"/>
      <c r="AC200" s="18"/>
    </row>
    <row r="201" spans="23:29" customFormat="1" x14ac:dyDescent="0.25">
      <c r="W201" s="37"/>
      <c r="X201" s="52"/>
      <c r="Y201" s="52"/>
      <c r="Z201" s="37"/>
      <c r="AA201" s="18"/>
      <c r="AB201" s="18"/>
      <c r="AC201" s="18"/>
    </row>
    <row r="202" spans="23:29" customFormat="1" x14ac:dyDescent="0.25">
      <c r="W202" s="37"/>
      <c r="X202" s="52"/>
      <c r="Y202" s="52"/>
      <c r="Z202" s="37"/>
      <c r="AA202" s="18"/>
      <c r="AB202" s="18"/>
      <c r="AC202" s="18"/>
    </row>
    <row r="203" spans="23:29" customFormat="1" x14ac:dyDescent="0.25">
      <c r="W203" s="37"/>
      <c r="X203" s="52"/>
      <c r="Y203" s="52"/>
      <c r="Z203" s="37"/>
      <c r="AA203" s="18"/>
      <c r="AB203" s="18"/>
      <c r="AC203" s="18"/>
    </row>
    <row r="204" spans="23:29" customFormat="1" x14ac:dyDescent="0.25">
      <c r="W204" s="37"/>
      <c r="X204" s="52"/>
      <c r="Y204" s="52"/>
      <c r="Z204" s="37"/>
      <c r="AA204" s="18"/>
      <c r="AB204" s="18"/>
      <c r="AC204" s="18"/>
    </row>
    <row r="205" spans="23:29" customFormat="1" x14ac:dyDescent="0.25">
      <c r="W205" s="37"/>
      <c r="X205" s="52"/>
      <c r="Y205" s="52"/>
      <c r="Z205" s="37"/>
      <c r="AA205" s="18"/>
      <c r="AB205" s="18"/>
      <c r="AC205" s="18"/>
    </row>
    <row r="206" spans="23:29" customFormat="1" x14ac:dyDescent="0.25">
      <c r="W206" s="37"/>
      <c r="X206" s="52"/>
      <c r="Y206" s="52"/>
      <c r="Z206" s="37"/>
      <c r="AA206" s="18"/>
      <c r="AB206" s="18"/>
      <c r="AC206" s="18"/>
    </row>
    <row r="207" spans="23:29" customFormat="1" x14ac:dyDescent="0.25">
      <c r="W207" s="37"/>
      <c r="X207" s="52"/>
      <c r="Y207" s="52"/>
      <c r="Z207" s="37"/>
      <c r="AA207" s="18"/>
      <c r="AB207" s="18"/>
      <c r="AC207" s="18"/>
    </row>
    <row r="208" spans="23:29" customFormat="1" x14ac:dyDescent="0.25">
      <c r="W208" s="37"/>
      <c r="X208" s="52"/>
      <c r="Y208" s="52"/>
      <c r="Z208" s="37"/>
      <c r="AA208" s="18"/>
      <c r="AB208" s="18"/>
      <c r="AC208" s="18"/>
    </row>
    <row r="209" spans="23:29" customFormat="1" x14ac:dyDescent="0.25">
      <c r="W209" s="37"/>
      <c r="X209" s="52"/>
      <c r="Y209" s="52"/>
      <c r="Z209" s="37"/>
      <c r="AA209" s="18"/>
      <c r="AB209" s="18"/>
      <c r="AC209" s="18"/>
    </row>
    <row r="210" spans="23:29" customFormat="1" x14ac:dyDescent="0.25">
      <c r="W210" s="37"/>
      <c r="X210" s="52"/>
      <c r="Y210" s="52"/>
      <c r="Z210" s="37"/>
      <c r="AA210" s="18"/>
      <c r="AB210" s="18"/>
      <c r="AC210" s="18"/>
    </row>
    <row r="211" spans="23:29" customFormat="1" x14ac:dyDescent="0.25">
      <c r="W211" s="37"/>
      <c r="X211" s="52"/>
      <c r="Y211" s="52"/>
      <c r="Z211" s="37"/>
      <c r="AA211" s="18"/>
      <c r="AB211" s="18"/>
      <c r="AC211" s="18"/>
    </row>
    <row r="212" spans="23:29" customFormat="1" x14ac:dyDescent="0.25">
      <c r="W212" s="37"/>
      <c r="X212" s="52"/>
      <c r="Y212" s="52"/>
      <c r="Z212" s="37"/>
      <c r="AA212" s="18"/>
      <c r="AB212" s="18"/>
      <c r="AC212" s="18"/>
    </row>
    <row r="213" spans="23:29" customFormat="1" x14ac:dyDescent="0.25">
      <c r="W213" s="37"/>
      <c r="X213" s="52"/>
      <c r="Y213" s="52"/>
      <c r="Z213" s="37"/>
      <c r="AA213" s="18"/>
      <c r="AB213" s="18"/>
      <c r="AC213" s="18"/>
    </row>
    <row r="214" spans="23:29" customFormat="1" x14ac:dyDescent="0.25">
      <c r="W214" s="37"/>
      <c r="X214" s="52"/>
      <c r="Y214" s="52"/>
      <c r="Z214" s="37"/>
      <c r="AA214" s="18"/>
      <c r="AB214" s="18"/>
      <c r="AC214" s="18"/>
    </row>
    <row r="215" spans="23:29" customFormat="1" x14ac:dyDescent="0.25">
      <c r="W215" s="37"/>
      <c r="X215" s="52"/>
      <c r="Y215" s="52"/>
      <c r="Z215" s="37"/>
      <c r="AA215" s="18"/>
      <c r="AB215" s="18"/>
      <c r="AC215" s="18"/>
    </row>
    <row r="216" spans="23:29" customFormat="1" x14ac:dyDescent="0.25">
      <c r="W216" s="37"/>
      <c r="X216" s="52"/>
      <c r="Y216" s="52"/>
      <c r="Z216" s="37"/>
      <c r="AA216" s="18"/>
      <c r="AB216" s="18"/>
      <c r="AC216" s="18"/>
    </row>
    <row r="217" spans="23:29" customFormat="1" x14ac:dyDescent="0.25">
      <c r="W217" s="37"/>
      <c r="X217" s="52"/>
      <c r="Y217" s="52"/>
      <c r="Z217" s="37"/>
      <c r="AA217" s="18"/>
      <c r="AB217" s="18"/>
      <c r="AC217" s="18"/>
    </row>
    <row r="218" spans="23:29" customFormat="1" x14ac:dyDescent="0.25">
      <c r="W218" s="37"/>
      <c r="X218" s="52"/>
      <c r="Y218" s="52"/>
      <c r="Z218" s="37"/>
      <c r="AA218" s="18"/>
      <c r="AB218" s="18"/>
      <c r="AC218" s="18"/>
    </row>
    <row r="219" spans="23:29" customFormat="1" x14ac:dyDescent="0.25">
      <c r="W219" s="37"/>
      <c r="X219" s="52"/>
      <c r="Y219" s="52"/>
      <c r="Z219" s="37"/>
      <c r="AA219" s="18"/>
      <c r="AB219" s="18"/>
      <c r="AC219" s="18"/>
    </row>
    <row r="220" spans="23:29" customFormat="1" x14ac:dyDescent="0.25">
      <c r="W220" s="37"/>
      <c r="X220" s="52"/>
      <c r="Y220" s="52"/>
      <c r="Z220" s="37"/>
      <c r="AA220" s="18"/>
      <c r="AB220" s="18"/>
      <c r="AC220" s="18"/>
    </row>
    <row r="221" spans="23:29" customFormat="1" x14ac:dyDescent="0.25">
      <c r="W221" s="37"/>
      <c r="X221" s="52"/>
      <c r="Y221" s="52"/>
      <c r="Z221" s="37"/>
      <c r="AA221" s="18"/>
      <c r="AB221" s="18"/>
      <c r="AC221" s="18"/>
    </row>
    <row r="222" spans="23:29" customFormat="1" x14ac:dyDescent="0.25">
      <c r="W222" s="37"/>
      <c r="X222" s="52"/>
      <c r="Y222" s="52"/>
      <c r="Z222" s="37"/>
      <c r="AA222" s="18"/>
      <c r="AB222" s="18"/>
      <c r="AC222" s="18"/>
    </row>
    <row r="223" spans="23:29" customFormat="1" x14ac:dyDescent="0.25">
      <c r="W223" s="37"/>
      <c r="X223" s="52"/>
      <c r="Y223" s="52"/>
      <c r="Z223" s="37"/>
      <c r="AA223" s="18"/>
      <c r="AB223" s="18"/>
      <c r="AC223" s="18"/>
    </row>
    <row r="224" spans="23:29" customFormat="1" x14ac:dyDescent="0.25">
      <c r="W224" s="37"/>
      <c r="X224" s="52"/>
      <c r="Y224" s="52"/>
      <c r="Z224" s="37"/>
      <c r="AA224" s="18"/>
      <c r="AB224" s="18"/>
      <c r="AC224" s="18"/>
    </row>
    <row r="225" spans="23:29" customFormat="1" x14ac:dyDescent="0.25">
      <c r="W225" s="37"/>
      <c r="X225" s="52"/>
      <c r="Y225" s="52"/>
      <c r="Z225" s="37"/>
      <c r="AA225" s="18"/>
      <c r="AB225" s="18"/>
      <c r="AC225" s="18"/>
    </row>
    <row r="226" spans="23:29" customFormat="1" x14ac:dyDescent="0.25">
      <c r="W226" s="37"/>
      <c r="X226" s="52"/>
      <c r="Y226" s="52"/>
      <c r="Z226" s="37"/>
      <c r="AA226" s="18"/>
      <c r="AB226" s="18"/>
      <c r="AC226" s="18"/>
    </row>
    <row r="227" spans="23:29" customFormat="1" x14ac:dyDescent="0.25">
      <c r="W227" s="37"/>
      <c r="X227" s="52"/>
      <c r="Y227" s="52"/>
      <c r="Z227" s="37"/>
      <c r="AA227" s="18"/>
      <c r="AB227" s="18"/>
      <c r="AC227" s="18"/>
    </row>
    <row r="228" spans="23:29" customFormat="1" x14ac:dyDescent="0.25">
      <c r="W228" s="37"/>
      <c r="X228" s="52"/>
      <c r="Y228" s="52"/>
      <c r="Z228" s="37"/>
      <c r="AA228" s="18"/>
      <c r="AB228" s="18"/>
      <c r="AC228" s="18"/>
    </row>
    <row r="229" spans="23:29" customFormat="1" x14ac:dyDescent="0.25">
      <c r="W229" s="37"/>
      <c r="X229" s="52"/>
      <c r="Y229" s="52"/>
      <c r="Z229" s="37"/>
      <c r="AA229" s="18"/>
      <c r="AB229" s="18"/>
      <c r="AC229" s="18"/>
    </row>
    <row r="230" spans="23:29" customFormat="1" x14ac:dyDescent="0.25">
      <c r="W230" s="37"/>
      <c r="X230" s="52"/>
      <c r="Y230" s="52"/>
      <c r="Z230" s="37"/>
      <c r="AA230" s="18"/>
      <c r="AB230" s="18"/>
      <c r="AC230" s="18"/>
    </row>
    <row r="231" spans="23:29" customFormat="1" x14ac:dyDescent="0.25">
      <c r="W231" s="37"/>
      <c r="X231" s="52"/>
      <c r="Y231" s="52"/>
      <c r="Z231" s="37"/>
      <c r="AA231" s="18"/>
      <c r="AB231" s="18"/>
      <c r="AC231" s="18"/>
    </row>
    <row r="232" spans="23:29" customFormat="1" x14ac:dyDescent="0.25">
      <c r="W232" s="37"/>
      <c r="X232" s="52"/>
      <c r="Y232" s="52"/>
      <c r="Z232" s="37"/>
      <c r="AA232" s="18"/>
      <c r="AB232" s="18"/>
      <c r="AC232" s="18"/>
    </row>
    <row r="233" spans="23:29" customFormat="1" x14ac:dyDescent="0.25">
      <c r="W233" s="37"/>
      <c r="X233" s="52"/>
      <c r="Y233" s="52"/>
      <c r="Z233" s="37"/>
      <c r="AA233" s="18"/>
      <c r="AB233" s="18"/>
      <c r="AC233" s="18"/>
    </row>
    <row r="234" spans="23:29" customFormat="1" x14ac:dyDescent="0.25">
      <c r="W234" s="37"/>
      <c r="X234" s="52"/>
      <c r="Y234" s="52"/>
      <c r="Z234" s="37"/>
      <c r="AA234" s="18"/>
      <c r="AB234" s="18"/>
      <c r="AC234" s="18"/>
    </row>
    <row r="235" spans="23:29" customFormat="1" x14ac:dyDescent="0.25">
      <c r="W235" s="37"/>
      <c r="X235" s="52"/>
      <c r="Y235" s="52"/>
      <c r="Z235" s="37"/>
      <c r="AA235" s="18"/>
      <c r="AB235" s="18"/>
      <c r="AC235" s="18"/>
    </row>
    <row r="236" spans="23:29" customFormat="1" x14ac:dyDescent="0.25">
      <c r="W236" s="37"/>
      <c r="X236" s="52"/>
      <c r="Y236" s="52"/>
      <c r="Z236" s="37"/>
      <c r="AA236" s="18"/>
      <c r="AB236" s="18"/>
      <c r="AC236" s="18"/>
    </row>
    <row r="237" spans="23:29" customFormat="1" x14ac:dyDescent="0.25">
      <c r="W237" s="37"/>
      <c r="X237" s="52"/>
      <c r="Y237" s="52"/>
      <c r="Z237" s="37"/>
      <c r="AA237" s="18"/>
      <c r="AB237" s="18"/>
      <c r="AC237" s="18"/>
    </row>
    <row r="238" spans="23:29" customFormat="1" x14ac:dyDescent="0.25">
      <c r="W238" s="37"/>
      <c r="X238" s="52"/>
      <c r="Y238" s="52"/>
      <c r="Z238" s="37"/>
      <c r="AA238" s="18"/>
      <c r="AB238" s="18"/>
      <c r="AC238" s="18"/>
    </row>
    <row r="239" spans="23:29" customFormat="1" x14ac:dyDescent="0.25">
      <c r="W239" s="37"/>
      <c r="X239" s="52"/>
      <c r="Y239" s="52"/>
      <c r="Z239" s="37"/>
      <c r="AA239" s="18"/>
      <c r="AB239" s="18"/>
      <c r="AC239" s="18"/>
    </row>
    <row r="240" spans="23:29" customFormat="1" x14ac:dyDescent="0.25">
      <c r="W240" s="37"/>
      <c r="X240" s="52"/>
      <c r="Y240" s="52"/>
      <c r="Z240" s="37"/>
      <c r="AA240" s="18"/>
      <c r="AB240" s="18"/>
      <c r="AC240" s="18"/>
    </row>
    <row r="241" spans="23:29" customFormat="1" x14ac:dyDescent="0.25">
      <c r="W241" s="37"/>
      <c r="X241" s="52"/>
      <c r="Y241" s="52"/>
      <c r="Z241" s="37"/>
      <c r="AA241" s="18"/>
      <c r="AB241" s="18"/>
      <c r="AC241" s="18"/>
    </row>
    <row r="242" spans="23:29" customFormat="1" x14ac:dyDescent="0.25">
      <c r="W242" s="37"/>
      <c r="X242" s="52"/>
      <c r="Y242" s="52"/>
      <c r="Z242" s="37"/>
      <c r="AA242" s="18"/>
      <c r="AB242" s="18"/>
      <c r="AC242" s="18"/>
    </row>
    <row r="243" spans="23:29" customFormat="1" x14ac:dyDescent="0.25">
      <c r="W243" s="37"/>
      <c r="X243" s="52"/>
      <c r="Y243" s="52"/>
      <c r="Z243" s="37"/>
      <c r="AA243" s="18"/>
      <c r="AB243" s="18"/>
      <c r="AC243" s="18"/>
    </row>
    <row r="244" spans="23:29" customFormat="1" x14ac:dyDescent="0.25">
      <c r="W244" s="37"/>
      <c r="X244" s="52"/>
      <c r="Y244" s="52"/>
      <c r="Z244" s="37"/>
      <c r="AA244" s="18"/>
      <c r="AB244" s="18"/>
      <c r="AC244" s="18"/>
    </row>
    <row r="245" spans="23:29" customFormat="1" x14ac:dyDescent="0.25">
      <c r="W245" s="37"/>
      <c r="X245" s="52"/>
      <c r="Y245" s="52"/>
      <c r="Z245" s="37"/>
      <c r="AA245" s="18"/>
      <c r="AB245" s="18"/>
      <c r="AC245" s="18"/>
    </row>
    <row r="246" spans="23:29" customFormat="1" x14ac:dyDescent="0.25">
      <c r="W246" s="37"/>
      <c r="X246" s="52"/>
      <c r="Y246" s="52"/>
      <c r="Z246" s="37"/>
      <c r="AA246" s="18"/>
      <c r="AB246" s="18"/>
      <c r="AC246" s="18"/>
    </row>
    <row r="247" spans="23:29" customFormat="1" x14ac:dyDescent="0.25">
      <c r="W247" s="37"/>
      <c r="X247" s="52"/>
      <c r="Y247" s="52"/>
      <c r="Z247" s="37"/>
      <c r="AA247" s="18"/>
      <c r="AB247" s="18"/>
      <c r="AC247" s="18"/>
    </row>
    <row r="248" spans="23:29" customFormat="1" x14ac:dyDescent="0.25">
      <c r="W248" s="37"/>
      <c r="X248" s="52"/>
      <c r="Y248" s="52"/>
      <c r="Z248" s="37"/>
      <c r="AA248" s="18"/>
      <c r="AB248" s="18"/>
      <c r="AC248" s="18"/>
    </row>
    <row r="249" spans="23:29" customFormat="1" x14ac:dyDescent="0.25">
      <c r="W249" s="37"/>
      <c r="X249" s="52"/>
      <c r="Y249" s="52"/>
      <c r="Z249" s="37"/>
      <c r="AA249" s="18"/>
      <c r="AB249" s="18"/>
      <c r="AC249" s="18"/>
    </row>
    <row r="250" spans="23:29" customFormat="1" x14ac:dyDescent="0.25">
      <c r="W250" s="37"/>
      <c r="X250" s="52"/>
      <c r="Y250" s="52"/>
      <c r="Z250" s="37"/>
      <c r="AA250" s="18"/>
      <c r="AB250" s="18"/>
      <c r="AC250" s="18"/>
    </row>
    <row r="251" spans="23:29" customFormat="1" x14ac:dyDescent="0.25">
      <c r="W251" s="37"/>
      <c r="X251" s="52"/>
      <c r="Y251" s="52"/>
      <c r="Z251" s="37"/>
      <c r="AA251" s="18"/>
      <c r="AB251" s="18"/>
      <c r="AC251" s="18"/>
    </row>
    <row r="252" spans="23:29" customFormat="1" x14ac:dyDescent="0.25">
      <c r="W252" s="37"/>
      <c r="X252" s="52"/>
      <c r="Y252" s="52"/>
      <c r="Z252" s="37"/>
      <c r="AA252" s="18"/>
      <c r="AB252" s="18"/>
      <c r="AC252" s="18"/>
    </row>
    <row r="253" spans="23:29" customFormat="1" x14ac:dyDescent="0.25">
      <c r="W253" s="37"/>
      <c r="X253" s="52"/>
      <c r="Y253" s="52"/>
      <c r="Z253" s="37"/>
      <c r="AA253" s="18"/>
      <c r="AB253" s="18"/>
      <c r="AC253" s="18"/>
    </row>
    <row r="254" spans="23:29" customFormat="1" x14ac:dyDescent="0.25">
      <c r="W254" s="37"/>
      <c r="X254" s="52"/>
      <c r="Y254" s="52"/>
      <c r="Z254" s="37"/>
      <c r="AA254" s="18"/>
      <c r="AB254" s="18"/>
      <c r="AC254" s="18"/>
    </row>
    <row r="255" spans="23:29" customFormat="1" x14ac:dyDescent="0.25">
      <c r="W255" s="37"/>
      <c r="X255" s="52"/>
      <c r="Y255" s="52"/>
      <c r="Z255" s="37"/>
      <c r="AA255" s="18"/>
      <c r="AB255" s="18"/>
      <c r="AC255" s="18"/>
    </row>
    <row r="256" spans="23:29" customFormat="1" x14ac:dyDescent="0.25">
      <c r="W256" s="37"/>
      <c r="X256" s="52"/>
      <c r="Y256" s="52"/>
      <c r="Z256" s="37"/>
      <c r="AA256" s="18"/>
      <c r="AB256" s="18"/>
      <c r="AC256" s="18"/>
    </row>
    <row r="257" spans="23:29" customFormat="1" x14ac:dyDescent="0.25">
      <c r="W257" s="37"/>
      <c r="X257" s="52"/>
      <c r="Y257" s="52"/>
      <c r="Z257" s="37"/>
      <c r="AA257" s="18"/>
      <c r="AB257" s="18"/>
      <c r="AC257" s="18"/>
    </row>
    <row r="258" spans="23:29" customFormat="1" x14ac:dyDescent="0.25">
      <c r="W258" s="37"/>
      <c r="X258" s="52"/>
      <c r="Y258" s="52"/>
      <c r="Z258" s="37"/>
      <c r="AA258" s="18"/>
      <c r="AB258" s="18"/>
      <c r="AC258" s="18"/>
    </row>
    <row r="259" spans="23:29" customFormat="1" x14ac:dyDescent="0.25">
      <c r="W259" s="37"/>
      <c r="X259" s="52"/>
      <c r="Y259" s="52"/>
      <c r="Z259" s="37"/>
      <c r="AA259" s="18"/>
      <c r="AB259" s="18"/>
      <c r="AC259" s="18"/>
    </row>
    <row r="260" spans="23:29" customFormat="1" x14ac:dyDescent="0.25">
      <c r="W260" s="37"/>
      <c r="X260" s="52"/>
      <c r="Y260" s="52"/>
      <c r="Z260" s="37"/>
      <c r="AA260" s="18"/>
      <c r="AB260" s="18"/>
      <c r="AC260" s="18"/>
    </row>
    <row r="261" spans="23:29" customFormat="1" x14ac:dyDescent="0.25">
      <c r="W261" s="37"/>
      <c r="X261" s="52"/>
      <c r="Y261" s="52"/>
      <c r="Z261" s="37"/>
      <c r="AA261" s="18"/>
      <c r="AB261" s="18"/>
      <c r="AC261" s="18"/>
    </row>
    <row r="262" spans="23:29" customFormat="1" x14ac:dyDescent="0.25">
      <c r="W262" s="37"/>
      <c r="X262" s="52"/>
      <c r="Y262" s="52"/>
      <c r="Z262" s="37"/>
      <c r="AA262" s="18"/>
      <c r="AB262" s="18"/>
      <c r="AC262" s="18"/>
    </row>
    <row r="263" spans="23:29" customFormat="1" x14ac:dyDescent="0.25">
      <c r="W263" s="37"/>
      <c r="X263" s="52"/>
      <c r="Y263" s="52"/>
      <c r="Z263" s="37"/>
      <c r="AA263" s="18"/>
      <c r="AB263" s="18"/>
      <c r="AC263" s="18"/>
    </row>
    <row r="264" spans="23:29" customFormat="1" x14ac:dyDescent="0.25">
      <c r="W264" s="37"/>
      <c r="X264" s="52"/>
      <c r="Y264" s="52"/>
      <c r="Z264" s="37"/>
      <c r="AA264" s="18"/>
      <c r="AB264" s="18"/>
      <c r="AC264" s="18"/>
    </row>
    <row r="265" spans="23:29" customFormat="1" x14ac:dyDescent="0.25">
      <c r="W265" s="37"/>
      <c r="X265" s="52"/>
      <c r="Y265" s="52"/>
      <c r="Z265" s="37"/>
      <c r="AA265" s="18"/>
      <c r="AB265" s="18"/>
      <c r="AC265" s="18"/>
    </row>
    <row r="266" spans="23:29" customFormat="1" x14ac:dyDescent="0.25">
      <c r="W266" s="37"/>
      <c r="X266" s="52"/>
      <c r="Y266" s="52"/>
      <c r="Z266" s="37"/>
      <c r="AA266" s="18"/>
      <c r="AB266" s="18"/>
      <c r="AC266" s="18"/>
    </row>
    <row r="267" spans="23:29" customFormat="1" x14ac:dyDescent="0.25">
      <c r="W267" s="37"/>
      <c r="X267" s="52"/>
      <c r="Y267" s="52"/>
      <c r="Z267" s="37"/>
      <c r="AA267" s="18"/>
      <c r="AB267" s="18"/>
      <c r="AC267" s="18"/>
    </row>
    <row r="268" spans="23:29" customFormat="1" x14ac:dyDescent="0.25">
      <c r="W268" s="37"/>
      <c r="X268" s="52"/>
      <c r="Y268" s="52"/>
      <c r="Z268" s="37"/>
      <c r="AA268" s="18"/>
      <c r="AB268" s="18"/>
      <c r="AC268" s="18"/>
    </row>
    <row r="269" spans="23:29" customFormat="1" x14ac:dyDescent="0.25">
      <c r="W269" s="37"/>
      <c r="X269" s="52"/>
      <c r="Y269" s="52"/>
      <c r="Z269" s="37"/>
      <c r="AA269" s="18"/>
      <c r="AB269" s="18"/>
      <c r="AC269" s="18"/>
    </row>
    <row r="270" spans="23:29" customFormat="1" x14ac:dyDescent="0.25">
      <c r="W270" s="37"/>
      <c r="X270" s="52"/>
      <c r="Y270" s="52"/>
      <c r="Z270" s="37"/>
      <c r="AA270" s="18"/>
      <c r="AB270" s="18"/>
      <c r="AC270" s="18"/>
    </row>
    <row r="271" spans="23:29" customFormat="1" x14ac:dyDescent="0.25">
      <c r="W271" s="37"/>
      <c r="X271" s="52"/>
      <c r="Y271" s="52"/>
      <c r="Z271" s="37"/>
      <c r="AA271" s="18"/>
      <c r="AB271" s="18"/>
      <c r="AC271" s="18"/>
    </row>
    <row r="272" spans="23:29" customFormat="1" x14ac:dyDescent="0.25">
      <c r="W272" s="37"/>
      <c r="X272" s="52"/>
      <c r="Y272" s="52"/>
      <c r="Z272" s="37"/>
      <c r="AA272" s="18"/>
      <c r="AB272" s="18"/>
      <c r="AC272" s="18"/>
    </row>
    <row r="273" spans="23:29" customFormat="1" x14ac:dyDescent="0.25">
      <c r="W273" s="37"/>
      <c r="X273" s="52"/>
      <c r="Y273" s="52"/>
      <c r="Z273" s="37"/>
      <c r="AA273" s="18"/>
      <c r="AB273" s="18"/>
      <c r="AC273" s="18"/>
    </row>
    <row r="274" spans="23:29" customFormat="1" x14ac:dyDescent="0.25">
      <c r="W274" s="37"/>
      <c r="X274" s="52"/>
      <c r="Y274" s="52"/>
      <c r="Z274" s="37"/>
      <c r="AA274" s="18"/>
      <c r="AB274" s="18"/>
      <c r="AC274" s="18"/>
    </row>
    <row r="275" spans="23:29" customFormat="1" x14ac:dyDescent="0.25">
      <c r="W275" s="37"/>
      <c r="X275" s="52"/>
      <c r="Y275" s="52"/>
      <c r="Z275" s="37"/>
      <c r="AA275" s="18"/>
      <c r="AB275" s="18"/>
      <c r="AC275" s="18"/>
    </row>
    <row r="276" spans="23:29" customFormat="1" x14ac:dyDescent="0.25">
      <c r="W276" s="37"/>
      <c r="X276" s="52"/>
      <c r="Y276" s="52"/>
      <c r="Z276" s="37"/>
      <c r="AA276" s="18"/>
      <c r="AB276" s="18"/>
      <c r="AC276" s="18"/>
    </row>
    <row r="277" spans="23:29" customFormat="1" x14ac:dyDescent="0.25">
      <c r="W277" s="37"/>
      <c r="X277" s="52"/>
      <c r="Y277" s="52"/>
      <c r="Z277" s="37"/>
      <c r="AA277" s="18"/>
      <c r="AB277" s="18"/>
      <c r="AC277" s="18"/>
    </row>
    <row r="278" spans="23:29" customFormat="1" x14ac:dyDescent="0.25">
      <c r="W278" s="37"/>
      <c r="X278" s="52"/>
      <c r="Y278" s="52"/>
      <c r="Z278" s="37"/>
      <c r="AA278" s="18"/>
      <c r="AB278" s="18"/>
      <c r="AC278" s="18"/>
    </row>
    <row r="279" spans="23:29" customFormat="1" x14ac:dyDescent="0.25">
      <c r="W279" s="37"/>
      <c r="X279" s="52"/>
      <c r="Y279" s="52"/>
      <c r="Z279" s="37"/>
      <c r="AA279" s="18"/>
      <c r="AB279" s="18"/>
      <c r="AC279" s="18"/>
    </row>
    <row r="280" spans="23:29" customFormat="1" x14ac:dyDescent="0.25">
      <c r="W280" s="37"/>
      <c r="X280" s="52"/>
      <c r="Y280" s="52"/>
      <c r="Z280" s="37"/>
      <c r="AA280" s="18"/>
      <c r="AB280" s="18"/>
      <c r="AC280" s="18"/>
    </row>
    <row r="281" spans="23:29" customFormat="1" x14ac:dyDescent="0.25">
      <c r="W281" s="37"/>
      <c r="X281" s="52"/>
      <c r="Y281" s="52"/>
      <c r="Z281" s="37"/>
      <c r="AA281" s="18"/>
      <c r="AB281" s="18"/>
      <c r="AC281" s="18"/>
    </row>
    <row r="282" spans="23:29" customFormat="1" x14ac:dyDescent="0.25">
      <c r="W282" s="37"/>
      <c r="X282" s="52"/>
      <c r="Y282" s="52"/>
      <c r="Z282" s="37"/>
      <c r="AA282" s="18"/>
      <c r="AB282" s="18"/>
      <c r="AC282" s="18"/>
    </row>
    <row r="283" spans="23:29" customFormat="1" x14ac:dyDescent="0.25">
      <c r="W283" s="37"/>
      <c r="X283" s="52"/>
      <c r="Y283" s="52"/>
      <c r="Z283" s="37"/>
      <c r="AA283" s="18"/>
      <c r="AB283" s="18"/>
      <c r="AC283" s="18"/>
    </row>
    <row r="284" spans="23:29" customFormat="1" x14ac:dyDescent="0.25">
      <c r="W284" s="37"/>
      <c r="X284" s="52"/>
      <c r="Y284" s="52"/>
      <c r="Z284" s="37"/>
      <c r="AA284" s="18"/>
      <c r="AB284" s="18"/>
      <c r="AC284" s="18"/>
    </row>
    <row r="285" spans="23:29" customFormat="1" x14ac:dyDescent="0.25">
      <c r="W285" s="37"/>
      <c r="X285" s="52"/>
      <c r="Y285" s="52"/>
      <c r="Z285" s="37"/>
      <c r="AA285" s="18"/>
      <c r="AB285" s="18"/>
      <c r="AC285" s="18"/>
    </row>
    <row r="286" spans="23:29" customFormat="1" x14ac:dyDescent="0.25">
      <c r="W286" s="37"/>
      <c r="X286" s="52"/>
      <c r="Y286" s="52"/>
      <c r="Z286" s="37"/>
      <c r="AA286" s="18"/>
      <c r="AB286" s="18"/>
      <c r="AC286" s="18"/>
    </row>
    <row r="287" spans="23:29" customFormat="1" x14ac:dyDescent="0.25">
      <c r="W287" s="37"/>
      <c r="X287" s="52"/>
      <c r="Y287" s="52"/>
      <c r="Z287" s="37"/>
      <c r="AA287" s="18"/>
      <c r="AB287" s="18"/>
      <c r="AC287" s="18"/>
    </row>
    <row r="288" spans="23:29" customFormat="1" x14ac:dyDescent="0.25">
      <c r="W288" s="37"/>
      <c r="X288" s="52"/>
      <c r="Y288" s="52"/>
      <c r="Z288" s="37"/>
      <c r="AA288" s="18"/>
      <c r="AB288" s="18"/>
      <c r="AC288" s="18"/>
    </row>
    <row r="289" spans="23:29" customFormat="1" x14ac:dyDescent="0.25">
      <c r="W289" s="37"/>
      <c r="X289" s="52"/>
      <c r="Y289" s="52"/>
      <c r="Z289" s="37"/>
      <c r="AA289" s="18"/>
      <c r="AB289" s="18"/>
      <c r="AC289" s="18"/>
    </row>
    <row r="290" spans="23:29" customFormat="1" x14ac:dyDescent="0.25">
      <c r="W290" s="37"/>
      <c r="X290" s="52"/>
      <c r="Y290" s="52"/>
      <c r="Z290" s="37"/>
      <c r="AA290" s="18"/>
      <c r="AB290" s="18"/>
      <c r="AC290" s="18"/>
    </row>
    <row r="291" spans="23:29" customFormat="1" x14ac:dyDescent="0.25">
      <c r="W291" s="37"/>
      <c r="X291" s="52"/>
      <c r="Y291" s="52"/>
      <c r="Z291" s="37"/>
      <c r="AA291" s="18"/>
      <c r="AB291" s="18"/>
      <c r="AC291" s="18"/>
    </row>
    <row r="292" spans="23:29" customFormat="1" x14ac:dyDescent="0.25">
      <c r="W292" s="37"/>
      <c r="X292" s="52"/>
      <c r="Y292" s="52"/>
      <c r="Z292" s="37"/>
      <c r="AA292" s="18"/>
      <c r="AB292" s="18"/>
      <c r="AC292" s="18"/>
    </row>
    <row r="293" spans="23:29" customFormat="1" x14ac:dyDescent="0.25">
      <c r="W293" s="37"/>
      <c r="X293" s="52"/>
      <c r="Y293" s="52"/>
      <c r="Z293" s="37"/>
      <c r="AA293" s="18"/>
      <c r="AB293" s="18"/>
      <c r="AC293" s="18"/>
    </row>
    <row r="294" spans="23:29" customFormat="1" x14ac:dyDescent="0.25">
      <c r="W294" s="37"/>
      <c r="X294" s="52"/>
      <c r="Y294" s="52"/>
      <c r="Z294" s="37"/>
      <c r="AA294" s="18"/>
      <c r="AB294" s="18"/>
      <c r="AC294" s="18"/>
    </row>
    <row r="295" spans="23:29" customFormat="1" x14ac:dyDescent="0.25">
      <c r="W295" s="37"/>
      <c r="X295" s="52"/>
      <c r="Y295" s="52"/>
      <c r="Z295" s="37"/>
      <c r="AA295" s="18"/>
      <c r="AB295" s="18"/>
      <c r="AC295" s="18"/>
    </row>
    <row r="296" spans="23:29" customFormat="1" x14ac:dyDescent="0.25">
      <c r="W296" s="37"/>
      <c r="X296" s="52"/>
      <c r="Y296" s="52"/>
      <c r="Z296" s="37"/>
      <c r="AA296" s="18"/>
      <c r="AB296" s="18"/>
      <c r="AC296" s="18"/>
    </row>
    <row r="297" spans="23:29" customFormat="1" x14ac:dyDescent="0.25">
      <c r="W297" s="37"/>
      <c r="X297" s="52"/>
      <c r="Y297" s="52"/>
      <c r="Z297" s="37"/>
      <c r="AA297" s="18"/>
      <c r="AB297" s="18"/>
      <c r="AC297" s="18"/>
    </row>
    <row r="298" spans="23:29" customFormat="1" x14ac:dyDescent="0.25">
      <c r="W298" s="37"/>
      <c r="X298" s="52"/>
      <c r="Y298" s="52"/>
      <c r="Z298" s="37"/>
      <c r="AA298" s="18"/>
      <c r="AB298" s="18"/>
      <c r="AC298" s="18"/>
    </row>
    <row r="299" spans="23:29" customFormat="1" x14ac:dyDescent="0.25">
      <c r="W299" s="37"/>
      <c r="X299" s="52"/>
      <c r="Y299" s="52"/>
      <c r="Z299" s="37"/>
      <c r="AA299" s="18"/>
      <c r="AB299" s="18"/>
      <c r="AC299" s="18"/>
    </row>
    <row r="300" spans="23:29" customFormat="1" x14ac:dyDescent="0.25">
      <c r="W300" s="37"/>
      <c r="X300" s="52"/>
      <c r="Y300" s="52"/>
      <c r="Z300" s="37"/>
      <c r="AA300" s="18"/>
      <c r="AB300" s="18"/>
      <c r="AC300" s="18"/>
    </row>
    <row r="301" spans="23:29" customFormat="1" x14ac:dyDescent="0.25">
      <c r="W301" s="37"/>
      <c r="X301" s="52"/>
      <c r="Y301" s="52"/>
      <c r="Z301" s="37"/>
      <c r="AA301" s="18"/>
      <c r="AB301" s="18"/>
      <c r="AC301" s="18"/>
    </row>
    <row r="302" spans="23:29" customFormat="1" x14ac:dyDescent="0.25">
      <c r="W302" s="37"/>
      <c r="X302" s="52"/>
      <c r="Y302" s="52"/>
      <c r="Z302" s="37"/>
      <c r="AA302" s="18"/>
      <c r="AB302" s="18"/>
      <c r="AC302" s="18"/>
    </row>
    <row r="303" spans="23:29" customFormat="1" x14ac:dyDescent="0.25">
      <c r="W303" s="37"/>
      <c r="X303" s="52"/>
      <c r="Y303" s="52"/>
      <c r="Z303" s="37"/>
      <c r="AA303" s="18"/>
      <c r="AB303" s="18"/>
      <c r="AC303" s="18"/>
    </row>
    <row r="304" spans="23:29" customFormat="1" x14ac:dyDescent="0.25">
      <c r="W304" s="37"/>
      <c r="X304" s="52"/>
      <c r="Y304" s="52"/>
      <c r="Z304" s="37"/>
      <c r="AA304" s="18"/>
      <c r="AB304" s="18"/>
      <c r="AC304" s="18"/>
    </row>
    <row r="305" spans="23:29" customFormat="1" x14ac:dyDescent="0.25">
      <c r="W305" s="37"/>
      <c r="X305" s="52"/>
      <c r="Y305" s="52"/>
      <c r="Z305" s="37"/>
      <c r="AA305" s="18"/>
      <c r="AB305" s="18"/>
      <c r="AC305" s="18"/>
    </row>
    <row r="306" spans="23:29" customFormat="1" x14ac:dyDescent="0.25">
      <c r="W306" s="37"/>
      <c r="X306" s="52"/>
      <c r="Y306" s="52"/>
      <c r="Z306" s="37"/>
      <c r="AA306" s="18"/>
      <c r="AB306" s="18"/>
      <c r="AC306" s="18"/>
    </row>
    <row r="307" spans="23:29" customFormat="1" x14ac:dyDescent="0.25">
      <c r="W307" s="37"/>
      <c r="X307" s="52"/>
      <c r="Y307" s="52"/>
      <c r="Z307" s="37"/>
      <c r="AA307" s="18"/>
      <c r="AB307" s="18"/>
      <c r="AC307" s="18"/>
    </row>
    <row r="308" spans="23:29" customFormat="1" x14ac:dyDescent="0.25">
      <c r="W308" s="37"/>
      <c r="X308" s="52"/>
      <c r="Y308" s="52"/>
      <c r="Z308" s="37"/>
      <c r="AA308" s="18"/>
      <c r="AB308" s="18"/>
      <c r="AC308" s="18"/>
    </row>
    <row r="309" spans="23:29" customFormat="1" x14ac:dyDescent="0.25">
      <c r="W309" s="37"/>
      <c r="X309" s="52"/>
      <c r="Y309" s="52"/>
      <c r="Z309" s="37"/>
      <c r="AA309" s="18"/>
      <c r="AB309" s="18"/>
      <c r="AC309" s="18"/>
    </row>
    <row r="310" spans="23:29" customFormat="1" x14ac:dyDescent="0.25">
      <c r="W310" s="37"/>
      <c r="X310" s="52"/>
      <c r="Y310" s="52"/>
      <c r="Z310" s="37"/>
      <c r="AA310" s="18"/>
      <c r="AB310" s="18"/>
      <c r="AC310" s="18"/>
    </row>
    <row r="311" spans="23:29" customFormat="1" x14ac:dyDescent="0.25">
      <c r="W311" s="37"/>
      <c r="X311" s="52"/>
      <c r="Y311" s="52"/>
      <c r="Z311" s="37"/>
      <c r="AA311" s="18"/>
      <c r="AB311" s="18"/>
      <c r="AC311" s="18"/>
    </row>
    <row r="312" spans="23:29" customFormat="1" x14ac:dyDescent="0.25">
      <c r="W312" s="37"/>
      <c r="X312" s="52"/>
      <c r="Y312" s="52"/>
      <c r="Z312" s="37"/>
      <c r="AA312" s="18"/>
      <c r="AB312" s="18"/>
      <c r="AC312" s="18"/>
    </row>
    <row r="313" spans="23:29" customFormat="1" x14ac:dyDescent="0.25">
      <c r="W313" s="37"/>
      <c r="X313" s="52"/>
      <c r="Y313" s="52"/>
      <c r="Z313" s="37"/>
      <c r="AA313" s="18"/>
      <c r="AB313" s="18"/>
      <c r="AC313" s="18"/>
    </row>
    <row r="314" spans="23:29" customFormat="1" x14ac:dyDescent="0.25">
      <c r="W314" s="37"/>
      <c r="X314" s="52"/>
      <c r="Y314" s="52"/>
      <c r="Z314" s="37"/>
      <c r="AA314" s="18"/>
      <c r="AB314" s="18"/>
      <c r="AC314" s="18"/>
    </row>
    <row r="315" spans="23:29" customFormat="1" x14ac:dyDescent="0.25">
      <c r="W315" s="37"/>
      <c r="X315" s="52"/>
      <c r="Y315" s="52"/>
      <c r="Z315" s="37"/>
      <c r="AA315" s="18"/>
      <c r="AB315" s="18"/>
      <c r="AC315" s="18"/>
    </row>
    <row r="316" spans="23:29" customFormat="1" x14ac:dyDescent="0.25">
      <c r="W316" s="37"/>
      <c r="X316" s="52"/>
      <c r="Y316" s="52"/>
      <c r="Z316" s="37"/>
      <c r="AA316" s="18"/>
      <c r="AB316" s="18"/>
      <c r="AC316" s="18"/>
    </row>
    <row r="317" spans="23:29" customFormat="1" x14ac:dyDescent="0.25">
      <c r="W317" s="37"/>
      <c r="X317" s="52"/>
      <c r="Y317" s="52"/>
      <c r="Z317" s="37"/>
      <c r="AA317" s="18"/>
      <c r="AB317" s="18"/>
      <c r="AC317" s="18"/>
    </row>
    <row r="318" spans="23:29" customFormat="1" x14ac:dyDescent="0.25">
      <c r="W318" s="37"/>
      <c r="X318" s="52"/>
      <c r="Y318" s="52"/>
      <c r="Z318" s="37"/>
      <c r="AA318" s="18"/>
      <c r="AB318" s="18"/>
      <c r="AC318" s="18"/>
    </row>
    <row r="319" spans="23:29" customFormat="1" x14ac:dyDescent="0.25">
      <c r="W319" s="37"/>
      <c r="X319" s="52"/>
      <c r="Y319" s="52"/>
      <c r="Z319" s="37"/>
      <c r="AA319" s="18"/>
      <c r="AB319" s="18"/>
      <c r="AC319" s="18"/>
    </row>
    <row r="320" spans="23:29" customFormat="1" x14ac:dyDescent="0.25">
      <c r="W320" s="37"/>
      <c r="X320" s="52"/>
      <c r="Y320" s="52"/>
      <c r="Z320" s="37"/>
      <c r="AA320" s="18"/>
      <c r="AB320" s="18"/>
      <c r="AC320" s="18"/>
    </row>
    <row r="321" spans="23:29" customFormat="1" x14ac:dyDescent="0.25">
      <c r="W321" s="37"/>
      <c r="X321" s="52"/>
      <c r="Y321" s="52"/>
      <c r="Z321" s="37"/>
      <c r="AA321" s="18"/>
      <c r="AB321" s="18"/>
      <c r="AC321" s="18"/>
    </row>
    <row r="322" spans="23:29" customFormat="1" x14ac:dyDescent="0.25">
      <c r="W322" s="37"/>
      <c r="X322" s="52"/>
      <c r="Y322" s="52"/>
      <c r="Z322" s="37"/>
      <c r="AA322" s="18"/>
      <c r="AB322" s="18"/>
      <c r="AC322" s="18"/>
    </row>
    <row r="323" spans="23:29" customFormat="1" x14ac:dyDescent="0.25">
      <c r="W323" s="37"/>
      <c r="X323" s="52"/>
      <c r="Y323" s="52"/>
      <c r="Z323" s="37"/>
      <c r="AA323" s="18"/>
      <c r="AB323" s="18"/>
      <c r="AC323" s="18"/>
    </row>
    <row r="324" spans="23:29" customFormat="1" x14ac:dyDescent="0.25">
      <c r="W324" s="37"/>
      <c r="X324" s="52"/>
      <c r="Y324" s="52"/>
      <c r="Z324" s="37"/>
      <c r="AA324" s="18"/>
      <c r="AB324" s="18"/>
      <c r="AC324" s="18"/>
    </row>
    <row r="325" spans="23:29" customFormat="1" x14ac:dyDescent="0.25">
      <c r="W325" s="37"/>
      <c r="X325" s="52"/>
      <c r="Y325" s="52"/>
      <c r="Z325" s="37"/>
      <c r="AA325" s="18"/>
      <c r="AB325" s="18"/>
      <c r="AC325" s="18"/>
    </row>
    <row r="326" spans="23:29" customFormat="1" x14ac:dyDescent="0.25">
      <c r="W326" s="37"/>
      <c r="X326" s="52"/>
      <c r="Y326" s="52"/>
      <c r="Z326" s="37"/>
      <c r="AA326" s="18"/>
      <c r="AB326" s="18"/>
      <c r="AC326" s="18"/>
    </row>
    <row r="327" spans="23:29" customFormat="1" x14ac:dyDescent="0.25">
      <c r="W327" s="37"/>
      <c r="X327" s="52"/>
      <c r="Y327" s="52"/>
      <c r="Z327" s="37"/>
      <c r="AA327" s="18"/>
      <c r="AB327" s="18"/>
      <c r="AC327" s="18"/>
    </row>
    <row r="328" spans="23:29" customFormat="1" x14ac:dyDescent="0.25">
      <c r="W328" s="37"/>
      <c r="X328" s="52"/>
      <c r="Y328" s="52"/>
      <c r="Z328" s="37"/>
      <c r="AA328" s="18"/>
      <c r="AB328" s="18"/>
      <c r="AC328" s="18"/>
    </row>
    <row r="329" spans="23:29" customFormat="1" x14ac:dyDescent="0.25">
      <c r="W329" s="37"/>
      <c r="X329" s="52"/>
      <c r="Y329" s="52"/>
      <c r="Z329" s="37"/>
      <c r="AA329" s="18"/>
      <c r="AB329" s="18"/>
      <c r="AC329" s="18"/>
    </row>
    <row r="330" spans="23:29" customFormat="1" x14ac:dyDescent="0.25">
      <c r="W330" s="37"/>
      <c r="X330" s="52"/>
      <c r="Y330" s="52"/>
      <c r="Z330" s="37"/>
      <c r="AA330" s="18"/>
      <c r="AB330" s="18"/>
      <c r="AC330" s="18"/>
    </row>
    <row r="331" spans="23:29" customFormat="1" x14ac:dyDescent="0.25">
      <c r="W331" s="37"/>
      <c r="X331" s="52"/>
      <c r="Y331" s="52"/>
      <c r="Z331" s="37"/>
      <c r="AA331" s="18"/>
      <c r="AB331" s="18"/>
      <c r="AC331" s="18"/>
    </row>
    <row r="332" spans="23:29" customFormat="1" x14ac:dyDescent="0.25">
      <c r="W332" s="37"/>
      <c r="X332" s="52"/>
      <c r="Y332" s="52"/>
      <c r="Z332" s="37"/>
      <c r="AA332" s="18"/>
      <c r="AB332" s="18"/>
      <c r="AC332" s="18"/>
    </row>
    <row r="333" spans="23:29" customFormat="1" x14ac:dyDescent="0.25">
      <c r="W333" s="37"/>
      <c r="X333" s="52"/>
      <c r="Y333" s="52"/>
      <c r="Z333" s="37"/>
      <c r="AA333" s="18"/>
      <c r="AB333" s="18"/>
      <c r="AC333" s="18"/>
    </row>
    <row r="334" spans="23:29" customFormat="1" x14ac:dyDescent="0.25">
      <c r="W334" s="37"/>
      <c r="X334" s="52"/>
      <c r="Y334" s="52"/>
      <c r="Z334" s="37"/>
      <c r="AA334" s="18"/>
      <c r="AB334" s="18"/>
      <c r="AC334" s="18"/>
    </row>
    <row r="335" spans="23:29" customFormat="1" x14ac:dyDescent="0.25">
      <c r="W335" s="37"/>
      <c r="X335" s="52"/>
      <c r="Y335" s="52"/>
      <c r="Z335" s="37"/>
      <c r="AA335" s="18"/>
      <c r="AB335" s="18"/>
      <c r="AC335" s="18"/>
    </row>
    <row r="336" spans="23:29" customFormat="1" x14ac:dyDescent="0.25">
      <c r="W336" s="37"/>
      <c r="X336" s="52"/>
      <c r="Y336" s="52"/>
      <c r="Z336" s="37"/>
      <c r="AA336" s="18"/>
      <c r="AB336" s="18"/>
      <c r="AC336" s="18"/>
    </row>
    <row r="337" spans="23:29" customFormat="1" x14ac:dyDescent="0.25">
      <c r="W337" s="37"/>
      <c r="X337" s="52"/>
      <c r="Y337" s="52"/>
      <c r="Z337" s="37"/>
      <c r="AA337" s="18"/>
      <c r="AB337" s="18"/>
      <c r="AC337" s="18"/>
    </row>
    <row r="338" spans="23:29" customFormat="1" x14ac:dyDescent="0.25">
      <c r="W338" s="37"/>
      <c r="X338" s="52"/>
      <c r="Y338" s="52"/>
      <c r="Z338" s="37"/>
      <c r="AA338" s="18"/>
      <c r="AB338" s="18"/>
      <c r="AC338" s="18"/>
    </row>
    <row r="339" spans="23:29" customFormat="1" x14ac:dyDescent="0.25">
      <c r="W339" s="37"/>
      <c r="X339" s="52"/>
      <c r="Y339" s="52"/>
      <c r="Z339" s="37"/>
      <c r="AA339" s="18"/>
      <c r="AB339" s="18"/>
      <c r="AC339" s="18"/>
    </row>
    <row r="340" spans="23:29" customFormat="1" x14ac:dyDescent="0.25">
      <c r="W340" s="37"/>
      <c r="X340" s="52"/>
      <c r="Y340" s="52"/>
      <c r="Z340" s="37"/>
      <c r="AA340" s="18"/>
      <c r="AB340" s="18"/>
      <c r="AC340" s="18"/>
    </row>
    <row r="341" spans="23:29" customFormat="1" x14ac:dyDescent="0.25">
      <c r="W341" s="37"/>
      <c r="X341" s="52"/>
      <c r="Y341" s="52"/>
      <c r="Z341" s="37"/>
      <c r="AA341" s="18"/>
      <c r="AB341" s="18"/>
      <c r="AC341" s="18"/>
    </row>
    <row r="342" spans="23:29" customFormat="1" x14ac:dyDescent="0.25">
      <c r="W342" s="37"/>
      <c r="X342" s="52"/>
      <c r="Y342" s="52"/>
      <c r="Z342" s="37"/>
      <c r="AA342" s="18"/>
      <c r="AB342" s="18"/>
      <c r="AC342" s="18"/>
    </row>
    <row r="343" spans="23:29" customFormat="1" x14ac:dyDescent="0.25">
      <c r="W343" s="37"/>
      <c r="X343" s="52"/>
      <c r="Y343" s="52"/>
      <c r="Z343" s="37"/>
      <c r="AA343" s="18"/>
      <c r="AB343" s="18"/>
      <c r="AC343" s="18"/>
    </row>
    <row r="344" spans="23:29" customFormat="1" x14ac:dyDescent="0.25">
      <c r="W344" s="37"/>
      <c r="X344" s="52"/>
      <c r="Y344" s="52"/>
      <c r="Z344" s="37"/>
      <c r="AA344" s="18"/>
      <c r="AB344" s="18"/>
      <c r="AC344" s="18"/>
    </row>
    <row r="345" spans="23:29" customFormat="1" x14ac:dyDescent="0.25">
      <c r="W345" s="37"/>
      <c r="X345" s="52"/>
      <c r="Y345" s="52"/>
      <c r="Z345" s="37"/>
      <c r="AA345" s="18"/>
      <c r="AB345" s="18"/>
      <c r="AC345" s="18"/>
    </row>
    <row r="346" spans="23:29" customFormat="1" x14ac:dyDescent="0.25">
      <c r="W346" s="37"/>
      <c r="X346" s="52"/>
      <c r="Y346" s="52"/>
      <c r="Z346" s="37"/>
      <c r="AA346" s="18"/>
      <c r="AB346" s="18"/>
      <c r="AC346" s="18"/>
    </row>
    <row r="347" spans="23:29" customFormat="1" x14ac:dyDescent="0.25">
      <c r="W347" s="37"/>
      <c r="X347" s="52"/>
      <c r="Y347" s="52"/>
      <c r="Z347" s="37"/>
      <c r="AA347" s="18"/>
      <c r="AB347" s="18"/>
      <c r="AC347" s="18"/>
    </row>
    <row r="348" spans="23:29" customFormat="1" x14ac:dyDescent="0.25">
      <c r="W348" s="37"/>
      <c r="X348" s="52"/>
      <c r="Y348" s="52"/>
      <c r="Z348" s="37"/>
      <c r="AA348" s="18"/>
      <c r="AB348" s="18"/>
      <c r="AC348" s="18"/>
    </row>
    <row r="349" spans="23:29" customFormat="1" x14ac:dyDescent="0.25">
      <c r="W349" s="37"/>
      <c r="X349" s="52"/>
      <c r="Y349" s="52"/>
      <c r="Z349" s="37"/>
      <c r="AA349" s="18"/>
      <c r="AB349" s="18"/>
      <c r="AC349" s="18"/>
    </row>
    <row r="350" spans="23:29" customFormat="1" x14ac:dyDescent="0.25">
      <c r="W350" s="37"/>
      <c r="X350" s="52"/>
      <c r="Y350" s="52"/>
      <c r="Z350" s="37"/>
      <c r="AA350" s="18"/>
      <c r="AB350" s="18"/>
      <c r="AC350" s="18"/>
    </row>
    <row r="351" spans="23:29" customFormat="1" x14ac:dyDescent="0.25">
      <c r="W351" s="37"/>
      <c r="X351" s="52"/>
      <c r="Y351" s="52"/>
      <c r="Z351" s="37"/>
      <c r="AA351" s="18"/>
      <c r="AB351" s="18"/>
      <c r="AC351" s="18"/>
    </row>
    <row r="352" spans="23:29" customFormat="1" x14ac:dyDescent="0.25">
      <c r="W352" s="37"/>
      <c r="X352" s="52"/>
      <c r="Y352" s="52"/>
      <c r="Z352" s="37"/>
      <c r="AA352" s="18"/>
      <c r="AB352" s="18"/>
      <c r="AC352" s="18"/>
    </row>
    <row r="353" spans="23:29" customFormat="1" x14ac:dyDescent="0.25">
      <c r="W353" s="37"/>
      <c r="X353" s="52"/>
      <c r="Y353" s="52"/>
      <c r="Z353" s="37"/>
      <c r="AA353" s="18"/>
      <c r="AB353" s="18"/>
      <c r="AC353" s="18"/>
    </row>
    <row r="354" spans="23:29" customFormat="1" x14ac:dyDescent="0.25">
      <c r="W354" s="37"/>
      <c r="X354" s="52"/>
      <c r="Y354" s="52"/>
      <c r="Z354" s="37"/>
      <c r="AA354" s="18"/>
      <c r="AB354" s="18"/>
      <c r="AC354" s="18"/>
    </row>
    <row r="355" spans="23:29" customFormat="1" x14ac:dyDescent="0.25">
      <c r="W355" s="37"/>
      <c r="X355" s="52"/>
      <c r="Y355" s="52"/>
      <c r="Z355" s="37"/>
      <c r="AA355" s="18"/>
      <c r="AB355" s="18"/>
      <c r="AC355" s="18"/>
    </row>
    <row r="356" spans="23:29" customFormat="1" x14ac:dyDescent="0.25">
      <c r="W356" s="37"/>
      <c r="X356" s="52"/>
      <c r="Y356" s="52"/>
      <c r="Z356" s="37"/>
      <c r="AA356" s="18"/>
      <c r="AB356" s="18"/>
      <c r="AC356" s="18"/>
    </row>
    <row r="357" spans="23:29" customFormat="1" x14ac:dyDescent="0.25">
      <c r="W357" s="37"/>
      <c r="X357" s="52"/>
      <c r="Y357" s="52"/>
      <c r="Z357" s="37"/>
      <c r="AA357" s="18"/>
      <c r="AB357" s="18"/>
      <c r="AC357" s="18"/>
    </row>
    <row r="358" spans="23:29" customFormat="1" x14ac:dyDescent="0.25">
      <c r="W358" s="37"/>
      <c r="X358" s="52"/>
      <c r="Y358" s="52"/>
      <c r="Z358" s="37"/>
      <c r="AA358" s="18"/>
      <c r="AB358" s="18"/>
      <c r="AC358" s="18"/>
    </row>
    <row r="359" spans="23:29" customFormat="1" x14ac:dyDescent="0.25">
      <c r="W359" s="37"/>
      <c r="X359" s="52"/>
      <c r="Y359" s="52"/>
      <c r="Z359" s="37"/>
      <c r="AA359" s="18"/>
      <c r="AB359" s="18"/>
      <c r="AC359" s="18"/>
    </row>
    <row r="360" spans="23:29" customFormat="1" x14ac:dyDescent="0.25">
      <c r="W360" s="37"/>
      <c r="X360" s="52"/>
      <c r="Y360" s="52"/>
      <c r="Z360" s="37"/>
      <c r="AA360" s="18"/>
      <c r="AB360" s="18"/>
      <c r="AC360" s="18"/>
    </row>
    <row r="361" spans="23:29" customFormat="1" x14ac:dyDescent="0.25">
      <c r="W361" s="37"/>
      <c r="X361" s="52"/>
      <c r="Y361" s="52"/>
      <c r="Z361" s="37"/>
      <c r="AA361" s="18"/>
      <c r="AB361" s="18"/>
      <c r="AC361" s="18"/>
    </row>
    <row r="362" spans="23:29" customFormat="1" x14ac:dyDescent="0.25">
      <c r="W362" s="37"/>
      <c r="X362" s="52"/>
      <c r="Y362" s="52"/>
      <c r="Z362" s="37"/>
      <c r="AA362" s="18"/>
      <c r="AB362" s="18"/>
      <c r="AC362" s="18"/>
    </row>
    <row r="363" spans="23:29" customFormat="1" x14ac:dyDescent="0.25">
      <c r="W363" s="37"/>
      <c r="X363" s="52"/>
      <c r="Y363" s="52"/>
      <c r="Z363" s="37"/>
      <c r="AA363" s="18"/>
      <c r="AB363" s="18"/>
      <c r="AC363" s="18"/>
    </row>
    <row r="364" spans="23:29" customFormat="1" x14ac:dyDescent="0.25">
      <c r="W364" s="37"/>
      <c r="X364" s="52"/>
      <c r="Y364" s="52"/>
      <c r="Z364" s="37"/>
      <c r="AA364" s="18"/>
      <c r="AB364" s="18"/>
      <c r="AC364" s="18"/>
    </row>
    <row r="365" spans="23:29" customFormat="1" x14ac:dyDescent="0.25">
      <c r="W365" s="37"/>
      <c r="X365" s="52"/>
      <c r="Y365" s="52"/>
      <c r="Z365" s="37"/>
      <c r="AA365" s="18"/>
      <c r="AB365" s="18"/>
      <c r="AC365" s="18"/>
    </row>
    <row r="366" spans="23:29" customFormat="1" x14ac:dyDescent="0.25">
      <c r="W366" s="37"/>
      <c r="X366" s="52"/>
      <c r="Y366" s="52"/>
      <c r="Z366" s="37"/>
      <c r="AA366" s="18"/>
      <c r="AB366" s="18"/>
      <c r="AC366" s="18"/>
    </row>
    <row r="367" spans="23:29" customFormat="1" x14ac:dyDescent="0.25">
      <c r="W367" s="37"/>
      <c r="X367" s="52"/>
      <c r="Y367" s="52"/>
      <c r="Z367" s="37"/>
      <c r="AA367" s="18"/>
      <c r="AB367" s="18"/>
      <c r="AC367" s="18"/>
    </row>
    <row r="368" spans="23:29" customFormat="1" x14ac:dyDescent="0.25">
      <c r="W368" s="37"/>
      <c r="X368" s="52"/>
      <c r="Y368" s="52"/>
      <c r="Z368" s="37"/>
      <c r="AA368" s="18"/>
      <c r="AB368" s="18"/>
      <c r="AC368" s="18"/>
    </row>
    <row r="369" spans="23:29" customFormat="1" x14ac:dyDescent="0.25">
      <c r="W369" s="37"/>
      <c r="X369" s="52"/>
      <c r="Y369" s="52"/>
      <c r="Z369" s="37"/>
      <c r="AA369" s="18"/>
      <c r="AB369" s="18"/>
      <c r="AC369" s="18"/>
    </row>
    <row r="370" spans="23:29" customFormat="1" x14ac:dyDescent="0.25">
      <c r="W370" s="37"/>
      <c r="X370" s="52"/>
      <c r="Y370" s="52"/>
      <c r="Z370" s="37"/>
      <c r="AA370" s="18"/>
      <c r="AB370" s="18"/>
      <c r="AC370" s="18"/>
    </row>
    <row r="371" spans="23:29" customFormat="1" x14ac:dyDescent="0.25">
      <c r="W371" s="37"/>
      <c r="X371" s="52"/>
      <c r="Y371" s="52"/>
      <c r="Z371" s="37"/>
      <c r="AA371" s="18"/>
      <c r="AB371" s="18"/>
      <c r="AC371" s="18"/>
    </row>
    <row r="372" spans="23:29" customFormat="1" x14ac:dyDescent="0.25">
      <c r="W372" s="37"/>
      <c r="X372" s="52"/>
      <c r="Y372" s="52"/>
      <c r="Z372" s="37"/>
      <c r="AA372" s="18"/>
      <c r="AB372" s="18"/>
      <c r="AC372" s="18"/>
    </row>
    <row r="373" spans="23:29" customFormat="1" x14ac:dyDescent="0.25">
      <c r="W373" s="37"/>
      <c r="X373" s="52"/>
      <c r="Y373" s="52"/>
      <c r="Z373" s="37"/>
      <c r="AA373" s="18"/>
      <c r="AB373" s="18"/>
      <c r="AC373" s="18"/>
    </row>
    <row r="374" spans="23:29" customFormat="1" x14ac:dyDescent="0.25">
      <c r="W374" s="37"/>
      <c r="X374" s="52"/>
      <c r="Y374" s="52"/>
      <c r="Z374" s="37"/>
      <c r="AA374" s="18"/>
      <c r="AB374" s="18"/>
      <c r="AC374" s="18"/>
    </row>
    <row r="375" spans="23:29" customFormat="1" x14ac:dyDescent="0.25">
      <c r="W375" s="37"/>
      <c r="X375" s="52"/>
      <c r="Y375" s="52"/>
      <c r="Z375" s="37"/>
      <c r="AA375" s="18"/>
      <c r="AB375" s="18"/>
      <c r="AC375" s="18"/>
    </row>
    <row r="376" spans="23:29" customFormat="1" x14ac:dyDescent="0.25">
      <c r="W376" s="37"/>
      <c r="X376" s="52"/>
      <c r="Y376" s="52"/>
      <c r="Z376" s="37"/>
      <c r="AA376" s="18"/>
      <c r="AB376" s="18"/>
      <c r="AC376" s="18"/>
    </row>
    <row r="377" spans="23:29" customFormat="1" x14ac:dyDescent="0.25">
      <c r="W377" s="37"/>
      <c r="X377" s="52"/>
      <c r="Y377" s="52"/>
      <c r="Z377" s="37"/>
      <c r="AA377" s="18"/>
      <c r="AB377" s="18"/>
      <c r="AC377" s="18"/>
    </row>
    <row r="378" spans="23:29" customFormat="1" x14ac:dyDescent="0.25">
      <c r="W378" s="37"/>
      <c r="X378" s="52"/>
      <c r="Y378" s="52"/>
      <c r="Z378" s="37"/>
      <c r="AA378" s="18"/>
      <c r="AB378" s="18"/>
      <c r="AC378" s="18"/>
    </row>
    <row r="379" spans="23:29" customFormat="1" x14ac:dyDescent="0.25">
      <c r="W379" s="37"/>
      <c r="X379" s="52"/>
      <c r="Y379" s="52"/>
      <c r="Z379" s="37"/>
      <c r="AA379" s="18"/>
      <c r="AB379" s="18"/>
      <c r="AC379" s="18"/>
    </row>
    <row r="380" spans="23:29" customFormat="1" x14ac:dyDescent="0.25">
      <c r="W380" s="37"/>
      <c r="X380" s="52"/>
      <c r="Y380" s="52"/>
      <c r="Z380" s="37"/>
      <c r="AA380" s="18"/>
      <c r="AB380" s="18"/>
      <c r="AC380" s="18"/>
    </row>
    <row r="381" spans="23:29" customFormat="1" x14ac:dyDescent="0.25">
      <c r="W381" s="37"/>
      <c r="X381" s="52"/>
      <c r="Y381" s="52"/>
      <c r="Z381" s="37"/>
      <c r="AA381" s="18"/>
      <c r="AB381" s="18"/>
      <c r="AC381" s="18"/>
    </row>
    <row r="382" spans="23:29" customFormat="1" x14ac:dyDescent="0.25">
      <c r="W382" s="37"/>
      <c r="X382" s="52"/>
      <c r="Y382" s="52"/>
      <c r="Z382" s="37"/>
      <c r="AA382" s="18"/>
      <c r="AB382" s="18"/>
      <c r="AC382" s="18"/>
    </row>
    <row r="383" spans="23:29" customFormat="1" x14ac:dyDescent="0.25">
      <c r="W383" s="37"/>
      <c r="X383" s="52"/>
      <c r="Y383" s="52"/>
      <c r="Z383" s="37"/>
      <c r="AA383" s="18"/>
      <c r="AB383" s="18"/>
      <c r="AC383" s="18"/>
    </row>
    <row r="384" spans="23:29" customFormat="1" x14ac:dyDescent="0.25">
      <c r="W384" s="37"/>
      <c r="X384" s="52"/>
      <c r="Y384" s="52"/>
      <c r="Z384" s="37"/>
      <c r="AA384" s="18"/>
      <c r="AB384" s="18"/>
      <c r="AC384" s="18"/>
    </row>
    <row r="385" spans="23:29" customFormat="1" x14ac:dyDescent="0.25">
      <c r="W385" s="37"/>
      <c r="X385" s="52"/>
      <c r="Y385" s="52"/>
      <c r="Z385" s="37"/>
      <c r="AA385" s="18"/>
      <c r="AB385" s="18"/>
      <c r="AC385" s="18"/>
    </row>
    <row r="386" spans="23:29" customFormat="1" x14ac:dyDescent="0.25">
      <c r="W386" s="37"/>
      <c r="X386" s="52"/>
      <c r="Y386" s="52"/>
      <c r="Z386" s="37"/>
      <c r="AA386" s="18"/>
      <c r="AB386" s="18"/>
      <c r="AC386" s="18"/>
    </row>
    <row r="387" spans="23:29" customFormat="1" x14ac:dyDescent="0.25">
      <c r="W387" s="37"/>
      <c r="X387" s="52"/>
      <c r="Y387" s="52"/>
      <c r="Z387" s="37"/>
      <c r="AA387" s="18"/>
      <c r="AB387" s="18"/>
      <c r="AC387" s="18"/>
    </row>
    <row r="388" spans="23:29" customFormat="1" x14ac:dyDescent="0.25">
      <c r="W388" s="37"/>
      <c r="X388" s="52"/>
      <c r="Y388" s="52"/>
      <c r="Z388" s="37"/>
      <c r="AA388" s="18"/>
      <c r="AB388" s="18"/>
      <c r="AC388" s="18"/>
    </row>
    <row r="389" spans="23:29" customFormat="1" x14ac:dyDescent="0.25">
      <c r="W389" s="37"/>
      <c r="X389" s="52"/>
      <c r="Y389" s="52"/>
      <c r="Z389" s="37"/>
      <c r="AA389" s="18"/>
      <c r="AB389" s="18"/>
      <c r="AC389" s="18"/>
    </row>
    <row r="390" spans="23:29" customFormat="1" x14ac:dyDescent="0.25">
      <c r="W390" s="37"/>
      <c r="X390" s="52"/>
      <c r="Y390" s="52"/>
      <c r="Z390" s="37"/>
      <c r="AA390" s="18"/>
      <c r="AB390" s="18"/>
      <c r="AC390" s="18"/>
    </row>
    <row r="391" spans="23:29" customFormat="1" x14ac:dyDescent="0.25">
      <c r="W391" s="37"/>
      <c r="X391" s="52"/>
      <c r="Y391" s="52"/>
      <c r="Z391" s="37"/>
      <c r="AA391" s="18"/>
      <c r="AB391" s="18"/>
      <c r="AC391" s="18"/>
    </row>
    <row r="392" spans="23:29" customFormat="1" x14ac:dyDescent="0.25">
      <c r="W392" s="37"/>
      <c r="X392" s="52"/>
      <c r="Y392" s="52"/>
      <c r="Z392" s="37"/>
      <c r="AA392" s="18"/>
      <c r="AB392" s="18"/>
      <c r="AC392" s="18"/>
    </row>
    <row r="393" spans="23:29" customFormat="1" x14ac:dyDescent="0.25">
      <c r="W393" s="37"/>
      <c r="X393" s="52"/>
      <c r="Y393" s="52"/>
      <c r="Z393" s="37"/>
      <c r="AA393" s="18"/>
      <c r="AB393" s="18"/>
      <c r="AC393" s="18"/>
    </row>
    <row r="394" spans="23:29" customFormat="1" x14ac:dyDescent="0.25">
      <c r="W394" s="37"/>
      <c r="X394" s="52"/>
      <c r="Y394" s="52"/>
      <c r="Z394" s="37"/>
      <c r="AA394" s="18"/>
      <c r="AB394" s="18"/>
      <c r="AC394" s="18"/>
    </row>
    <row r="395" spans="23:29" customFormat="1" x14ac:dyDescent="0.25">
      <c r="W395" s="37"/>
      <c r="X395" s="52"/>
      <c r="Y395" s="52"/>
      <c r="Z395" s="37"/>
      <c r="AA395" s="18"/>
      <c r="AB395" s="18"/>
      <c r="AC395" s="18"/>
    </row>
    <row r="396" spans="23:29" customFormat="1" x14ac:dyDescent="0.25">
      <c r="W396" s="37"/>
      <c r="X396" s="52"/>
      <c r="Y396" s="52"/>
      <c r="Z396" s="37"/>
      <c r="AA396" s="18"/>
      <c r="AB396" s="18"/>
      <c r="AC396" s="18"/>
    </row>
    <row r="397" spans="23:29" customFormat="1" x14ac:dyDescent="0.25">
      <c r="W397" s="37"/>
      <c r="X397" s="52"/>
      <c r="Y397" s="52"/>
      <c r="Z397" s="37"/>
      <c r="AA397" s="18"/>
      <c r="AB397" s="18"/>
      <c r="AC397" s="18"/>
    </row>
    <row r="398" spans="23:29" customFormat="1" x14ac:dyDescent="0.25">
      <c r="W398" s="37"/>
      <c r="X398" s="52"/>
      <c r="Y398" s="52"/>
      <c r="Z398" s="37"/>
      <c r="AA398" s="18"/>
      <c r="AB398" s="18"/>
      <c r="AC398" s="18"/>
    </row>
    <row r="399" spans="23:29" customFormat="1" x14ac:dyDescent="0.25">
      <c r="W399" s="37"/>
      <c r="X399" s="52"/>
      <c r="Y399" s="52"/>
      <c r="Z399" s="37"/>
      <c r="AA399" s="18"/>
      <c r="AB399" s="18"/>
      <c r="AC399" s="18"/>
    </row>
    <row r="400" spans="23:29" customFormat="1" x14ac:dyDescent="0.25">
      <c r="W400" s="37"/>
      <c r="X400" s="52"/>
      <c r="Y400" s="52"/>
      <c r="Z400" s="37"/>
      <c r="AA400" s="18"/>
      <c r="AB400" s="18"/>
      <c r="AC400" s="18"/>
    </row>
    <row r="401" spans="23:29" customFormat="1" x14ac:dyDescent="0.25">
      <c r="W401" s="37"/>
      <c r="X401" s="52"/>
      <c r="Y401" s="52"/>
      <c r="Z401" s="37"/>
      <c r="AA401" s="18"/>
      <c r="AB401" s="18"/>
      <c r="AC401" s="18"/>
    </row>
    <row r="402" spans="23:29" customFormat="1" x14ac:dyDescent="0.25">
      <c r="W402" s="37"/>
      <c r="X402" s="52"/>
      <c r="Y402" s="52"/>
      <c r="Z402" s="37"/>
      <c r="AA402" s="18"/>
      <c r="AB402" s="18"/>
      <c r="AC402" s="18"/>
    </row>
    <row r="403" spans="23:29" customFormat="1" x14ac:dyDescent="0.25">
      <c r="W403" s="37"/>
      <c r="X403" s="52"/>
      <c r="Y403" s="52"/>
      <c r="Z403" s="37"/>
      <c r="AA403" s="18"/>
      <c r="AB403" s="18"/>
      <c r="AC403" s="18"/>
    </row>
    <row r="404" spans="23:29" customFormat="1" x14ac:dyDescent="0.25">
      <c r="W404" s="37"/>
      <c r="X404" s="52"/>
      <c r="Y404" s="52"/>
      <c r="Z404" s="37"/>
      <c r="AA404" s="18"/>
      <c r="AB404" s="18"/>
      <c r="AC404" s="18"/>
    </row>
    <row r="405" spans="23:29" customFormat="1" x14ac:dyDescent="0.25">
      <c r="W405" s="37"/>
      <c r="X405" s="52"/>
      <c r="Y405" s="52"/>
      <c r="Z405" s="37"/>
      <c r="AA405" s="18"/>
      <c r="AB405" s="18"/>
      <c r="AC405" s="18"/>
    </row>
    <row r="406" spans="23:29" customFormat="1" x14ac:dyDescent="0.25">
      <c r="W406" s="37"/>
      <c r="X406" s="52"/>
      <c r="Y406" s="52"/>
      <c r="Z406" s="37"/>
      <c r="AA406" s="18"/>
      <c r="AB406" s="18"/>
      <c r="AC406" s="18"/>
    </row>
    <row r="407" spans="23:29" customFormat="1" x14ac:dyDescent="0.25">
      <c r="W407" s="37"/>
      <c r="X407" s="52"/>
      <c r="Y407" s="52"/>
      <c r="Z407" s="37"/>
      <c r="AA407" s="18"/>
      <c r="AB407" s="18"/>
      <c r="AC407" s="18"/>
    </row>
    <row r="408" spans="23:29" customFormat="1" x14ac:dyDescent="0.25">
      <c r="W408" s="37"/>
      <c r="X408" s="52"/>
      <c r="Y408" s="52"/>
      <c r="Z408" s="37"/>
      <c r="AA408" s="18"/>
      <c r="AB408" s="18"/>
      <c r="AC408" s="18"/>
    </row>
    <row r="409" spans="23:29" customFormat="1" x14ac:dyDescent="0.25">
      <c r="W409" s="37"/>
      <c r="X409" s="52"/>
      <c r="Y409" s="52"/>
      <c r="Z409" s="37"/>
      <c r="AA409" s="18"/>
      <c r="AB409" s="18"/>
      <c r="AC409" s="18"/>
    </row>
    <row r="410" spans="23:29" customFormat="1" x14ac:dyDescent="0.25">
      <c r="W410" s="37"/>
      <c r="X410" s="52"/>
      <c r="Y410" s="52"/>
      <c r="Z410" s="37"/>
      <c r="AA410" s="18"/>
      <c r="AB410" s="18"/>
      <c r="AC410" s="18"/>
    </row>
    <row r="411" spans="23:29" customFormat="1" x14ac:dyDescent="0.25">
      <c r="W411" s="37"/>
      <c r="X411" s="52"/>
      <c r="Y411" s="52"/>
      <c r="Z411" s="37"/>
      <c r="AA411" s="18"/>
      <c r="AB411" s="18"/>
      <c r="AC411" s="18"/>
    </row>
    <row r="412" spans="23:29" customFormat="1" x14ac:dyDescent="0.25">
      <c r="W412" s="37"/>
      <c r="X412" s="52"/>
      <c r="Y412" s="52"/>
      <c r="Z412" s="37"/>
      <c r="AA412" s="18"/>
      <c r="AB412" s="18"/>
      <c r="AC412" s="18"/>
    </row>
    <row r="413" spans="23:29" customFormat="1" x14ac:dyDescent="0.25">
      <c r="W413" s="37"/>
      <c r="X413" s="52"/>
      <c r="Y413" s="52"/>
      <c r="Z413" s="37"/>
      <c r="AA413" s="18"/>
      <c r="AB413" s="18"/>
      <c r="AC413" s="18"/>
    </row>
    <row r="414" spans="23:29" customFormat="1" x14ac:dyDescent="0.25">
      <c r="W414" s="37"/>
      <c r="X414" s="52"/>
      <c r="Y414" s="52"/>
      <c r="Z414" s="37"/>
      <c r="AA414" s="18"/>
      <c r="AB414" s="18"/>
      <c r="AC414" s="18"/>
    </row>
    <row r="415" spans="23:29" customFormat="1" x14ac:dyDescent="0.25">
      <c r="W415" s="37"/>
      <c r="X415" s="52"/>
      <c r="Y415" s="52"/>
      <c r="Z415" s="37"/>
      <c r="AA415" s="18"/>
      <c r="AB415" s="18"/>
      <c r="AC415" s="18"/>
    </row>
    <row r="416" spans="23:29" customFormat="1" x14ac:dyDescent="0.25">
      <c r="W416" s="37"/>
      <c r="X416" s="52"/>
      <c r="Y416" s="52"/>
      <c r="Z416" s="37"/>
      <c r="AA416" s="18"/>
      <c r="AB416" s="18"/>
      <c r="AC416" s="18"/>
    </row>
    <row r="417" spans="23:29" customFormat="1" x14ac:dyDescent="0.25">
      <c r="W417" s="37"/>
      <c r="X417" s="52"/>
      <c r="Y417" s="52"/>
      <c r="Z417" s="37"/>
      <c r="AA417" s="18"/>
      <c r="AB417" s="18"/>
      <c r="AC417" s="18"/>
    </row>
    <row r="418" spans="23:29" customFormat="1" x14ac:dyDescent="0.25">
      <c r="W418" s="37"/>
      <c r="X418" s="52"/>
      <c r="Y418" s="52"/>
      <c r="Z418" s="37"/>
      <c r="AA418" s="18"/>
      <c r="AB418" s="18"/>
      <c r="AC418" s="18"/>
    </row>
    <row r="419" spans="23:29" customFormat="1" x14ac:dyDescent="0.25">
      <c r="W419" s="37"/>
      <c r="X419" s="52"/>
      <c r="Y419" s="52"/>
      <c r="Z419" s="37"/>
      <c r="AA419" s="18"/>
      <c r="AB419" s="18"/>
      <c r="AC419" s="18"/>
    </row>
    <row r="420" spans="23:29" customFormat="1" x14ac:dyDescent="0.25">
      <c r="W420" s="37"/>
      <c r="X420" s="52"/>
      <c r="Y420" s="52"/>
      <c r="Z420" s="37"/>
      <c r="AA420" s="18"/>
      <c r="AB420" s="18"/>
      <c r="AC420" s="18"/>
    </row>
    <row r="421" spans="23:29" customFormat="1" x14ac:dyDescent="0.25">
      <c r="W421" s="37"/>
      <c r="X421" s="52"/>
      <c r="Y421" s="52"/>
      <c r="Z421" s="37"/>
      <c r="AA421" s="18"/>
      <c r="AB421" s="18"/>
      <c r="AC421" s="18"/>
    </row>
    <row r="422" spans="23:29" customFormat="1" x14ac:dyDescent="0.25">
      <c r="W422" s="37"/>
      <c r="X422" s="52"/>
      <c r="Y422" s="52"/>
      <c r="Z422" s="37"/>
      <c r="AA422" s="18"/>
      <c r="AB422" s="18"/>
      <c r="AC422" s="18"/>
    </row>
    <row r="423" spans="23:29" customFormat="1" x14ac:dyDescent="0.25">
      <c r="W423" s="37"/>
      <c r="X423" s="52"/>
      <c r="Y423" s="52"/>
      <c r="Z423" s="37"/>
      <c r="AA423" s="18"/>
      <c r="AB423" s="18"/>
      <c r="AC423" s="18"/>
    </row>
    <row r="424" spans="23:29" customFormat="1" x14ac:dyDescent="0.25">
      <c r="W424" s="37"/>
      <c r="X424" s="52"/>
      <c r="Y424" s="52"/>
      <c r="Z424" s="37"/>
      <c r="AA424" s="18"/>
      <c r="AB424" s="18"/>
      <c r="AC424" s="18"/>
    </row>
    <row r="425" spans="23:29" customFormat="1" x14ac:dyDescent="0.25">
      <c r="W425" s="37"/>
      <c r="X425" s="52"/>
      <c r="Y425" s="52"/>
      <c r="Z425" s="37"/>
      <c r="AA425" s="18"/>
      <c r="AB425" s="18"/>
      <c r="AC425" s="18"/>
    </row>
    <row r="426" spans="23:29" customFormat="1" x14ac:dyDescent="0.25">
      <c r="W426" s="37"/>
      <c r="X426" s="52"/>
      <c r="Y426" s="52"/>
      <c r="Z426" s="37"/>
      <c r="AA426" s="18"/>
      <c r="AB426" s="18"/>
      <c r="AC426" s="18"/>
    </row>
    <row r="427" spans="23:29" customFormat="1" x14ac:dyDescent="0.25">
      <c r="W427" s="37"/>
      <c r="X427" s="52"/>
      <c r="Y427" s="52"/>
      <c r="Z427" s="37"/>
      <c r="AA427" s="18"/>
      <c r="AB427" s="18"/>
      <c r="AC427" s="18"/>
    </row>
    <row r="428" spans="23:29" customFormat="1" x14ac:dyDescent="0.25">
      <c r="W428" s="37"/>
      <c r="X428" s="52"/>
      <c r="Y428" s="52"/>
      <c r="Z428" s="37"/>
      <c r="AA428" s="18"/>
      <c r="AB428" s="18"/>
      <c r="AC428" s="18"/>
    </row>
    <row r="429" spans="23:29" customFormat="1" x14ac:dyDescent="0.25">
      <c r="W429" s="37"/>
      <c r="X429" s="52"/>
      <c r="Y429" s="52"/>
      <c r="Z429" s="37"/>
      <c r="AA429" s="18"/>
      <c r="AB429" s="18"/>
      <c r="AC429" s="18"/>
    </row>
    <row r="430" spans="23:29" customFormat="1" x14ac:dyDescent="0.25">
      <c r="W430" s="37"/>
      <c r="X430" s="52"/>
      <c r="Y430" s="52"/>
      <c r="Z430" s="37"/>
      <c r="AA430" s="18"/>
      <c r="AB430" s="18"/>
      <c r="AC430" s="18"/>
    </row>
    <row r="431" spans="23:29" customFormat="1" x14ac:dyDescent="0.25">
      <c r="W431" s="37"/>
      <c r="X431" s="52"/>
      <c r="Y431" s="52"/>
      <c r="Z431" s="37"/>
      <c r="AA431" s="18"/>
      <c r="AB431" s="18"/>
      <c r="AC431" s="18"/>
    </row>
    <row r="432" spans="23:29" customFormat="1" x14ac:dyDescent="0.25">
      <c r="W432" s="37"/>
      <c r="X432" s="52"/>
      <c r="Y432" s="52"/>
      <c r="Z432" s="37"/>
      <c r="AA432" s="18"/>
      <c r="AB432" s="18"/>
      <c r="AC432" s="18"/>
    </row>
    <row r="433" spans="23:29" customFormat="1" x14ac:dyDescent="0.25">
      <c r="W433" s="37"/>
      <c r="X433" s="52"/>
      <c r="Y433" s="52"/>
      <c r="Z433" s="37"/>
      <c r="AA433" s="18"/>
      <c r="AB433" s="18"/>
      <c r="AC433" s="18"/>
    </row>
    <row r="434" spans="23:29" customFormat="1" x14ac:dyDescent="0.25">
      <c r="W434" s="37"/>
      <c r="X434" s="52"/>
      <c r="Y434" s="52"/>
      <c r="Z434" s="37"/>
      <c r="AA434" s="18"/>
      <c r="AB434" s="18"/>
      <c r="AC434" s="18"/>
    </row>
    <row r="435" spans="23:29" customFormat="1" x14ac:dyDescent="0.25">
      <c r="W435" s="37"/>
      <c r="X435" s="52"/>
      <c r="Y435" s="52"/>
      <c r="Z435" s="37"/>
      <c r="AA435" s="18"/>
      <c r="AB435" s="18"/>
      <c r="AC435" s="18"/>
    </row>
    <row r="436" spans="23:29" customFormat="1" x14ac:dyDescent="0.25">
      <c r="W436" s="37"/>
      <c r="X436" s="52"/>
      <c r="Y436" s="52"/>
      <c r="Z436" s="37"/>
      <c r="AA436" s="18"/>
      <c r="AB436" s="18"/>
      <c r="AC436" s="18"/>
    </row>
    <row r="437" spans="23:29" customFormat="1" x14ac:dyDescent="0.25">
      <c r="W437" s="37"/>
      <c r="X437" s="52"/>
      <c r="Y437" s="52"/>
      <c r="Z437" s="37"/>
      <c r="AA437" s="18"/>
      <c r="AB437" s="18"/>
      <c r="AC437" s="18"/>
    </row>
    <row r="438" spans="23:29" customFormat="1" x14ac:dyDescent="0.25">
      <c r="W438" s="37"/>
      <c r="X438" s="52"/>
      <c r="Y438" s="52"/>
      <c r="Z438" s="37"/>
      <c r="AA438" s="18"/>
      <c r="AB438" s="18"/>
      <c r="AC438" s="18"/>
    </row>
    <row r="439" spans="23:29" customFormat="1" x14ac:dyDescent="0.25">
      <c r="W439" s="37"/>
      <c r="X439" s="52"/>
      <c r="Y439" s="52"/>
      <c r="Z439" s="37"/>
      <c r="AA439" s="18"/>
      <c r="AB439" s="18"/>
      <c r="AC439" s="18"/>
    </row>
    <row r="440" spans="23:29" customFormat="1" x14ac:dyDescent="0.25">
      <c r="W440" s="37"/>
      <c r="X440" s="52"/>
      <c r="Y440" s="52"/>
      <c r="Z440" s="37"/>
      <c r="AA440" s="18"/>
      <c r="AB440" s="18"/>
      <c r="AC440" s="18"/>
    </row>
    <row r="441" spans="23:29" customFormat="1" x14ac:dyDescent="0.25">
      <c r="W441" s="37"/>
      <c r="X441" s="52"/>
      <c r="Y441" s="52"/>
      <c r="Z441" s="37"/>
      <c r="AA441" s="18"/>
      <c r="AB441" s="18"/>
      <c r="AC441" s="18"/>
    </row>
    <row r="442" spans="23:29" customFormat="1" x14ac:dyDescent="0.25">
      <c r="W442" s="37"/>
      <c r="X442" s="52"/>
      <c r="Y442" s="52"/>
      <c r="Z442" s="37"/>
      <c r="AA442" s="18"/>
      <c r="AB442" s="18"/>
      <c r="AC442" s="18"/>
    </row>
    <row r="443" spans="23:29" customFormat="1" x14ac:dyDescent="0.25">
      <c r="W443" s="37"/>
      <c r="X443" s="52"/>
      <c r="Y443" s="52"/>
      <c r="Z443" s="37"/>
      <c r="AA443" s="18"/>
      <c r="AB443" s="18"/>
      <c r="AC443" s="18"/>
    </row>
    <row r="444" spans="23:29" customFormat="1" x14ac:dyDescent="0.25">
      <c r="W444" s="37"/>
      <c r="X444" s="52"/>
      <c r="Y444" s="52"/>
      <c r="Z444" s="37"/>
      <c r="AA444" s="18"/>
      <c r="AB444" s="18"/>
      <c r="AC444" s="18"/>
    </row>
    <row r="445" spans="23:29" customFormat="1" x14ac:dyDescent="0.25">
      <c r="W445" s="37"/>
      <c r="X445" s="52"/>
      <c r="Y445" s="52"/>
      <c r="Z445" s="37"/>
      <c r="AA445" s="18"/>
      <c r="AB445" s="18"/>
      <c r="AC445" s="18"/>
    </row>
    <row r="446" spans="23:29" customFormat="1" x14ac:dyDescent="0.25">
      <c r="W446" s="37"/>
      <c r="X446" s="52"/>
      <c r="Y446" s="52"/>
      <c r="Z446" s="37"/>
      <c r="AA446" s="18"/>
      <c r="AB446" s="18"/>
      <c r="AC446" s="18"/>
    </row>
    <row r="447" spans="23:29" customFormat="1" x14ac:dyDescent="0.25">
      <c r="W447" s="37"/>
      <c r="X447" s="52"/>
      <c r="Y447" s="52"/>
      <c r="Z447" s="37"/>
      <c r="AA447" s="18"/>
      <c r="AB447" s="18"/>
      <c r="AC447" s="18"/>
    </row>
    <row r="448" spans="23:29" customFormat="1" x14ac:dyDescent="0.25">
      <c r="W448" s="37"/>
      <c r="X448" s="52"/>
      <c r="Y448" s="52"/>
      <c r="Z448" s="37"/>
      <c r="AA448" s="18"/>
      <c r="AB448" s="18"/>
      <c r="AC448" s="18"/>
    </row>
    <row r="449" spans="23:29" customFormat="1" x14ac:dyDescent="0.25">
      <c r="W449" s="37"/>
      <c r="X449" s="52"/>
      <c r="Y449" s="52"/>
      <c r="Z449" s="37"/>
      <c r="AA449" s="18"/>
      <c r="AB449" s="18"/>
      <c r="AC449" s="18"/>
    </row>
    <row r="450" spans="23:29" customFormat="1" x14ac:dyDescent="0.25">
      <c r="W450" s="37"/>
      <c r="X450" s="52"/>
      <c r="Y450" s="52"/>
      <c r="Z450" s="37"/>
      <c r="AA450" s="18"/>
      <c r="AB450" s="18"/>
      <c r="AC450" s="18"/>
    </row>
    <row r="451" spans="23:29" customFormat="1" x14ac:dyDescent="0.25">
      <c r="W451" s="37"/>
      <c r="X451" s="52"/>
      <c r="Y451" s="52"/>
      <c r="Z451" s="37"/>
      <c r="AA451" s="18"/>
      <c r="AB451" s="18"/>
      <c r="AC451" s="18"/>
    </row>
    <row r="452" spans="23:29" customFormat="1" x14ac:dyDescent="0.25">
      <c r="W452" s="37"/>
      <c r="X452" s="52"/>
      <c r="Y452" s="52"/>
      <c r="Z452" s="37"/>
      <c r="AA452" s="18"/>
      <c r="AB452" s="18"/>
      <c r="AC452" s="18"/>
    </row>
    <row r="453" spans="23:29" customFormat="1" x14ac:dyDescent="0.25">
      <c r="W453" s="37"/>
      <c r="X453" s="52"/>
      <c r="Y453" s="52"/>
      <c r="Z453" s="37"/>
      <c r="AA453" s="18"/>
      <c r="AB453" s="18"/>
      <c r="AC453" s="18"/>
    </row>
    <row r="454" spans="23:29" customFormat="1" x14ac:dyDescent="0.25">
      <c r="W454" s="37"/>
      <c r="X454" s="52"/>
      <c r="Y454" s="52"/>
      <c r="Z454" s="37"/>
      <c r="AA454" s="18"/>
      <c r="AB454" s="18"/>
      <c r="AC454" s="18"/>
    </row>
    <row r="455" spans="23:29" customFormat="1" x14ac:dyDescent="0.25">
      <c r="W455" s="37"/>
      <c r="X455" s="52"/>
      <c r="Y455" s="52"/>
      <c r="Z455" s="37"/>
      <c r="AA455" s="18"/>
      <c r="AB455" s="18"/>
      <c r="AC455" s="18"/>
    </row>
    <row r="456" spans="23:29" customFormat="1" x14ac:dyDescent="0.25">
      <c r="W456" s="37"/>
      <c r="X456" s="52"/>
      <c r="Y456" s="52"/>
      <c r="Z456" s="37"/>
      <c r="AA456" s="18"/>
      <c r="AB456" s="18"/>
      <c r="AC456" s="18"/>
    </row>
    <row r="457" spans="23:29" customFormat="1" x14ac:dyDescent="0.25">
      <c r="W457" s="37"/>
      <c r="X457" s="52"/>
      <c r="Y457" s="52"/>
      <c r="Z457" s="37"/>
      <c r="AA457" s="18"/>
      <c r="AB457" s="18"/>
      <c r="AC457" s="18"/>
    </row>
    <row r="458" spans="23:29" customFormat="1" x14ac:dyDescent="0.25">
      <c r="W458" s="37"/>
      <c r="X458" s="52"/>
      <c r="Y458" s="52"/>
      <c r="Z458" s="37"/>
      <c r="AA458" s="18"/>
      <c r="AB458" s="18"/>
      <c r="AC458" s="18"/>
    </row>
    <row r="459" spans="23:29" customFormat="1" x14ac:dyDescent="0.25">
      <c r="W459" s="37"/>
      <c r="X459" s="52"/>
      <c r="Y459" s="52"/>
      <c r="Z459" s="37"/>
      <c r="AA459" s="18"/>
      <c r="AB459" s="18"/>
      <c r="AC459" s="18"/>
    </row>
    <row r="460" spans="23:29" customFormat="1" x14ac:dyDescent="0.25">
      <c r="W460" s="37"/>
      <c r="X460" s="52"/>
      <c r="Y460" s="52"/>
      <c r="Z460" s="37"/>
      <c r="AA460" s="18"/>
      <c r="AB460" s="18"/>
      <c r="AC460" s="18"/>
    </row>
    <row r="461" spans="23:29" customFormat="1" x14ac:dyDescent="0.25">
      <c r="W461" s="37"/>
      <c r="X461" s="52"/>
      <c r="Y461" s="52"/>
      <c r="Z461" s="37"/>
      <c r="AA461" s="18"/>
      <c r="AB461" s="18"/>
      <c r="AC461" s="18"/>
    </row>
    <row r="462" spans="23:29" customFormat="1" x14ac:dyDescent="0.25">
      <c r="W462" s="37"/>
      <c r="X462" s="52"/>
      <c r="Y462" s="52"/>
      <c r="Z462" s="37"/>
      <c r="AA462" s="18"/>
      <c r="AB462" s="18"/>
      <c r="AC462" s="18"/>
    </row>
    <row r="463" spans="23:29" customFormat="1" x14ac:dyDescent="0.25">
      <c r="W463" s="37"/>
      <c r="X463" s="52"/>
      <c r="Y463" s="52"/>
      <c r="Z463" s="37"/>
      <c r="AA463" s="18"/>
      <c r="AB463" s="18"/>
      <c r="AC463" s="18"/>
    </row>
    <row r="464" spans="23:29" customFormat="1" x14ac:dyDescent="0.25">
      <c r="W464" s="37"/>
      <c r="X464" s="52"/>
      <c r="Y464" s="52"/>
      <c r="Z464" s="37"/>
      <c r="AA464" s="18"/>
      <c r="AB464" s="18"/>
      <c r="AC464" s="18"/>
    </row>
    <row r="465" spans="23:29" customFormat="1" x14ac:dyDescent="0.25">
      <c r="W465" s="37"/>
      <c r="X465" s="52"/>
      <c r="Y465" s="52"/>
      <c r="Z465" s="37"/>
      <c r="AA465" s="18"/>
      <c r="AB465" s="18"/>
      <c r="AC465" s="18"/>
    </row>
    <row r="466" spans="23:29" customFormat="1" x14ac:dyDescent="0.25">
      <c r="W466" s="37"/>
      <c r="X466" s="52"/>
      <c r="Y466" s="52"/>
      <c r="Z466" s="37"/>
      <c r="AA466" s="18"/>
      <c r="AB466" s="18"/>
      <c r="AC466" s="18"/>
    </row>
    <row r="467" spans="23:29" customFormat="1" x14ac:dyDescent="0.25">
      <c r="W467" s="37"/>
      <c r="X467" s="52"/>
      <c r="Y467" s="52"/>
      <c r="Z467" s="37"/>
      <c r="AA467" s="18"/>
      <c r="AB467" s="18"/>
      <c r="AC467" s="18"/>
    </row>
    <row r="468" spans="23:29" customFormat="1" x14ac:dyDescent="0.25">
      <c r="W468" s="37"/>
      <c r="X468" s="52"/>
      <c r="Y468" s="52"/>
      <c r="Z468" s="37"/>
      <c r="AA468" s="18"/>
      <c r="AB468" s="18"/>
      <c r="AC468" s="18"/>
    </row>
    <row r="469" spans="23:29" customFormat="1" x14ac:dyDescent="0.25">
      <c r="W469" s="37"/>
      <c r="X469" s="52"/>
      <c r="Y469" s="52"/>
      <c r="Z469" s="37"/>
      <c r="AA469" s="18"/>
      <c r="AB469" s="18"/>
      <c r="AC469" s="18"/>
    </row>
    <row r="470" spans="23:29" customFormat="1" x14ac:dyDescent="0.25">
      <c r="W470" s="37"/>
      <c r="X470" s="52"/>
      <c r="Y470" s="52"/>
      <c r="Z470" s="37"/>
      <c r="AA470" s="18"/>
      <c r="AB470" s="18"/>
      <c r="AC470" s="18"/>
    </row>
    <row r="471" spans="23:29" customFormat="1" x14ac:dyDescent="0.25">
      <c r="W471" s="37"/>
      <c r="X471" s="52"/>
      <c r="Y471" s="52"/>
      <c r="Z471" s="37"/>
      <c r="AA471" s="18"/>
      <c r="AB471" s="18"/>
      <c r="AC471" s="18"/>
    </row>
    <row r="472" spans="23:29" customFormat="1" x14ac:dyDescent="0.25">
      <c r="W472" s="37"/>
      <c r="X472" s="52"/>
      <c r="Y472" s="52"/>
      <c r="Z472" s="37"/>
      <c r="AA472" s="18"/>
      <c r="AB472" s="18"/>
      <c r="AC472" s="18"/>
    </row>
    <row r="473" spans="23:29" customFormat="1" x14ac:dyDescent="0.25">
      <c r="W473" s="37"/>
      <c r="X473" s="52"/>
      <c r="Y473" s="52"/>
      <c r="Z473" s="37"/>
      <c r="AA473" s="18"/>
      <c r="AB473" s="18"/>
      <c r="AC473" s="18"/>
    </row>
    <row r="474" spans="23:29" customFormat="1" x14ac:dyDescent="0.25">
      <c r="W474" s="37"/>
      <c r="X474" s="52"/>
      <c r="Y474" s="52"/>
      <c r="Z474" s="37"/>
      <c r="AA474" s="18"/>
      <c r="AB474" s="18"/>
      <c r="AC474" s="18"/>
    </row>
    <row r="475" spans="23:29" customFormat="1" x14ac:dyDescent="0.25">
      <c r="W475" s="37"/>
      <c r="X475" s="52"/>
      <c r="Y475" s="52"/>
      <c r="Z475" s="37"/>
      <c r="AA475" s="18"/>
      <c r="AB475" s="18"/>
      <c r="AC475" s="18"/>
    </row>
    <row r="476" spans="23:29" customFormat="1" x14ac:dyDescent="0.25">
      <c r="W476" s="37"/>
      <c r="X476" s="52"/>
      <c r="Y476" s="52"/>
      <c r="Z476" s="37"/>
      <c r="AA476" s="18"/>
      <c r="AB476" s="18"/>
      <c r="AC476" s="18"/>
    </row>
    <row r="477" spans="23:29" customFormat="1" x14ac:dyDescent="0.25">
      <c r="W477" s="37"/>
      <c r="X477" s="52"/>
      <c r="Y477" s="52"/>
      <c r="Z477" s="37"/>
      <c r="AA477" s="18"/>
      <c r="AB477" s="18"/>
      <c r="AC477" s="18"/>
    </row>
    <row r="478" spans="23:29" customFormat="1" x14ac:dyDescent="0.25">
      <c r="W478" s="37"/>
      <c r="X478" s="52"/>
      <c r="Y478" s="52"/>
      <c r="Z478" s="37"/>
      <c r="AA478" s="18"/>
      <c r="AB478" s="18"/>
      <c r="AC478" s="18"/>
    </row>
    <row r="479" spans="23:29" customFormat="1" x14ac:dyDescent="0.25">
      <c r="W479" s="37"/>
      <c r="X479" s="52"/>
      <c r="Y479" s="52"/>
      <c r="Z479" s="37"/>
      <c r="AA479" s="18"/>
      <c r="AB479" s="18"/>
      <c r="AC479" s="18"/>
    </row>
    <row r="480" spans="23:29" customFormat="1" x14ac:dyDescent="0.25">
      <c r="W480" s="37"/>
      <c r="X480" s="52"/>
      <c r="Y480" s="52"/>
      <c r="Z480" s="37"/>
      <c r="AA480" s="18"/>
      <c r="AB480" s="18"/>
      <c r="AC480" s="18"/>
    </row>
    <row r="481" spans="23:29" customFormat="1" x14ac:dyDescent="0.25">
      <c r="W481" s="37"/>
      <c r="X481" s="52"/>
      <c r="Y481" s="52"/>
      <c r="Z481" s="37"/>
      <c r="AA481" s="18"/>
      <c r="AB481" s="18"/>
      <c r="AC481" s="18"/>
    </row>
    <row r="482" spans="23:29" customFormat="1" x14ac:dyDescent="0.25">
      <c r="W482" s="37"/>
      <c r="X482" s="52"/>
      <c r="Y482" s="52"/>
      <c r="Z482" s="37"/>
      <c r="AA482" s="18"/>
      <c r="AB482" s="18"/>
      <c r="AC482" s="18"/>
    </row>
    <row r="483" spans="23:29" customFormat="1" x14ac:dyDescent="0.25">
      <c r="W483" s="37"/>
      <c r="X483" s="52"/>
      <c r="Y483" s="52"/>
      <c r="Z483" s="37"/>
      <c r="AA483" s="18"/>
      <c r="AB483" s="18"/>
      <c r="AC483" s="18"/>
    </row>
    <row r="484" spans="23:29" customFormat="1" x14ac:dyDescent="0.25">
      <c r="W484" s="37"/>
      <c r="X484" s="52"/>
      <c r="Y484" s="52"/>
      <c r="Z484" s="37"/>
      <c r="AA484" s="18"/>
      <c r="AB484" s="18"/>
      <c r="AC484" s="18"/>
    </row>
    <row r="485" spans="23:29" customFormat="1" x14ac:dyDescent="0.25">
      <c r="W485" s="37"/>
      <c r="X485" s="52"/>
      <c r="Y485" s="52"/>
      <c r="Z485" s="37"/>
      <c r="AA485" s="18"/>
      <c r="AB485" s="18"/>
      <c r="AC485" s="18"/>
    </row>
    <row r="486" spans="23:29" customFormat="1" x14ac:dyDescent="0.25">
      <c r="W486" s="37"/>
      <c r="X486" s="52"/>
      <c r="Y486" s="52"/>
      <c r="Z486" s="37"/>
      <c r="AA486" s="18"/>
      <c r="AB486" s="18"/>
      <c r="AC486" s="18"/>
    </row>
    <row r="487" spans="23:29" customFormat="1" x14ac:dyDescent="0.25">
      <c r="W487" s="37"/>
      <c r="X487" s="52"/>
      <c r="Y487" s="52"/>
      <c r="Z487" s="37"/>
      <c r="AA487" s="18"/>
      <c r="AB487" s="18"/>
      <c r="AC487" s="18"/>
    </row>
    <row r="488" spans="23:29" customFormat="1" x14ac:dyDescent="0.25">
      <c r="W488" s="37"/>
      <c r="X488" s="52"/>
      <c r="Y488" s="52"/>
      <c r="Z488" s="37"/>
      <c r="AA488" s="18"/>
      <c r="AB488" s="18"/>
      <c r="AC488" s="18"/>
    </row>
    <row r="489" spans="23:29" customFormat="1" x14ac:dyDescent="0.25">
      <c r="W489" s="37"/>
      <c r="X489" s="52"/>
      <c r="Y489" s="52"/>
      <c r="Z489" s="37"/>
      <c r="AA489" s="18"/>
      <c r="AB489" s="18"/>
      <c r="AC489" s="18"/>
    </row>
    <row r="490" spans="23:29" customFormat="1" x14ac:dyDescent="0.25">
      <c r="W490" s="37"/>
      <c r="X490" s="52"/>
      <c r="Y490" s="52"/>
      <c r="Z490" s="37"/>
      <c r="AA490" s="18"/>
      <c r="AB490" s="18"/>
      <c r="AC490" s="18"/>
    </row>
    <row r="491" spans="23:29" customFormat="1" x14ac:dyDescent="0.25">
      <c r="W491" s="37"/>
      <c r="X491" s="52"/>
      <c r="Y491" s="52"/>
      <c r="Z491" s="37"/>
      <c r="AA491" s="18"/>
      <c r="AB491" s="18"/>
      <c r="AC491" s="18"/>
    </row>
    <row r="492" spans="23:29" customFormat="1" x14ac:dyDescent="0.25">
      <c r="W492" s="37"/>
      <c r="X492" s="52"/>
      <c r="Y492" s="52"/>
      <c r="Z492" s="37"/>
      <c r="AA492" s="18"/>
      <c r="AB492" s="18"/>
      <c r="AC492" s="18"/>
    </row>
    <row r="493" spans="23:29" customFormat="1" x14ac:dyDescent="0.25">
      <c r="W493" s="37"/>
      <c r="X493" s="52"/>
      <c r="Y493" s="52"/>
      <c r="Z493" s="37"/>
      <c r="AA493" s="18"/>
      <c r="AB493" s="18"/>
      <c r="AC493" s="18"/>
    </row>
    <row r="494" spans="23:29" customFormat="1" x14ac:dyDescent="0.25">
      <c r="W494" s="37"/>
      <c r="X494" s="52"/>
      <c r="Y494" s="52"/>
      <c r="Z494" s="37"/>
      <c r="AA494" s="18"/>
      <c r="AB494" s="18"/>
      <c r="AC494" s="18"/>
    </row>
    <row r="495" spans="23:29" customFormat="1" x14ac:dyDescent="0.25">
      <c r="W495" s="37"/>
      <c r="X495" s="52"/>
      <c r="Y495" s="52"/>
      <c r="Z495" s="37"/>
      <c r="AA495" s="18"/>
      <c r="AB495" s="18"/>
      <c r="AC495" s="18"/>
    </row>
    <row r="496" spans="23:29" customFormat="1" x14ac:dyDescent="0.25">
      <c r="W496" s="37"/>
      <c r="X496" s="52"/>
      <c r="Y496" s="52"/>
      <c r="Z496" s="37"/>
      <c r="AA496" s="18"/>
      <c r="AB496" s="18"/>
      <c r="AC496" s="18"/>
    </row>
    <row r="497" spans="23:29" customFormat="1" x14ac:dyDescent="0.25">
      <c r="W497" s="37"/>
      <c r="X497" s="52"/>
      <c r="Y497" s="52"/>
      <c r="Z497" s="37"/>
      <c r="AA497" s="18"/>
      <c r="AB497" s="18"/>
      <c r="AC497" s="18"/>
    </row>
    <row r="498" spans="23:29" customFormat="1" x14ac:dyDescent="0.25">
      <c r="W498" s="37"/>
      <c r="X498" s="52"/>
      <c r="Y498" s="52"/>
      <c r="Z498" s="37"/>
      <c r="AA498" s="18"/>
      <c r="AB498" s="18"/>
      <c r="AC498" s="18"/>
    </row>
    <row r="499" spans="23:29" customFormat="1" x14ac:dyDescent="0.25">
      <c r="W499" s="37"/>
      <c r="X499" s="52"/>
      <c r="Y499" s="52"/>
      <c r="Z499" s="37"/>
      <c r="AA499" s="18"/>
      <c r="AB499" s="18"/>
      <c r="AC499" s="18"/>
    </row>
    <row r="500" spans="23:29" customFormat="1" x14ac:dyDescent="0.25">
      <c r="W500" s="37"/>
      <c r="X500" s="52"/>
      <c r="Y500" s="52"/>
      <c r="Z500" s="37"/>
      <c r="AA500" s="18"/>
      <c r="AB500" s="18"/>
      <c r="AC500" s="18"/>
    </row>
    <row r="501" spans="23:29" customFormat="1" x14ac:dyDescent="0.25">
      <c r="W501" s="37"/>
      <c r="X501" s="52"/>
      <c r="Y501" s="52"/>
      <c r="Z501" s="37"/>
      <c r="AA501" s="18"/>
      <c r="AB501" s="18"/>
      <c r="AC501" s="18"/>
    </row>
    <row r="502" spans="23:29" customFormat="1" x14ac:dyDescent="0.25">
      <c r="W502" s="37"/>
      <c r="X502" s="52"/>
      <c r="Y502" s="52"/>
      <c r="Z502" s="37"/>
      <c r="AA502" s="18"/>
      <c r="AB502" s="18"/>
      <c r="AC502" s="18"/>
    </row>
    <row r="503" spans="23:29" customFormat="1" x14ac:dyDescent="0.25">
      <c r="W503" s="37"/>
      <c r="X503" s="52"/>
      <c r="Y503" s="52"/>
      <c r="Z503" s="37"/>
      <c r="AA503" s="18"/>
      <c r="AB503" s="18"/>
      <c r="AC503" s="18"/>
    </row>
    <row r="504" spans="23:29" customFormat="1" x14ac:dyDescent="0.25">
      <c r="W504" s="37"/>
      <c r="X504" s="52"/>
      <c r="Y504" s="52"/>
      <c r="Z504" s="37"/>
      <c r="AA504" s="18"/>
      <c r="AB504" s="18"/>
      <c r="AC504" s="18"/>
    </row>
    <row r="505" spans="23:29" customFormat="1" x14ac:dyDescent="0.25">
      <c r="W505" s="37"/>
      <c r="X505" s="52"/>
      <c r="Y505" s="52"/>
      <c r="Z505" s="37"/>
      <c r="AA505" s="18"/>
      <c r="AB505" s="18"/>
      <c r="AC505" s="18"/>
    </row>
    <row r="506" spans="23:29" customFormat="1" x14ac:dyDescent="0.25">
      <c r="W506" s="37"/>
      <c r="X506" s="52"/>
      <c r="Y506" s="52"/>
      <c r="Z506" s="37"/>
      <c r="AA506" s="18"/>
      <c r="AB506" s="18"/>
      <c r="AC506" s="18"/>
    </row>
    <row r="507" spans="23:29" customFormat="1" x14ac:dyDescent="0.25">
      <c r="W507" s="37"/>
      <c r="X507" s="52"/>
      <c r="Y507" s="52"/>
      <c r="Z507" s="37"/>
      <c r="AA507" s="18"/>
      <c r="AB507" s="18"/>
      <c r="AC507" s="18"/>
    </row>
    <row r="508" spans="23:29" customFormat="1" x14ac:dyDescent="0.25">
      <c r="W508" s="37"/>
      <c r="X508" s="52"/>
      <c r="Y508" s="52"/>
      <c r="Z508" s="37"/>
      <c r="AA508" s="18"/>
      <c r="AB508" s="18"/>
      <c r="AC508" s="18"/>
    </row>
    <row r="509" spans="23:29" customFormat="1" x14ac:dyDescent="0.25">
      <c r="W509" s="37"/>
      <c r="X509" s="52"/>
      <c r="Y509" s="52"/>
      <c r="Z509" s="37"/>
      <c r="AA509" s="18"/>
      <c r="AB509" s="18"/>
      <c r="AC509" s="18"/>
    </row>
    <row r="510" spans="23:29" customFormat="1" x14ac:dyDescent="0.25">
      <c r="W510" s="37"/>
      <c r="X510" s="52"/>
      <c r="Y510" s="52"/>
      <c r="Z510" s="37"/>
      <c r="AA510" s="18"/>
      <c r="AB510" s="18"/>
      <c r="AC510" s="18"/>
    </row>
    <row r="511" spans="23:29" customFormat="1" x14ac:dyDescent="0.25">
      <c r="W511" s="37"/>
      <c r="X511" s="52"/>
      <c r="Y511" s="52"/>
      <c r="Z511" s="37"/>
      <c r="AA511" s="18"/>
      <c r="AB511" s="18"/>
      <c r="AC511" s="18"/>
    </row>
    <row r="512" spans="23:29" customFormat="1" x14ac:dyDescent="0.25">
      <c r="W512" s="37"/>
      <c r="X512" s="52"/>
      <c r="Y512" s="52"/>
      <c r="Z512" s="37"/>
      <c r="AA512" s="18"/>
      <c r="AB512" s="18"/>
      <c r="AC512" s="18"/>
    </row>
    <row r="513" spans="23:29" customFormat="1" x14ac:dyDescent="0.25">
      <c r="W513" s="37"/>
      <c r="X513" s="52"/>
      <c r="Y513" s="52"/>
      <c r="Z513" s="37"/>
      <c r="AA513" s="18"/>
      <c r="AB513" s="18"/>
      <c r="AC513" s="18"/>
    </row>
    <row r="514" spans="23:29" customFormat="1" x14ac:dyDescent="0.25">
      <c r="W514" s="37"/>
      <c r="X514" s="52"/>
      <c r="Y514" s="52"/>
      <c r="Z514" s="37"/>
      <c r="AA514" s="18"/>
      <c r="AB514" s="18"/>
      <c r="AC514" s="18"/>
    </row>
    <row r="515" spans="23:29" customFormat="1" x14ac:dyDescent="0.25">
      <c r="W515" s="37"/>
      <c r="X515" s="52"/>
      <c r="Y515" s="52"/>
      <c r="Z515" s="37"/>
      <c r="AA515" s="18"/>
      <c r="AB515" s="18"/>
      <c r="AC515" s="18"/>
    </row>
    <row r="516" spans="23:29" customFormat="1" x14ac:dyDescent="0.25">
      <c r="W516" s="37"/>
      <c r="X516" s="52"/>
      <c r="Y516" s="52"/>
      <c r="Z516" s="37"/>
      <c r="AA516" s="18"/>
      <c r="AB516" s="18"/>
      <c r="AC516" s="18"/>
    </row>
    <row r="517" spans="23:29" customFormat="1" x14ac:dyDescent="0.25">
      <c r="W517" s="37"/>
      <c r="X517" s="52"/>
      <c r="Y517" s="52"/>
      <c r="Z517" s="37"/>
      <c r="AA517" s="18"/>
      <c r="AB517" s="18"/>
      <c r="AC517" s="18"/>
    </row>
    <row r="518" spans="23:29" customFormat="1" x14ac:dyDescent="0.25">
      <c r="W518" s="37"/>
      <c r="X518" s="52"/>
      <c r="Y518" s="52"/>
      <c r="Z518" s="37"/>
      <c r="AA518" s="18"/>
      <c r="AB518" s="18"/>
      <c r="AC518" s="18"/>
    </row>
    <row r="519" spans="23:29" customFormat="1" x14ac:dyDescent="0.25">
      <c r="W519" s="37"/>
      <c r="X519" s="52"/>
      <c r="Y519" s="52"/>
      <c r="Z519" s="37"/>
      <c r="AA519" s="18"/>
      <c r="AB519" s="18"/>
      <c r="AC519" s="18"/>
    </row>
    <row r="520" spans="23:29" customFormat="1" x14ac:dyDescent="0.25">
      <c r="W520" s="37"/>
      <c r="X520" s="52"/>
      <c r="Y520" s="52"/>
      <c r="Z520" s="37"/>
      <c r="AA520" s="18"/>
      <c r="AB520" s="18"/>
      <c r="AC520" s="18"/>
    </row>
    <row r="521" spans="23:29" customFormat="1" x14ac:dyDescent="0.25">
      <c r="W521" s="37"/>
      <c r="X521" s="52"/>
      <c r="Y521" s="52"/>
      <c r="Z521" s="37"/>
      <c r="AA521" s="18"/>
      <c r="AB521" s="18"/>
      <c r="AC521" s="18"/>
    </row>
    <row r="522" spans="23:29" customFormat="1" x14ac:dyDescent="0.25">
      <c r="W522" s="37"/>
      <c r="X522" s="52"/>
      <c r="Y522" s="52"/>
      <c r="Z522" s="37"/>
      <c r="AA522" s="18"/>
      <c r="AB522" s="18"/>
      <c r="AC522" s="18"/>
    </row>
    <row r="523" spans="23:29" customFormat="1" x14ac:dyDescent="0.25">
      <c r="W523" s="37"/>
      <c r="X523" s="52"/>
      <c r="Y523" s="52"/>
      <c r="Z523" s="37"/>
      <c r="AA523" s="18"/>
      <c r="AB523" s="18"/>
      <c r="AC523" s="18"/>
    </row>
    <row r="524" spans="23:29" customFormat="1" x14ac:dyDescent="0.25">
      <c r="W524" s="37"/>
      <c r="X524" s="52"/>
      <c r="Y524" s="52"/>
      <c r="Z524" s="37"/>
      <c r="AA524" s="18"/>
      <c r="AB524" s="18"/>
      <c r="AC524" s="18"/>
    </row>
    <row r="525" spans="23:29" customFormat="1" x14ac:dyDescent="0.25">
      <c r="W525" s="37"/>
      <c r="X525" s="52"/>
      <c r="Y525" s="52"/>
      <c r="Z525" s="37"/>
      <c r="AA525" s="18"/>
      <c r="AB525" s="18"/>
      <c r="AC525" s="18"/>
    </row>
    <row r="526" spans="23:29" customFormat="1" x14ac:dyDescent="0.25">
      <c r="W526" s="37"/>
      <c r="X526" s="52"/>
      <c r="Y526" s="52"/>
      <c r="Z526" s="37"/>
      <c r="AA526" s="18"/>
      <c r="AB526" s="18"/>
      <c r="AC526" s="18"/>
    </row>
    <row r="527" spans="23:29" customFormat="1" x14ac:dyDescent="0.25">
      <c r="W527" s="37"/>
      <c r="X527" s="52"/>
      <c r="Y527" s="52"/>
      <c r="Z527" s="37"/>
      <c r="AA527" s="18"/>
      <c r="AB527" s="18"/>
      <c r="AC527" s="18"/>
    </row>
    <row r="528" spans="23:29" customFormat="1" x14ac:dyDescent="0.25">
      <c r="W528" s="37"/>
      <c r="X528" s="52"/>
      <c r="Y528" s="52"/>
      <c r="Z528" s="37"/>
      <c r="AA528" s="18"/>
      <c r="AB528" s="18"/>
      <c r="AC528" s="18"/>
    </row>
    <row r="529" spans="23:29" customFormat="1" x14ac:dyDescent="0.25">
      <c r="W529" s="37"/>
      <c r="X529" s="52"/>
      <c r="Y529" s="52"/>
      <c r="Z529" s="37"/>
      <c r="AA529" s="18"/>
      <c r="AB529" s="18"/>
      <c r="AC529" s="18"/>
    </row>
    <row r="530" spans="23:29" customFormat="1" x14ac:dyDescent="0.25">
      <c r="W530" s="37"/>
      <c r="X530" s="52"/>
      <c r="Y530" s="52"/>
      <c r="Z530" s="37"/>
      <c r="AA530" s="18"/>
      <c r="AB530" s="18"/>
      <c r="AC530" s="18"/>
    </row>
    <row r="531" spans="23:29" customFormat="1" x14ac:dyDescent="0.25">
      <c r="W531" s="37"/>
      <c r="X531" s="52"/>
      <c r="Y531" s="52"/>
      <c r="Z531" s="37"/>
      <c r="AA531" s="18"/>
      <c r="AB531" s="18"/>
      <c r="AC531" s="18"/>
    </row>
    <row r="532" spans="23:29" customFormat="1" x14ac:dyDescent="0.25">
      <c r="W532" s="37"/>
      <c r="X532" s="52"/>
      <c r="Y532" s="52"/>
      <c r="Z532" s="37"/>
      <c r="AA532" s="18"/>
      <c r="AB532" s="18"/>
      <c r="AC532" s="18"/>
    </row>
    <row r="533" spans="23:29" customFormat="1" x14ac:dyDescent="0.25">
      <c r="W533" s="37"/>
      <c r="X533" s="52"/>
      <c r="Y533" s="52"/>
      <c r="Z533" s="37"/>
      <c r="AA533" s="18"/>
      <c r="AB533" s="18"/>
      <c r="AC533" s="18"/>
    </row>
    <row r="534" spans="23:29" customFormat="1" x14ac:dyDescent="0.25">
      <c r="W534" s="37"/>
      <c r="X534" s="52"/>
      <c r="Y534" s="52"/>
      <c r="Z534" s="37"/>
      <c r="AA534" s="18"/>
      <c r="AB534" s="18"/>
      <c r="AC534" s="18"/>
    </row>
    <row r="535" spans="23:29" customFormat="1" x14ac:dyDescent="0.25">
      <c r="W535" s="37"/>
      <c r="X535" s="52"/>
      <c r="Y535" s="52"/>
      <c r="Z535" s="37"/>
      <c r="AA535" s="18"/>
      <c r="AB535" s="18"/>
      <c r="AC535" s="18"/>
    </row>
    <row r="536" spans="23:29" customFormat="1" x14ac:dyDescent="0.25">
      <c r="W536" s="37"/>
      <c r="X536" s="52"/>
      <c r="Y536" s="52"/>
      <c r="Z536" s="37"/>
      <c r="AA536" s="18"/>
      <c r="AB536" s="18"/>
      <c r="AC536" s="18"/>
    </row>
    <row r="537" spans="23:29" customFormat="1" x14ac:dyDescent="0.25">
      <c r="W537" s="37"/>
      <c r="X537" s="52"/>
      <c r="Y537" s="52"/>
      <c r="Z537" s="37"/>
      <c r="AA537" s="18"/>
      <c r="AB537" s="18"/>
      <c r="AC537" s="18"/>
    </row>
    <row r="538" spans="23:29" customFormat="1" x14ac:dyDescent="0.25">
      <c r="W538" s="37"/>
      <c r="X538" s="52"/>
      <c r="Y538" s="52"/>
      <c r="Z538" s="37"/>
      <c r="AA538" s="18"/>
      <c r="AB538" s="18"/>
      <c r="AC538" s="18"/>
    </row>
    <row r="539" spans="23:29" customFormat="1" x14ac:dyDescent="0.25">
      <c r="W539" s="37"/>
      <c r="X539" s="52"/>
      <c r="Y539" s="52"/>
      <c r="Z539" s="37"/>
      <c r="AA539" s="18"/>
      <c r="AB539" s="18"/>
      <c r="AC539" s="18"/>
    </row>
    <row r="540" spans="23:29" customFormat="1" x14ac:dyDescent="0.25">
      <c r="W540" s="37"/>
      <c r="X540" s="52"/>
      <c r="Y540" s="52"/>
      <c r="Z540" s="37"/>
      <c r="AA540" s="18"/>
      <c r="AB540" s="18"/>
      <c r="AC540" s="18"/>
    </row>
    <row r="541" spans="23:29" customFormat="1" x14ac:dyDescent="0.25">
      <c r="W541" s="37"/>
      <c r="X541" s="52"/>
      <c r="Y541" s="52"/>
      <c r="Z541" s="37"/>
      <c r="AA541" s="18"/>
      <c r="AB541" s="18"/>
      <c r="AC541" s="18"/>
    </row>
    <row r="542" spans="23:29" customFormat="1" x14ac:dyDescent="0.25">
      <c r="W542" s="37"/>
      <c r="X542" s="52"/>
      <c r="Y542" s="52"/>
      <c r="Z542" s="37"/>
      <c r="AA542" s="18"/>
      <c r="AB542" s="18"/>
      <c r="AC542" s="18"/>
    </row>
    <row r="543" spans="23:29" customFormat="1" x14ac:dyDescent="0.25">
      <c r="W543" s="37"/>
      <c r="X543" s="52"/>
      <c r="Y543" s="52"/>
      <c r="Z543" s="37"/>
      <c r="AA543" s="18"/>
      <c r="AB543" s="18"/>
      <c r="AC543" s="18"/>
    </row>
    <row r="544" spans="23:29" customFormat="1" x14ac:dyDescent="0.25">
      <c r="W544" s="37"/>
      <c r="X544" s="52"/>
      <c r="Y544" s="52"/>
      <c r="Z544" s="37"/>
      <c r="AA544" s="18"/>
      <c r="AB544" s="18"/>
      <c r="AC544" s="18"/>
    </row>
    <row r="545" spans="23:29" customFormat="1" x14ac:dyDescent="0.25">
      <c r="W545" s="37"/>
      <c r="X545" s="52"/>
      <c r="Y545" s="52"/>
      <c r="Z545" s="37"/>
      <c r="AA545" s="18"/>
      <c r="AB545" s="18"/>
      <c r="AC545" s="18"/>
    </row>
    <row r="546" spans="23:29" customFormat="1" x14ac:dyDescent="0.25">
      <c r="W546" s="37"/>
      <c r="X546" s="52"/>
      <c r="Y546" s="52"/>
      <c r="Z546" s="37"/>
      <c r="AA546" s="18"/>
      <c r="AB546" s="18"/>
      <c r="AC546" s="18"/>
    </row>
    <row r="547" spans="23:29" customFormat="1" x14ac:dyDescent="0.25">
      <c r="W547" s="37"/>
      <c r="X547" s="52"/>
      <c r="Y547" s="52"/>
      <c r="Z547" s="37"/>
      <c r="AA547" s="18"/>
      <c r="AB547" s="18"/>
      <c r="AC547" s="18"/>
    </row>
    <row r="548" spans="23:29" customFormat="1" x14ac:dyDescent="0.25">
      <c r="W548" s="37"/>
      <c r="X548" s="52"/>
      <c r="Y548" s="52"/>
      <c r="Z548" s="37"/>
      <c r="AA548" s="18"/>
      <c r="AB548" s="18"/>
      <c r="AC548" s="18"/>
    </row>
    <row r="549" spans="23:29" customFormat="1" x14ac:dyDescent="0.25">
      <c r="W549" s="37"/>
      <c r="X549" s="52"/>
      <c r="Y549" s="52"/>
      <c r="Z549" s="37"/>
      <c r="AA549" s="18"/>
      <c r="AB549" s="18"/>
      <c r="AC549" s="18"/>
    </row>
    <row r="550" spans="23:29" customFormat="1" x14ac:dyDescent="0.25">
      <c r="W550" s="37"/>
      <c r="X550" s="52"/>
      <c r="Y550" s="52"/>
      <c r="Z550" s="37"/>
      <c r="AA550" s="18"/>
      <c r="AB550" s="18"/>
      <c r="AC550" s="18"/>
    </row>
    <row r="551" spans="23:29" customFormat="1" x14ac:dyDescent="0.25">
      <c r="W551" s="37"/>
      <c r="X551" s="52"/>
      <c r="Y551" s="52"/>
      <c r="Z551" s="37"/>
      <c r="AA551" s="18"/>
      <c r="AB551" s="18"/>
      <c r="AC551" s="18"/>
    </row>
    <row r="552" spans="23:29" customFormat="1" x14ac:dyDescent="0.25">
      <c r="W552" s="37"/>
      <c r="X552" s="52"/>
      <c r="Y552" s="52"/>
      <c r="Z552" s="37"/>
      <c r="AA552" s="18"/>
      <c r="AB552" s="18"/>
      <c r="AC552" s="18"/>
    </row>
    <row r="553" spans="23:29" customFormat="1" x14ac:dyDescent="0.25">
      <c r="W553" s="37"/>
      <c r="X553" s="52"/>
      <c r="Y553" s="52"/>
      <c r="Z553" s="37"/>
      <c r="AA553" s="18"/>
      <c r="AB553" s="18"/>
      <c r="AC553" s="18"/>
    </row>
    <row r="554" spans="23:29" customFormat="1" x14ac:dyDescent="0.25">
      <c r="W554" s="37"/>
      <c r="X554" s="52"/>
      <c r="Y554" s="52"/>
      <c r="Z554" s="37"/>
      <c r="AA554" s="18"/>
      <c r="AB554" s="18"/>
      <c r="AC554" s="18"/>
    </row>
    <row r="555" spans="23:29" customFormat="1" x14ac:dyDescent="0.25">
      <c r="W555" s="37"/>
      <c r="X555" s="52"/>
      <c r="Y555" s="52"/>
      <c r="Z555" s="37"/>
      <c r="AA555" s="18"/>
      <c r="AB555" s="18"/>
      <c r="AC555" s="18"/>
    </row>
    <row r="556" spans="23:29" customFormat="1" x14ac:dyDescent="0.25">
      <c r="W556" s="37"/>
      <c r="X556" s="52"/>
      <c r="Y556" s="52"/>
      <c r="Z556" s="37"/>
      <c r="AA556" s="18"/>
      <c r="AB556" s="18"/>
      <c r="AC556" s="18"/>
    </row>
    <row r="557" spans="23:29" customFormat="1" x14ac:dyDescent="0.25">
      <c r="W557" s="37"/>
      <c r="X557" s="52"/>
      <c r="Y557" s="52"/>
      <c r="Z557" s="37"/>
      <c r="AA557" s="18"/>
      <c r="AB557" s="18"/>
      <c r="AC557" s="18"/>
    </row>
    <row r="558" spans="23:29" customFormat="1" x14ac:dyDescent="0.25">
      <c r="W558" s="37"/>
      <c r="X558" s="52"/>
      <c r="Y558" s="52"/>
      <c r="Z558" s="37"/>
      <c r="AA558" s="18"/>
      <c r="AB558" s="18"/>
      <c r="AC558" s="18"/>
    </row>
    <row r="559" spans="23:29" customFormat="1" x14ac:dyDescent="0.25">
      <c r="W559" s="37"/>
      <c r="X559" s="52"/>
      <c r="Y559" s="52"/>
      <c r="Z559" s="37"/>
      <c r="AA559" s="18"/>
      <c r="AB559" s="18"/>
      <c r="AC559" s="18"/>
    </row>
    <row r="560" spans="23:29" customFormat="1" x14ac:dyDescent="0.25">
      <c r="W560" s="37"/>
      <c r="X560" s="52"/>
      <c r="Y560" s="52"/>
      <c r="Z560" s="37"/>
      <c r="AA560" s="18"/>
      <c r="AB560" s="18"/>
      <c r="AC560" s="18"/>
    </row>
    <row r="561" spans="23:29" customFormat="1" x14ac:dyDescent="0.25">
      <c r="W561" s="37"/>
      <c r="X561" s="52"/>
      <c r="Y561" s="52"/>
      <c r="Z561" s="37"/>
      <c r="AA561" s="18"/>
      <c r="AB561" s="18"/>
      <c r="AC561" s="18"/>
    </row>
    <row r="562" spans="23:29" customFormat="1" x14ac:dyDescent="0.25">
      <c r="W562" s="37"/>
      <c r="X562" s="52"/>
      <c r="Y562" s="52"/>
      <c r="Z562" s="37"/>
      <c r="AA562" s="18"/>
      <c r="AB562" s="18"/>
      <c r="AC562" s="18"/>
    </row>
    <row r="563" spans="23:29" customFormat="1" x14ac:dyDescent="0.25">
      <c r="W563" s="37"/>
      <c r="X563" s="52"/>
      <c r="Y563" s="52"/>
      <c r="Z563" s="37"/>
      <c r="AA563" s="18"/>
      <c r="AB563" s="18"/>
      <c r="AC563" s="18"/>
    </row>
    <row r="564" spans="23:29" customFormat="1" x14ac:dyDescent="0.25">
      <c r="W564" s="37"/>
      <c r="X564" s="52"/>
      <c r="Y564" s="52"/>
      <c r="Z564" s="37"/>
      <c r="AA564" s="18"/>
      <c r="AB564" s="18"/>
      <c r="AC564" s="18"/>
    </row>
    <row r="565" spans="23:29" customFormat="1" x14ac:dyDescent="0.25">
      <c r="W565" s="37"/>
      <c r="X565" s="52"/>
      <c r="Y565" s="52"/>
      <c r="Z565" s="37"/>
      <c r="AA565" s="18"/>
      <c r="AB565" s="18"/>
      <c r="AC565" s="18"/>
    </row>
    <row r="566" spans="23:29" customFormat="1" x14ac:dyDescent="0.25">
      <c r="W566" s="37"/>
      <c r="X566" s="52"/>
      <c r="Y566" s="52"/>
      <c r="Z566" s="37"/>
      <c r="AA566" s="18"/>
      <c r="AB566" s="18"/>
      <c r="AC566" s="18"/>
    </row>
    <row r="567" spans="23:29" customFormat="1" x14ac:dyDescent="0.25">
      <c r="W567" s="37"/>
      <c r="X567" s="52"/>
      <c r="Y567" s="52"/>
      <c r="Z567" s="37"/>
      <c r="AA567" s="18"/>
      <c r="AB567" s="18"/>
      <c r="AC567" s="18"/>
    </row>
    <row r="568" spans="23:29" customFormat="1" x14ac:dyDescent="0.25">
      <c r="W568" s="37"/>
      <c r="X568" s="52"/>
      <c r="Y568" s="52"/>
      <c r="Z568" s="37"/>
      <c r="AA568" s="18"/>
      <c r="AB568" s="18"/>
      <c r="AC568" s="18"/>
    </row>
    <row r="569" spans="23:29" customFormat="1" x14ac:dyDescent="0.25">
      <c r="W569" s="37"/>
      <c r="X569" s="52"/>
      <c r="Y569" s="52"/>
      <c r="Z569" s="37"/>
      <c r="AA569" s="18"/>
      <c r="AB569" s="18"/>
      <c r="AC569" s="18"/>
    </row>
    <row r="570" spans="23:29" customFormat="1" x14ac:dyDescent="0.25">
      <c r="W570" s="37"/>
      <c r="X570" s="52"/>
      <c r="Y570" s="52"/>
      <c r="Z570" s="37"/>
      <c r="AA570" s="18"/>
      <c r="AB570" s="18"/>
      <c r="AC570" s="18"/>
    </row>
    <row r="571" spans="23:29" customFormat="1" x14ac:dyDescent="0.25">
      <c r="W571" s="37"/>
      <c r="X571" s="52"/>
      <c r="Y571" s="52"/>
      <c r="Z571" s="37"/>
      <c r="AA571" s="18"/>
      <c r="AB571" s="18"/>
      <c r="AC571" s="18"/>
    </row>
    <row r="572" spans="23:29" customFormat="1" x14ac:dyDescent="0.25">
      <c r="W572" s="37"/>
      <c r="X572" s="52"/>
      <c r="Y572" s="52"/>
      <c r="Z572" s="37"/>
      <c r="AA572" s="18"/>
      <c r="AB572" s="18"/>
      <c r="AC572" s="18"/>
    </row>
    <row r="573" spans="23:29" customFormat="1" x14ac:dyDescent="0.25">
      <c r="W573" s="37"/>
      <c r="X573" s="52"/>
      <c r="Y573" s="52"/>
      <c r="Z573" s="37"/>
      <c r="AA573" s="18"/>
      <c r="AB573" s="18"/>
      <c r="AC573" s="18"/>
    </row>
    <row r="574" spans="23:29" customFormat="1" x14ac:dyDescent="0.25">
      <c r="W574" s="37"/>
      <c r="X574" s="52"/>
      <c r="Y574" s="52"/>
      <c r="Z574" s="37"/>
      <c r="AA574" s="18"/>
      <c r="AB574" s="18"/>
      <c r="AC574" s="18"/>
    </row>
    <row r="575" spans="23:29" customFormat="1" x14ac:dyDescent="0.25">
      <c r="W575" s="37"/>
      <c r="X575" s="52"/>
      <c r="Y575" s="52"/>
      <c r="Z575" s="37"/>
      <c r="AA575" s="18"/>
      <c r="AB575" s="18"/>
      <c r="AC575" s="18"/>
    </row>
    <row r="576" spans="23:29" customFormat="1" x14ac:dyDescent="0.25">
      <c r="W576" s="37"/>
      <c r="X576" s="52"/>
      <c r="Y576" s="52"/>
      <c r="Z576" s="37"/>
      <c r="AA576" s="18"/>
      <c r="AB576" s="18"/>
      <c r="AC576" s="18"/>
    </row>
    <row r="577" spans="23:29" customFormat="1" x14ac:dyDescent="0.25">
      <c r="W577" s="37"/>
      <c r="X577" s="52"/>
      <c r="Y577" s="52"/>
      <c r="Z577" s="37"/>
      <c r="AA577" s="18"/>
      <c r="AB577" s="18"/>
      <c r="AC577" s="18"/>
    </row>
    <row r="578" spans="23:29" customFormat="1" x14ac:dyDescent="0.25">
      <c r="W578" s="37"/>
      <c r="X578" s="52"/>
      <c r="Y578" s="52"/>
      <c r="Z578" s="37"/>
      <c r="AA578" s="18"/>
      <c r="AB578" s="18"/>
      <c r="AC578" s="18"/>
    </row>
    <row r="579" spans="23:29" customFormat="1" x14ac:dyDescent="0.25">
      <c r="W579" s="37"/>
      <c r="X579" s="52"/>
      <c r="Y579" s="52"/>
      <c r="Z579" s="37"/>
      <c r="AA579" s="18"/>
      <c r="AB579" s="18"/>
      <c r="AC579" s="18"/>
    </row>
    <row r="580" spans="23:29" customFormat="1" x14ac:dyDescent="0.25">
      <c r="W580" s="37"/>
      <c r="X580" s="52"/>
      <c r="Y580" s="52"/>
      <c r="Z580" s="37"/>
      <c r="AA580" s="18"/>
      <c r="AB580" s="18"/>
      <c r="AC580" s="18"/>
    </row>
    <row r="581" spans="23:29" customFormat="1" x14ac:dyDescent="0.25">
      <c r="W581" s="37"/>
      <c r="X581" s="52"/>
      <c r="Y581" s="52"/>
      <c r="Z581" s="37"/>
      <c r="AA581" s="18"/>
      <c r="AB581" s="18"/>
      <c r="AC581" s="18"/>
    </row>
    <row r="582" spans="23:29" customFormat="1" x14ac:dyDescent="0.25">
      <c r="W582" s="37"/>
      <c r="X582" s="52"/>
      <c r="Y582" s="52"/>
      <c r="Z582" s="37"/>
      <c r="AA582" s="18"/>
      <c r="AB582" s="18"/>
      <c r="AC582" s="18"/>
    </row>
    <row r="583" spans="23:29" customFormat="1" x14ac:dyDescent="0.25">
      <c r="W583" s="37"/>
      <c r="X583" s="52"/>
      <c r="Y583" s="52"/>
      <c r="Z583" s="37"/>
      <c r="AA583" s="18"/>
      <c r="AB583" s="18"/>
      <c r="AC583" s="18"/>
    </row>
    <row r="584" spans="23:29" customFormat="1" x14ac:dyDescent="0.25">
      <c r="W584" s="37"/>
      <c r="X584" s="52"/>
      <c r="Y584" s="52"/>
      <c r="Z584" s="37"/>
      <c r="AA584" s="18"/>
      <c r="AB584" s="18"/>
      <c r="AC584" s="18"/>
    </row>
    <row r="585" spans="23:29" customFormat="1" x14ac:dyDescent="0.25">
      <c r="W585" s="37"/>
      <c r="X585" s="52"/>
      <c r="Y585" s="52"/>
      <c r="Z585" s="37"/>
      <c r="AA585" s="18"/>
      <c r="AB585" s="18"/>
      <c r="AC585" s="18"/>
    </row>
    <row r="586" spans="23:29" customFormat="1" x14ac:dyDescent="0.25">
      <c r="W586" s="37"/>
      <c r="X586" s="52"/>
      <c r="Y586" s="52"/>
      <c r="Z586" s="37"/>
      <c r="AA586" s="18"/>
      <c r="AB586" s="18"/>
      <c r="AC586" s="18"/>
    </row>
    <row r="587" spans="23:29" customFormat="1" x14ac:dyDescent="0.25">
      <c r="W587" s="37"/>
      <c r="X587" s="52"/>
      <c r="Y587" s="52"/>
      <c r="Z587" s="37"/>
      <c r="AA587" s="18"/>
      <c r="AB587" s="18"/>
      <c r="AC587" s="18"/>
    </row>
    <row r="588" spans="23:29" customFormat="1" x14ac:dyDescent="0.25">
      <c r="W588" s="37"/>
      <c r="X588" s="52"/>
      <c r="Y588" s="52"/>
      <c r="Z588" s="37"/>
      <c r="AA588" s="18"/>
      <c r="AB588" s="18"/>
      <c r="AC588" s="18"/>
    </row>
    <row r="589" spans="23:29" customFormat="1" x14ac:dyDescent="0.25">
      <c r="W589" s="37"/>
      <c r="X589" s="52"/>
      <c r="Y589" s="52"/>
      <c r="Z589" s="37"/>
      <c r="AA589" s="18"/>
      <c r="AB589" s="18"/>
      <c r="AC589" s="18"/>
    </row>
    <row r="590" spans="23:29" customFormat="1" x14ac:dyDescent="0.25">
      <c r="W590" s="37"/>
      <c r="X590" s="52"/>
      <c r="Y590" s="52"/>
      <c r="Z590" s="37"/>
      <c r="AA590" s="18"/>
      <c r="AB590" s="18"/>
      <c r="AC590" s="18"/>
    </row>
    <row r="591" spans="23:29" customFormat="1" x14ac:dyDescent="0.25">
      <c r="W591" s="37"/>
      <c r="X591" s="52"/>
      <c r="Y591" s="52"/>
      <c r="Z591" s="37"/>
      <c r="AA591" s="18"/>
      <c r="AB591" s="18"/>
      <c r="AC591" s="18"/>
    </row>
    <row r="592" spans="23:29" customFormat="1" x14ac:dyDescent="0.25">
      <c r="W592" s="37"/>
      <c r="X592" s="52"/>
      <c r="Y592" s="52"/>
      <c r="Z592" s="37"/>
      <c r="AA592" s="18"/>
      <c r="AB592" s="18"/>
      <c r="AC592" s="18"/>
    </row>
    <row r="593" spans="23:29" customFormat="1" x14ac:dyDescent="0.25">
      <c r="W593" s="37"/>
      <c r="X593" s="52"/>
      <c r="Y593" s="52"/>
      <c r="Z593" s="37"/>
      <c r="AA593" s="18"/>
      <c r="AB593" s="18"/>
      <c r="AC593" s="18"/>
    </row>
    <row r="594" spans="23:29" customFormat="1" x14ac:dyDescent="0.25">
      <c r="W594" s="37"/>
      <c r="X594" s="52"/>
      <c r="Y594" s="52"/>
      <c r="Z594" s="37"/>
      <c r="AA594" s="18"/>
      <c r="AB594" s="18"/>
      <c r="AC594" s="18"/>
    </row>
    <row r="595" spans="23:29" customFormat="1" x14ac:dyDescent="0.25">
      <c r="W595" s="37"/>
      <c r="X595" s="52"/>
      <c r="Y595" s="52"/>
      <c r="Z595" s="37"/>
      <c r="AA595" s="18"/>
      <c r="AB595" s="18"/>
      <c r="AC595" s="18"/>
    </row>
    <row r="596" spans="23:29" customFormat="1" x14ac:dyDescent="0.25">
      <c r="W596" s="37"/>
      <c r="X596" s="52"/>
      <c r="Y596" s="52"/>
      <c r="Z596" s="37"/>
      <c r="AA596" s="18"/>
      <c r="AB596" s="18"/>
      <c r="AC596" s="18"/>
    </row>
    <row r="597" spans="23:29" customFormat="1" x14ac:dyDescent="0.25">
      <c r="W597" s="37"/>
      <c r="X597" s="52"/>
      <c r="Y597" s="52"/>
      <c r="Z597" s="37"/>
      <c r="AA597" s="18"/>
      <c r="AB597" s="18"/>
      <c r="AC597" s="18"/>
    </row>
    <row r="598" spans="23:29" customFormat="1" x14ac:dyDescent="0.25">
      <c r="W598" s="37"/>
      <c r="X598" s="52"/>
      <c r="Y598" s="52"/>
      <c r="Z598" s="37"/>
      <c r="AA598" s="18"/>
      <c r="AB598" s="18"/>
      <c r="AC598" s="18"/>
    </row>
    <row r="599" spans="23:29" customFormat="1" x14ac:dyDescent="0.25">
      <c r="W599" s="37"/>
      <c r="X599" s="52"/>
      <c r="Y599" s="52"/>
      <c r="Z599" s="37"/>
      <c r="AA599" s="18"/>
      <c r="AB599" s="18"/>
      <c r="AC599" s="18"/>
    </row>
    <row r="600" spans="23:29" customFormat="1" x14ac:dyDescent="0.25">
      <c r="W600" s="37"/>
      <c r="X600" s="52"/>
      <c r="Y600" s="52"/>
      <c r="Z600" s="37"/>
      <c r="AA600" s="18"/>
      <c r="AB600" s="18"/>
      <c r="AC600" s="18"/>
    </row>
    <row r="601" spans="23:29" customFormat="1" x14ac:dyDescent="0.25">
      <c r="W601" s="37"/>
      <c r="X601" s="52"/>
      <c r="Y601" s="52"/>
      <c r="Z601" s="37"/>
      <c r="AA601" s="18"/>
      <c r="AB601" s="18"/>
      <c r="AC601" s="18"/>
    </row>
    <row r="602" spans="23:29" customFormat="1" x14ac:dyDescent="0.25">
      <c r="W602" s="37"/>
      <c r="X602" s="52"/>
      <c r="Y602" s="52"/>
      <c r="Z602" s="37"/>
      <c r="AA602" s="18"/>
      <c r="AB602" s="18"/>
      <c r="AC602" s="18"/>
    </row>
    <row r="603" spans="23:29" customFormat="1" x14ac:dyDescent="0.25">
      <c r="W603" s="37"/>
      <c r="X603" s="52"/>
      <c r="Y603" s="52"/>
      <c r="Z603" s="37"/>
      <c r="AA603" s="18"/>
      <c r="AB603" s="18"/>
      <c r="AC603" s="18"/>
    </row>
    <row r="604" spans="23:29" customFormat="1" x14ac:dyDescent="0.25">
      <c r="W604" s="37"/>
      <c r="X604" s="52"/>
      <c r="Y604" s="52"/>
      <c r="Z604" s="37"/>
      <c r="AA604" s="18"/>
      <c r="AB604" s="18"/>
      <c r="AC604" s="18"/>
    </row>
    <row r="605" spans="23:29" customFormat="1" x14ac:dyDescent="0.25">
      <c r="W605" s="37"/>
      <c r="X605" s="52"/>
      <c r="Y605" s="52"/>
      <c r="Z605" s="37"/>
      <c r="AA605" s="18"/>
      <c r="AB605" s="18"/>
      <c r="AC605" s="18"/>
    </row>
    <row r="606" spans="23:29" customFormat="1" x14ac:dyDescent="0.25">
      <c r="W606" s="37"/>
      <c r="X606" s="52"/>
      <c r="Y606" s="52"/>
      <c r="Z606" s="37"/>
      <c r="AA606" s="18"/>
      <c r="AB606" s="18"/>
      <c r="AC606" s="18"/>
    </row>
    <row r="607" spans="23:29" customFormat="1" x14ac:dyDescent="0.25">
      <c r="W607" s="37"/>
      <c r="X607" s="52"/>
      <c r="Y607" s="52"/>
      <c r="Z607" s="37"/>
      <c r="AA607" s="18"/>
      <c r="AB607" s="18"/>
      <c r="AC607" s="18"/>
    </row>
    <row r="608" spans="23:29" customFormat="1" x14ac:dyDescent="0.25">
      <c r="W608" s="37"/>
      <c r="X608" s="52"/>
      <c r="Y608" s="52"/>
      <c r="Z608" s="37"/>
      <c r="AA608" s="18"/>
      <c r="AB608" s="18"/>
      <c r="AC608" s="18"/>
    </row>
    <row r="609" spans="23:29" customFormat="1" x14ac:dyDescent="0.25">
      <c r="W609" s="37"/>
      <c r="X609" s="52"/>
      <c r="Y609" s="52"/>
      <c r="Z609" s="37"/>
      <c r="AA609" s="18"/>
      <c r="AB609" s="18"/>
      <c r="AC609" s="18"/>
    </row>
    <row r="610" spans="23:29" customFormat="1" x14ac:dyDescent="0.25">
      <c r="W610" s="37"/>
      <c r="X610" s="52"/>
      <c r="Y610" s="52"/>
      <c r="Z610" s="37"/>
      <c r="AA610" s="18"/>
      <c r="AB610" s="18"/>
      <c r="AC610" s="18"/>
    </row>
    <row r="611" spans="23:29" customFormat="1" x14ac:dyDescent="0.25">
      <c r="W611" s="37"/>
      <c r="X611" s="52"/>
      <c r="Y611" s="52"/>
      <c r="Z611" s="37"/>
      <c r="AA611" s="18"/>
      <c r="AB611" s="18"/>
      <c r="AC611" s="18"/>
    </row>
    <row r="612" spans="23:29" customFormat="1" x14ac:dyDescent="0.25">
      <c r="W612" s="37"/>
      <c r="X612" s="52"/>
      <c r="Y612" s="52"/>
      <c r="Z612" s="37"/>
      <c r="AA612" s="18"/>
      <c r="AB612" s="18"/>
      <c r="AC612" s="18"/>
    </row>
    <row r="613" spans="23:29" customFormat="1" x14ac:dyDescent="0.25">
      <c r="W613" s="37"/>
      <c r="X613" s="52"/>
      <c r="Y613" s="52"/>
      <c r="Z613" s="37"/>
      <c r="AA613" s="18"/>
      <c r="AB613" s="18"/>
      <c r="AC613" s="18"/>
    </row>
    <row r="614" spans="23:29" customFormat="1" x14ac:dyDescent="0.25">
      <c r="W614" s="37"/>
      <c r="X614" s="52"/>
      <c r="Y614" s="52"/>
      <c r="Z614" s="37"/>
      <c r="AA614" s="18"/>
      <c r="AB614" s="18"/>
      <c r="AC614" s="18"/>
    </row>
    <row r="615" spans="23:29" customFormat="1" x14ac:dyDescent="0.25">
      <c r="W615" s="37"/>
      <c r="X615" s="52"/>
      <c r="Y615" s="52"/>
      <c r="Z615" s="37"/>
      <c r="AA615" s="18"/>
      <c r="AB615" s="18"/>
      <c r="AC615" s="18"/>
    </row>
    <row r="616" spans="23:29" customFormat="1" x14ac:dyDescent="0.25">
      <c r="W616" s="37"/>
      <c r="X616" s="52"/>
      <c r="Y616" s="52"/>
      <c r="Z616" s="37"/>
      <c r="AA616" s="18"/>
      <c r="AB616" s="18"/>
      <c r="AC616" s="18"/>
    </row>
    <row r="617" spans="23:29" customFormat="1" x14ac:dyDescent="0.25">
      <c r="W617" s="37"/>
      <c r="X617" s="52"/>
      <c r="Y617" s="52"/>
      <c r="Z617" s="37"/>
      <c r="AA617" s="18"/>
      <c r="AB617" s="18"/>
      <c r="AC617" s="18"/>
    </row>
    <row r="618" spans="23:29" customFormat="1" x14ac:dyDescent="0.25">
      <c r="W618" s="37"/>
      <c r="X618" s="52"/>
      <c r="Y618" s="52"/>
      <c r="Z618" s="37"/>
      <c r="AA618" s="18"/>
      <c r="AB618" s="18"/>
      <c r="AC618" s="18"/>
    </row>
    <row r="619" spans="23:29" customFormat="1" x14ac:dyDescent="0.25">
      <c r="W619" s="37"/>
      <c r="X619" s="52"/>
      <c r="Y619" s="52"/>
      <c r="Z619" s="37"/>
      <c r="AA619" s="18"/>
      <c r="AB619" s="18"/>
      <c r="AC619" s="18"/>
    </row>
    <row r="620" spans="23:29" customFormat="1" x14ac:dyDescent="0.25">
      <c r="W620" s="37"/>
      <c r="X620" s="52"/>
      <c r="Y620" s="52"/>
      <c r="Z620" s="37"/>
      <c r="AA620" s="18"/>
      <c r="AB620" s="18"/>
      <c r="AC620" s="18"/>
    </row>
    <row r="621" spans="23:29" customFormat="1" x14ac:dyDescent="0.25">
      <c r="W621" s="37"/>
      <c r="X621" s="52"/>
      <c r="Y621" s="52"/>
      <c r="Z621" s="37"/>
      <c r="AA621" s="18"/>
      <c r="AB621" s="18"/>
      <c r="AC621" s="18"/>
    </row>
    <row r="622" spans="23:29" customFormat="1" x14ac:dyDescent="0.25">
      <c r="W622" s="37"/>
      <c r="X622" s="52"/>
      <c r="Y622" s="52"/>
      <c r="Z622" s="37"/>
      <c r="AA622" s="18"/>
      <c r="AB622" s="18"/>
      <c r="AC622" s="18"/>
    </row>
    <row r="623" spans="23:29" customFormat="1" x14ac:dyDescent="0.25">
      <c r="W623" s="37"/>
      <c r="X623" s="52"/>
      <c r="Y623" s="52"/>
      <c r="Z623" s="37"/>
      <c r="AA623" s="18"/>
      <c r="AB623" s="18"/>
      <c r="AC623" s="18"/>
    </row>
    <row r="624" spans="23:29" customFormat="1" x14ac:dyDescent="0.25">
      <c r="W624" s="37"/>
      <c r="X624" s="52"/>
      <c r="Y624" s="52"/>
      <c r="Z624" s="37"/>
      <c r="AA624" s="18"/>
      <c r="AB624" s="18"/>
      <c r="AC624" s="18"/>
    </row>
    <row r="625" spans="23:29" customFormat="1" x14ac:dyDescent="0.25">
      <c r="W625" s="37"/>
      <c r="X625" s="52"/>
      <c r="Y625" s="52"/>
      <c r="Z625" s="37"/>
      <c r="AA625" s="18"/>
      <c r="AB625" s="18"/>
      <c r="AC625" s="18"/>
    </row>
    <row r="626" spans="23:29" customFormat="1" x14ac:dyDescent="0.25">
      <c r="W626" s="37"/>
      <c r="X626" s="52"/>
      <c r="Y626" s="52"/>
      <c r="Z626" s="37"/>
      <c r="AA626" s="18"/>
      <c r="AB626" s="18"/>
      <c r="AC626" s="18"/>
    </row>
    <row r="627" spans="23:29" customFormat="1" x14ac:dyDescent="0.25">
      <c r="W627" s="37"/>
      <c r="X627" s="52"/>
      <c r="Y627" s="52"/>
      <c r="Z627" s="37"/>
      <c r="AA627" s="18"/>
      <c r="AB627" s="18"/>
      <c r="AC627" s="18"/>
    </row>
    <row r="628" spans="23:29" customFormat="1" x14ac:dyDescent="0.25">
      <c r="W628" s="37"/>
      <c r="X628" s="52"/>
      <c r="Y628" s="52"/>
      <c r="Z628" s="37"/>
      <c r="AA628" s="18"/>
      <c r="AB628" s="18"/>
      <c r="AC628" s="18"/>
    </row>
    <row r="629" spans="23:29" customFormat="1" x14ac:dyDescent="0.25">
      <c r="W629" s="37"/>
      <c r="X629" s="52"/>
      <c r="Y629" s="52"/>
      <c r="Z629" s="37"/>
      <c r="AA629" s="18"/>
      <c r="AB629" s="18"/>
      <c r="AC629" s="18"/>
    </row>
    <row r="630" spans="23:29" customFormat="1" x14ac:dyDescent="0.25">
      <c r="W630" s="37"/>
      <c r="X630" s="52"/>
      <c r="Y630" s="52"/>
      <c r="Z630" s="37"/>
      <c r="AA630" s="18"/>
      <c r="AB630" s="18"/>
      <c r="AC630" s="18"/>
    </row>
    <row r="631" spans="23:29" customFormat="1" x14ac:dyDescent="0.25">
      <c r="W631" s="37"/>
      <c r="X631" s="52"/>
      <c r="Y631" s="52"/>
      <c r="Z631" s="37"/>
      <c r="AA631" s="18"/>
      <c r="AB631" s="18"/>
      <c r="AC631" s="18"/>
    </row>
    <row r="632" spans="23:29" customFormat="1" x14ac:dyDescent="0.25">
      <c r="W632" s="37"/>
      <c r="X632" s="52"/>
      <c r="Y632" s="52"/>
      <c r="Z632" s="37"/>
      <c r="AA632" s="18"/>
      <c r="AB632" s="18"/>
      <c r="AC632" s="18"/>
    </row>
    <row r="633" spans="23:29" customFormat="1" x14ac:dyDescent="0.25">
      <c r="W633" s="37"/>
      <c r="X633" s="52"/>
      <c r="Y633" s="52"/>
      <c r="Z633" s="37"/>
      <c r="AA633" s="18"/>
      <c r="AB633" s="18"/>
      <c r="AC633" s="18"/>
    </row>
    <row r="634" spans="23:29" customFormat="1" x14ac:dyDescent="0.25">
      <c r="W634" s="37"/>
      <c r="X634" s="52"/>
      <c r="Y634" s="52"/>
      <c r="Z634" s="37"/>
      <c r="AA634" s="18"/>
      <c r="AB634" s="18"/>
      <c r="AC634" s="18"/>
    </row>
    <row r="635" spans="23:29" customFormat="1" x14ac:dyDescent="0.25">
      <c r="W635" s="37"/>
      <c r="X635" s="52"/>
      <c r="Y635" s="52"/>
      <c r="Z635" s="37"/>
      <c r="AA635" s="18"/>
      <c r="AB635" s="18"/>
      <c r="AC635" s="18"/>
    </row>
    <row r="636" spans="23:29" customFormat="1" x14ac:dyDescent="0.25">
      <c r="W636" s="37"/>
      <c r="X636" s="52"/>
      <c r="Y636" s="52"/>
      <c r="Z636" s="37"/>
      <c r="AA636" s="18"/>
      <c r="AB636" s="18"/>
      <c r="AC636" s="18"/>
    </row>
    <row r="637" spans="23:29" customFormat="1" x14ac:dyDescent="0.25">
      <c r="W637" s="37"/>
      <c r="X637" s="52"/>
      <c r="Y637" s="52"/>
      <c r="Z637" s="37"/>
      <c r="AA637" s="18"/>
      <c r="AB637" s="18"/>
      <c r="AC637" s="18"/>
    </row>
    <row r="638" spans="23:29" customFormat="1" x14ac:dyDescent="0.25">
      <c r="W638" s="37"/>
      <c r="X638" s="52"/>
      <c r="Y638" s="52"/>
      <c r="Z638" s="37"/>
      <c r="AA638" s="18"/>
      <c r="AB638" s="18"/>
      <c r="AC638" s="18"/>
    </row>
    <row r="639" spans="23:29" customFormat="1" x14ac:dyDescent="0.25">
      <c r="W639" s="37"/>
      <c r="X639" s="52"/>
      <c r="Y639" s="52"/>
      <c r="Z639" s="37"/>
      <c r="AA639" s="18"/>
      <c r="AB639" s="18"/>
      <c r="AC639" s="18"/>
    </row>
    <row r="640" spans="23:29" customFormat="1" x14ac:dyDescent="0.25">
      <c r="W640" s="37"/>
      <c r="X640" s="52"/>
      <c r="Y640" s="52"/>
      <c r="Z640" s="37"/>
      <c r="AA640" s="18"/>
      <c r="AB640" s="18"/>
      <c r="AC640" s="18"/>
    </row>
    <row r="641" spans="23:29" customFormat="1" x14ac:dyDescent="0.25">
      <c r="W641" s="37"/>
      <c r="X641" s="52"/>
      <c r="Y641" s="52"/>
      <c r="Z641" s="37"/>
      <c r="AA641" s="18"/>
      <c r="AB641" s="18"/>
      <c r="AC641" s="18"/>
    </row>
    <row r="642" spans="23:29" customFormat="1" x14ac:dyDescent="0.25">
      <c r="W642" s="37"/>
      <c r="X642" s="52"/>
      <c r="Y642" s="52"/>
      <c r="Z642" s="37"/>
      <c r="AA642" s="18"/>
      <c r="AB642" s="18"/>
      <c r="AC642" s="18"/>
    </row>
    <row r="643" spans="23:29" customFormat="1" x14ac:dyDescent="0.25">
      <c r="W643" s="37"/>
      <c r="X643" s="52"/>
      <c r="Y643" s="52"/>
      <c r="Z643" s="37"/>
      <c r="AA643" s="18"/>
      <c r="AB643" s="18"/>
      <c r="AC643" s="18"/>
    </row>
    <row r="644" spans="23:29" customFormat="1" x14ac:dyDescent="0.25">
      <c r="W644" s="37"/>
      <c r="X644" s="52"/>
      <c r="Y644" s="52"/>
      <c r="Z644" s="37"/>
      <c r="AA644" s="18"/>
      <c r="AB644" s="18"/>
      <c r="AC644" s="18"/>
    </row>
    <row r="645" spans="23:29" customFormat="1" x14ac:dyDescent="0.25">
      <c r="W645" s="37"/>
      <c r="X645" s="52"/>
      <c r="Y645" s="52"/>
      <c r="Z645" s="37"/>
      <c r="AA645" s="18"/>
      <c r="AB645" s="18"/>
      <c r="AC645" s="18"/>
    </row>
    <row r="646" spans="23:29" customFormat="1" x14ac:dyDescent="0.25">
      <c r="W646" s="37"/>
      <c r="X646" s="52"/>
      <c r="Y646" s="52"/>
      <c r="Z646" s="37"/>
      <c r="AA646" s="18"/>
      <c r="AB646" s="18"/>
      <c r="AC646" s="18"/>
    </row>
    <row r="647" spans="23:29" customFormat="1" x14ac:dyDescent="0.25">
      <c r="W647" s="37"/>
      <c r="X647" s="52"/>
      <c r="Y647" s="52"/>
      <c r="Z647" s="37"/>
      <c r="AA647" s="18"/>
      <c r="AB647" s="18"/>
      <c r="AC647" s="18"/>
    </row>
    <row r="648" spans="23:29" customFormat="1" x14ac:dyDescent="0.25">
      <c r="W648" s="37"/>
      <c r="X648" s="52"/>
      <c r="Y648" s="52"/>
      <c r="Z648" s="37"/>
      <c r="AA648" s="18"/>
      <c r="AB648" s="18"/>
      <c r="AC648" s="18"/>
    </row>
    <row r="649" spans="23:29" customFormat="1" x14ac:dyDescent="0.25">
      <c r="W649" s="37"/>
      <c r="X649" s="52"/>
      <c r="Y649" s="52"/>
      <c r="Z649" s="37"/>
      <c r="AA649" s="18"/>
      <c r="AB649" s="18"/>
      <c r="AC649" s="18"/>
    </row>
    <row r="650" spans="23:29" customFormat="1" x14ac:dyDescent="0.25">
      <c r="W650" s="37"/>
      <c r="X650" s="52"/>
      <c r="Y650" s="52"/>
      <c r="Z650" s="37"/>
      <c r="AA650" s="18"/>
      <c r="AB650" s="18"/>
      <c r="AC650" s="18"/>
    </row>
    <row r="651" spans="23:29" customFormat="1" x14ac:dyDescent="0.25">
      <c r="W651" s="37"/>
      <c r="X651" s="52"/>
      <c r="Y651" s="52"/>
      <c r="Z651" s="37"/>
      <c r="AA651" s="18"/>
      <c r="AB651" s="18"/>
      <c r="AC651" s="18"/>
    </row>
    <row r="652" spans="23:29" customFormat="1" x14ac:dyDescent="0.25">
      <c r="W652" s="37"/>
      <c r="X652" s="52"/>
      <c r="Y652" s="52"/>
      <c r="Z652" s="37"/>
      <c r="AA652" s="18"/>
      <c r="AB652" s="18"/>
      <c r="AC652" s="18"/>
    </row>
    <row r="653" spans="23:29" customFormat="1" x14ac:dyDescent="0.25">
      <c r="W653" s="37"/>
      <c r="X653" s="52"/>
      <c r="Y653" s="52"/>
      <c r="Z653" s="37"/>
      <c r="AA653" s="18"/>
      <c r="AB653" s="18"/>
      <c r="AC653" s="18"/>
    </row>
    <row r="654" spans="23:29" customFormat="1" x14ac:dyDescent="0.25">
      <c r="W654" s="37"/>
      <c r="X654" s="52"/>
      <c r="Y654" s="52"/>
      <c r="Z654" s="37"/>
      <c r="AA654" s="18"/>
      <c r="AB654" s="18"/>
      <c r="AC654" s="18"/>
    </row>
    <row r="655" spans="23:29" customFormat="1" x14ac:dyDescent="0.25">
      <c r="W655" s="37"/>
      <c r="X655" s="52"/>
      <c r="Y655" s="52"/>
      <c r="Z655" s="37"/>
      <c r="AA655" s="18"/>
      <c r="AB655" s="18"/>
      <c r="AC655" s="18"/>
    </row>
    <row r="656" spans="23:29" customFormat="1" x14ac:dyDescent="0.25">
      <c r="W656" s="37"/>
      <c r="X656" s="52"/>
      <c r="Y656" s="52"/>
      <c r="Z656" s="37"/>
      <c r="AA656" s="18"/>
      <c r="AB656" s="18"/>
      <c r="AC656" s="18"/>
    </row>
    <row r="657" spans="23:29" customFormat="1" x14ac:dyDescent="0.25">
      <c r="W657" s="37"/>
      <c r="X657" s="52"/>
      <c r="Y657" s="52"/>
      <c r="Z657" s="37"/>
      <c r="AA657" s="18"/>
      <c r="AB657" s="18"/>
      <c r="AC657" s="18"/>
    </row>
    <row r="658" spans="23:29" customFormat="1" x14ac:dyDescent="0.25">
      <c r="W658" s="37"/>
      <c r="X658" s="52"/>
      <c r="Y658" s="52"/>
      <c r="Z658" s="37"/>
      <c r="AA658" s="18"/>
      <c r="AB658" s="18"/>
      <c r="AC658" s="18"/>
    </row>
    <row r="659" spans="23:29" customFormat="1" x14ac:dyDescent="0.25">
      <c r="W659" s="37"/>
      <c r="X659" s="52"/>
      <c r="Y659" s="52"/>
      <c r="Z659" s="37"/>
      <c r="AA659" s="18"/>
      <c r="AB659" s="18"/>
      <c r="AC659" s="18"/>
    </row>
    <row r="660" spans="23:29" customFormat="1" x14ac:dyDescent="0.25">
      <c r="W660" s="37"/>
      <c r="X660" s="52"/>
      <c r="Y660" s="52"/>
      <c r="Z660" s="37"/>
      <c r="AA660" s="18"/>
      <c r="AB660" s="18"/>
      <c r="AC660" s="18"/>
    </row>
    <row r="661" spans="23:29" customFormat="1" x14ac:dyDescent="0.25">
      <c r="W661" s="37"/>
      <c r="X661" s="52"/>
      <c r="Y661" s="52"/>
      <c r="Z661" s="37"/>
      <c r="AA661" s="18"/>
      <c r="AB661" s="18"/>
      <c r="AC661" s="18"/>
    </row>
    <row r="662" spans="23:29" customFormat="1" x14ac:dyDescent="0.25">
      <c r="W662" s="37"/>
      <c r="X662" s="52"/>
      <c r="Y662" s="52"/>
      <c r="Z662" s="37"/>
      <c r="AA662" s="18"/>
      <c r="AB662" s="18"/>
      <c r="AC662" s="18"/>
    </row>
    <row r="663" spans="23:29" customFormat="1" x14ac:dyDescent="0.25">
      <c r="W663" s="37"/>
      <c r="X663" s="52"/>
      <c r="Y663" s="52"/>
      <c r="Z663" s="37"/>
      <c r="AA663" s="18"/>
      <c r="AB663" s="18"/>
      <c r="AC663" s="18"/>
    </row>
    <row r="664" spans="23:29" customFormat="1" x14ac:dyDescent="0.25">
      <c r="W664" s="37"/>
      <c r="X664" s="52"/>
      <c r="Y664" s="52"/>
      <c r="Z664" s="37"/>
      <c r="AA664" s="18"/>
      <c r="AB664" s="18"/>
      <c r="AC664" s="18"/>
    </row>
    <row r="665" spans="23:29" customFormat="1" x14ac:dyDescent="0.25">
      <c r="W665" s="37"/>
      <c r="X665" s="52"/>
      <c r="Y665" s="52"/>
      <c r="Z665" s="37"/>
      <c r="AA665" s="18"/>
      <c r="AB665" s="18"/>
      <c r="AC665" s="18"/>
    </row>
    <row r="666" spans="23:29" customFormat="1" x14ac:dyDescent="0.25">
      <c r="W666" s="37"/>
      <c r="X666" s="52"/>
      <c r="Y666" s="52"/>
      <c r="Z666" s="37"/>
      <c r="AA666" s="18"/>
      <c r="AB666" s="18"/>
      <c r="AC666" s="18"/>
    </row>
    <row r="667" spans="23:29" customFormat="1" x14ac:dyDescent="0.25">
      <c r="W667" s="37"/>
      <c r="X667" s="52"/>
      <c r="Y667" s="52"/>
      <c r="Z667" s="37"/>
      <c r="AA667" s="18"/>
      <c r="AB667" s="18"/>
      <c r="AC667" s="18"/>
    </row>
    <row r="668" spans="23:29" customFormat="1" x14ac:dyDescent="0.25">
      <c r="W668" s="37"/>
      <c r="X668" s="52"/>
      <c r="Y668" s="52"/>
      <c r="Z668" s="37"/>
      <c r="AA668" s="18"/>
      <c r="AB668" s="18"/>
      <c r="AC668" s="18"/>
    </row>
    <row r="669" spans="23:29" customFormat="1" x14ac:dyDescent="0.25">
      <c r="W669" s="37"/>
      <c r="X669" s="52"/>
      <c r="Y669" s="52"/>
      <c r="Z669" s="37"/>
      <c r="AA669" s="18"/>
      <c r="AB669" s="18"/>
      <c r="AC669" s="18"/>
    </row>
    <row r="670" spans="23:29" customFormat="1" x14ac:dyDescent="0.25">
      <c r="W670" s="37"/>
      <c r="X670" s="52"/>
      <c r="Y670" s="52"/>
      <c r="Z670" s="37"/>
      <c r="AA670" s="18"/>
      <c r="AB670" s="18"/>
      <c r="AC670" s="18"/>
    </row>
    <row r="671" spans="23:29" customFormat="1" x14ac:dyDescent="0.25">
      <c r="W671" s="37"/>
      <c r="X671" s="52"/>
      <c r="Y671" s="52"/>
      <c r="Z671" s="37"/>
      <c r="AA671" s="18"/>
      <c r="AB671" s="18"/>
      <c r="AC671" s="18"/>
    </row>
    <row r="672" spans="23:29" customFormat="1" x14ac:dyDescent="0.25">
      <c r="W672" s="37"/>
      <c r="X672" s="52"/>
      <c r="Y672" s="52"/>
      <c r="Z672" s="37"/>
      <c r="AA672" s="18"/>
      <c r="AB672" s="18"/>
      <c r="AC672" s="18"/>
    </row>
    <row r="673" spans="23:29" customFormat="1" x14ac:dyDescent="0.25">
      <c r="W673" s="37"/>
      <c r="X673" s="52"/>
      <c r="Y673" s="52"/>
      <c r="Z673" s="37"/>
      <c r="AA673" s="18"/>
      <c r="AB673" s="18"/>
      <c r="AC673" s="18"/>
    </row>
    <row r="674" spans="23:29" customFormat="1" x14ac:dyDescent="0.25">
      <c r="W674" s="37"/>
      <c r="X674" s="52"/>
      <c r="Y674" s="52"/>
      <c r="Z674" s="37"/>
      <c r="AA674" s="18"/>
      <c r="AB674" s="18"/>
      <c r="AC674" s="18"/>
    </row>
    <row r="675" spans="23:29" customFormat="1" x14ac:dyDescent="0.25">
      <c r="W675" s="37"/>
      <c r="X675" s="52"/>
      <c r="Y675" s="52"/>
      <c r="Z675" s="37"/>
      <c r="AA675" s="18"/>
      <c r="AB675" s="18"/>
      <c r="AC675" s="18"/>
    </row>
    <row r="676" spans="23:29" customFormat="1" x14ac:dyDescent="0.25">
      <c r="W676" s="37"/>
      <c r="X676" s="52"/>
      <c r="Y676" s="52"/>
      <c r="Z676" s="37"/>
      <c r="AA676" s="18"/>
      <c r="AB676" s="18"/>
      <c r="AC676" s="18"/>
    </row>
    <row r="677" spans="23:29" customFormat="1" x14ac:dyDescent="0.25">
      <c r="W677" s="37"/>
      <c r="X677" s="52"/>
      <c r="Y677" s="52"/>
      <c r="Z677" s="37"/>
      <c r="AA677" s="18"/>
      <c r="AB677" s="18"/>
      <c r="AC677" s="18"/>
    </row>
    <row r="678" spans="23:29" customFormat="1" x14ac:dyDescent="0.25">
      <c r="W678" s="37"/>
      <c r="X678" s="52"/>
      <c r="Y678" s="52"/>
      <c r="Z678" s="37"/>
      <c r="AA678" s="18"/>
      <c r="AB678" s="18"/>
      <c r="AC678" s="18"/>
    </row>
    <row r="679" spans="23:29" customFormat="1" x14ac:dyDescent="0.25">
      <c r="W679" s="37"/>
      <c r="X679" s="52"/>
      <c r="Y679" s="52"/>
      <c r="Z679" s="37"/>
      <c r="AA679" s="18"/>
      <c r="AB679" s="18"/>
      <c r="AC679" s="18"/>
    </row>
    <row r="680" spans="23:29" customFormat="1" x14ac:dyDescent="0.25">
      <c r="W680" s="37"/>
      <c r="X680" s="52"/>
      <c r="Y680" s="52"/>
      <c r="Z680" s="37"/>
      <c r="AA680" s="18"/>
      <c r="AB680" s="18"/>
      <c r="AC680" s="18"/>
    </row>
    <row r="681" spans="23:29" customFormat="1" x14ac:dyDescent="0.25">
      <c r="W681" s="37"/>
      <c r="X681" s="52"/>
      <c r="Y681" s="52"/>
      <c r="Z681" s="37"/>
      <c r="AA681" s="18"/>
      <c r="AB681" s="18"/>
      <c r="AC681" s="18"/>
    </row>
    <row r="682" spans="23:29" customFormat="1" x14ac:dyDescent="0.25">
      <c r="W682" s="37"/>
      <c r="X682" s="52"/>
      <c r="Y682" s="52"/>
      <c r="Z682" s="37"/>
      <c r="AA682" s="18"/>
      <c r="AB682" s="18"/>
      <c r="AC682" s="18"/>
    </row>
    <row r="683" spans="23:29" customFormat="1" x14ac:dyDescent="0.25">
      <c r="W683" s="37"/>
      <c r="X683" s="52"/>
      <c r="Y683" s="52"/>
      <c r="Z683" s="37"/>
      <c r="AA683" s="18"/>
      <c r="AB683" s="18"/>
      <c r="AC683" s="18"/>
    </row>
    <row r="684" spans="23:29" customFormat="1" x14ac:dyDescent="0.25">
      <c r="W684" s="37"/>
      <c r="X684" s="52"/>
      <c r="Y684" s="52"/>
      <c r="Z684" s="37"/>
      <c r="AA684" s="18"/>
      <c r="AB684" s="18"/>
      <c r="AC684" s="18"/>
    </row>
    <row r="685" spans="23:29" customFormat="1" x14ac:dyDescent="0.25">
      <c r="W685" s="37"/>
      <c r="X685" s="52"/>
      <c r="Y685" s="52"/>
      <c r="Z685" s="37"/>
      <c r="AA685" s="18"/>
      <c r="AB685" s="18"/>
      <c r="AC685" s="18"/>
    </row>
    <row r="686" spans="23:29" customFormat="1" x14ac:dyDescent="0.25">
      <c r="W686" s="37"/>
      <c r="X686" s="52"/>
      <c r="Y686" s="52"/>
      <c r="Z686" s="37"/>
      <c r="AA686" s="18"/>
      <c r="AB686" s="18"/>
      <c r="AC686" s="18"/>
    </row>
    <row r="687" spans="23:29" customFormat="1" x14ac:dyDescent="0.25">
      <c r="W687" s="37"/>
      <c r="X687" s="52"/>
      <c r="Y687" s="52"/>
      <c r="Z687" s="37"/>
      <c r="AA687" s="18"/>
      <c r="AB687" s="18"/>
      <c r="AC687" s="18"/>
    </row>
    <row r="688" spans="23:29" customFormat="1" x14ac:dyDescent="0.25">
      <c r="W688" s="37"/>
      <c r="X688" s="52"/>
      <c r="Y688" s="52"/>
      <c r="Z688" s="37"/>
      <c r="AA688" s="18"/>
      <c r="AB688" s="18"/>
      <c r="AC688" s="18"/>
    </row>
    <row r="689" spans="23:29" customFormat="1" x14ac:dyDescent="0.25">
      <c r="W689" s="37"/>
      <c r="X689" s="52"/>
      <c r="Y689" s="52"/>
      <c r="Z689" s="37"/>
      <c r="AA689" s="18"/>
      <c r="AB689" s="18"/>
      <c r="AC689" s="18"/>
    </row>
    <row r="690" spans="23:29" customFormat="1" x14ac:dyDescent="0.25">
      <c r="W690" s="37"/>
      <c r="X690" s="52"/>
      <c r="Y690" s="52"/>
      <c r="Z690" s="37"/>
      <c r="AA690" s="18"/>
      <c r="AB690" s="18"/>
      <c r="AC690" s="18"/>
    </row>
    <row r="691" spans="23:29" customFormat="1" x14ac:dyDescent="0.25">
      <c r="W691" s="37"/>
      <c r="X691" s="52"/>
      <c r="Y691" s="52"/>
      <c r="Z691" s="37"/>
      <c r="AA691" s="18"/>
      <c r="AB691" s="18"/>
      <c r="AC691" s="18"/>
    </row>
    <row r="692" spans="23:29" customFormat="1" x14ac:dyDescent="0.25">
      <c r="W692" s="37"/>
      <c r="X692" s="52"/>
      <c r="Y692" s="52"/>
      <c r="Z692" s="37"/>
      <c r="AA692" s="18"/>
      <c r="AB692" s="18"/>
      <c r="AC692" s="18"/>
    </row>
    <row r="693" spans="23:29" customFormat="1" x14ac:dyDescent="0.25">
      <c r="W693" s="37"/>
      <c r="X693" s="52"/>
      <c r="Y693" s="52"/>
      <c r="Z693" s="37"/>
      <c r="AA693" s="18"/>
      <c r="AB693" s="18"/>
      <c r="AC693" s="18"/>
    </row>
    <row r="694" spans="23:29" customFormat="1" x14ac:dyDescent="0.25">
      <c r="W694" s="37"/>
      <c r="X694" s="52"/>
      <c r="Y694" s="52"/>
      <c r="Z694" s="37"/>
      <c r="AA694" s="18"/>
      <c r="AB694" s="18"/>
      <c r="AC694" s="18"/>
    </row>
    <row r="695" spans="23:29" customFormat="1" x14ac:dyDescent="0.25">
      <c r="W695" s="37"/>
      <c r="X695" s="52"/>
      <c r="Y695" s="52"/>
      <c r="Z695" s="37"/>
      <c r="AA695" s="18"/>
      <c r="AB695" s="18"/>
      <c r="AC695" s="18"/>
    </row>
    <row r="696" spans="23:29" customFormat="1" x14ac:dyDescent="0.25">
      <c r="W696" s="37"/>
      <c r="X696" s="52"/>
      <c r="Y696" s="52"/>
      <c r="Z696" s="37"/>
      <c r="AA696" s="18"/>
      <c r="AB696" s="18"/>
      <c r="AC696" s="18"/>
    </row>
    <row r="697" spans="23:29" customFormat="1" x14ac:dyDescent="0.25">
      <c r="W697" s="37"/>
      <c r="X697" s="52"/>
      <c r="Y697" s="52"/>
      <c r="Z697" s="37"/>
      <c r="AA697" s="18"/>
      <c r="AB697" s="18"/>
      <c r="AC697" s="18"/>
    </row>
    <row r="698" spans="23:29" customFormat="1" x14ac:dyDescent="0.25">
      <c r="W698" s="37"/>
      <c r="X698" s="52"/>
      <c r="Y698" s="52"/>
      <c r="Z698" s="37"/>
      <c r="AA698" s="18"/>
      <c r="AB698" s="18"/>
      <c r="AC698" s="18"/>
    </row>
    <row r="699" spans="23:29" customFormat="1" x14ac:dyDescent="0.25">
      <c r="W699" s="37"/>
      <c r="X699" s="52"/>
      <c r="Y699" s="52"/>
      <c r="Z699" s="37"/>
      <c r="AA699" s="18"/>
      <c r="AB699" s="18"/>
      <c r="AC699" s="18"/>
    </row>
    <row r="700" spans="23:29" customFormat="1" x14ac:dyDescent="0.25">
      <c r="W700" s="37"/>
      <c r="X700" s="52"/>
      <c r="Y700" s="52"/>
      <c r="Z700" s="37"/>
      <c r="AA700" s="18"/>
      <c r="AB700" s="18"/>
      <c r="AC700" s="18"/>
    </row>
    <row r="701" spans="23:29" customFormat="1" x14ac:dyDescent="0.25">
      <c r="W701" s="37"/>
      <c r="X701" s="52"/>
      <c r="Y701" s="52"/>
      <c r="Z701" s="37"/>
      <c r="AA701" s="18"/>
      <c r="AB701" s="18"/>
      <c r="AC701" s="18"/>
    </row>
    <row r="702" spans="23:29" customFormat="1" x14ac:dyDescent="0.25">
      <c r="W702" s="37"/>
      <c r="X702" s="52"/>
      <c r="Y702" s="52"/>
      <c r="Z702" s="37"/>
      <c r="AA702" s="18"/>
      <c r="AB702" s="18"/>
      <c r="AC702" s="18"/>
    </row>
    <row r="703" spans="23:29" customFormat="1" x14ac:dyDescent="0.25">
      <c r="W703" s="37"/>
      <c r="X703" s="52"/>
      <c r="Y703" s="52"/>
      <c r="Z703" s="37"/>
      <c r="AA703" s="18"/>
      <c r="AB703" s="18"/>
      <c r="AC703" s="18"/>
    </row>
    <row r="704" spans="23:29" customFormat="1" x14ac:dyDescent="0.25">
      <c r="W704" s="37"/>
      <c r="X704" s="52"/>
      <c r="Y704" s="52"/>
      <c r="Z704" s="37"/>
      <c r="AA704" s="18"/>
      <c r="AB704" s="18"/>
      <c r="AC704" s="18"/>
    </row>
    <row r="705" spans="23:29" customFormat="1" x14ac:dyDescent="0.25">
      <c r="W705" s="37"/>
      <c r="X705" s="52"/>
      <c r="Y705" s="52"/>
      <c r="Z705" s="37"/>
      <c r="AA705" s="18"/>
      <c r="AB705" s="18"/>
      <c r="AC705" s="18"/>
    </row>
    <row r="706" spans="23:29" customFormat="1" x14ac:dyDescent="0.25">
      <c r="W706" s="37"/>
      <c r="X706" s="52"/>
      <c r="Y706" s="52"/>
      <c r="Z706" s="37"/>
      <c r="AA706" s="18"/>
      <c r="AB706" s="18"/>
      <c r="AC706" s="18"/>
    </row>
    <row r="707" spans="23:29" customFormat="1" x14ac:dyDescent="0.25">
      <c r="W707" s="37"/>
      <c r="X707" s="52"/>
      <c r="Y707" s="52"/>
      <c r="Z707" s="37"/>
      <c r="AA707" s="18"/>
      <c r="AB707" s="18"/>
      <c r="AC707" s="18"/>
    </row>
    <row r="708" spans="23:29" customFormat="1" x14ac:dyDescent="0.25">
      <c r="W708" s="37"/>
      <c r="X708" s="52"/>
      <c r="Y708" s="52"/>
      <c r="Z708" s="37"/>
      <c r="AA708" s="18"/>
      <c r="AB708" s="18"/>
      <c r="AC708" s="18"/>
    </row>
    <row r="709" spans="23:29" customFormat="1" x14ac:dyDescent="0.25">
      <c r="W709" s="37"/>
      <c r="X709" s="52"/>
      <c r="Y709" s="52"/>
      <c r="Z709" s="37"/>
      <c r="AA709" s="18"/>
      <c r="AB709" s="18"/>
      <c r="AC709" s="18"/>
    </row>
    <row r="710" spans="23:29" customFormat="1" x14ac:dyDescent="0.25">
      <c r="W710" s="37"/>
      <c r="X710" s="52"/>
      <c r="Y710" s="52"/>
      <c r="Z710" s="37"/>
      <c r="AA710" s="18"/>
      <c r="AB710" s="18"/>
      <c r="AC710" s="18"/>
    </row>
    <row r="711" spans="23:29" customFormat="1" x14ac:dyDescent="0.25">
      <c r="W711" s="37"/>
      <c r="X711" s="52"/>
      <c r="Y711" s="52"/>
      <c r="Z711" s="37"/>
      <c r="AA711" s="18"/>
      <c r="AB711" s="18"/>
      <c r="AC711" s="18"/>
    </row>
    <row r="712" spans="23:29" customFormat="1" x14ac:dyDescent="0.25">
      <c r="W712" s="37"/>
      <c r="X712" s="52"/>
      <c r="Y712" s="52"/>
      <c r="Z712" s="37"/>
      <c r="AA712" s="18"/>
      <c r="AB712" s="18"/>
      <c r="AC712" s="18"/>
    </row>
    <row r="713" spans="23:29" customFormat="1" x14ac:dyDescent="0.25">
      <c r="W713" s="37"/>
      <c r="X713" s="52"/>
      <c r="Y713" s="52"/>
      <c r="Z713" s="37"/>
      <c r="AA713" s="18"/>
      <c r="AB713" s="18"/>
      <c r="AC713" s="18"/>
    </row>
    <row r="714" spans="23:29" customFormat="1" x14ac:dyDescent="0.25">
      <c r="W714" s="37"/>
      <c r="X714" s="52"/>
      <c r="Y714" s="52"/>
      <c r="Z714" s="37"/>
      <c r="AA714" s="18"/>
      <c r="AB714" s="18"/>
      <c r="AC714" s="18"/>
    </row>
    <row r="715" spans="23:29" customFormat="1" x14ac:dyDescent="0.25">
      <c r="W715" s="37"/>
      <c r="X715" s="52"/>
      <c r="Y715" s="52"/>
      <c r="Z715" s="37"/>
      <c r="AA715" s="18"/>
      <c r="AB715" s="18"/>
      <c r="AC715" s="18"/>
    </row>
    <row r="716" spans="23:29" customFormat="1" x14ac:dyDescent="0.25">
      <c r="W716" s="37"/>
      <c r="X716" s="52"/>
      <c r="Y716" s="52"/>
      <c r="Z716" s="37"/>
      <c r="AA716" s="18"/>
      <c r="AB716" s="18"/>
      <c r="AC716" s="18"/>
    </row>
    <row r="717" spans="23:29" customFormat="1" x14ac:dyDescent="0.25">
      <c r="W717" s="37"/>
      <c r="X717" s="52"/>
      <c r="Y717" s="52"/>
      <c r="Z717" s="37"/>
      <c r="AA717" s="18"/>
      <c r="AB717" s="18"/>
      <c r="AC717" s="18"/>
    </row>
    <row r="718" spans="23:29" customFormat="1" x14ac:dyDescent="0.25">
      <c r="W718" s="37"/>
      <c r="X718" s="52"/>
      <c r="Y718" s="52"/>
      <c r="Z718" s="37"/>
      <c r="AA718" s="18"/>
      <c r="AB718" s="18"/>
      <c r="AC718" s="18"/>
    </row>
    <row r="719" spans="23:29" customFormat="1" x14ac:dyDescent="0.25">
      <c r="W719" s="37"/>
      <c r="X719" s="52"/>
      <c r="Y719" s="52"/>
      <c r="Z719" s="37"/>
      <c r="AA719" s="18"/>
      <c r="AB719" s="18"/>
      <c r="AC719" s="18"/>
    </row>
    <row r="720" spans="23:29" customFormat="1" x14ac:dyDescent="0.25">
      <c r="W720" s="37"/>
      <c r="X720" s="52"/>
      <c r="Y720" s="52"/>
      <c r="Z720" s="37"/>
      <c r="AA720" s="18"/>
      <c r="AB720" s="18"/>
      <c r="AC720" s="18"/>
    </row>
    <row r="721" spans="23:29" customFormat="1" x14ac:dyDescent="0.25">
      <c r="W721" s="37"/>
      <c r="X721" s="52"/>
      <c r="Y721" s="52"/>
      <c r="Z721" s="37"/>
      <c r="AA721" s="18"/>
      <c r="AB721" s="18"/>
      <c r="AC721" s="18"/>
    </row>
    <row r="722" spans="23:29" customFormat="1" x14ac:dyDescent="0.25">
      <c r="W722" s="37"/>
      <c r="X722" s="52"/>
      <c r="Y722" s="52"/>
      <c r="Z722" s="37"/>
      <c r="AA722" s="18"/>
      <c r="AB722" s="18"/>
      <c r="AC722" s="18"/>
    </row>
    <row r="723" spans="23:29" customFormat="1" x14ac:dyDescent="0.25">
      <c r="W723" s="37"/>
      <c r="X723" s="52"/>
      <c r="Y723" s="52"/>
      <c r="Z723" s="37"/>
      <c r="AA723" s="18"/>
      <c r="AB723" s="18"/>
      <c r="AC723" s="18"/>
    </row>
    <row r="724" spans="23:29" customFormat="1" x14ac:dyDescent="0.25">
      <c r="W724" s="37"/>
      <c r="X724" s="52"/>
      <c r="Y724" s="52"/>
      <c r="Z724" s="37"/>
      <c r="AA724" s="18"/>
      <c r="AB724" s="18"/>
      <c r="AC724" s="18"/>
    </row>
    <row r="725" spans="23:29" customFormat="1" x14ac:dyDescent="0.25">
      <c r="W725" s="37"/>
      <c r="X725" s="52"/>
      <c r="Y725" s="52"/>
      <c r="Z725" s="37"/>
      <c r="AA725" s="18"/>
      <c r="AB725" s="18"/>
      <c r="AC725" s="18"/>
    </row>
    <row r="726" spans="23:29" customFormat="1" x14ac:dyDescent="0.25">
      <c r="W726" s="37"/>
      <c r="X726" s="52"/>
      <c r="Y726" s="52"/>
      <c r="Z726" s="37"/>
      <c r="AA726" s="18"/>
      <c r="AB726" s="18"/>
      <c r="AC726" s="18"/>
    </row>
    <row r="727" spans="23:29" customFormat="1" x14ac:dyDescent="0.25">
      <c r="W727" s="37"/>
      <c r="X727" s="52"/>
      <c r="Y727" s="52"/>
      <c r="Z727" s="37"/>
      <c r="AA727" s="18"/>
      <c r="AB727" s="18"/>
      <c r="AC727" s="18"/>
    </row>
    <row r="728" spans="23:29" customFormat="1" x14ac:dyDescent="0.25">
      <c r="W728" s="37"/>
      <c r="X728" s="52"/>
      <c r="Y728" s="52"/>
      <c r="Z728" s="37"/>
      <c r="AA728" s="18"/>
      <c r="AB728" s="18"/>
      <c r="AC728" s="18"/>
    </row>
    <row r="729" spans="23:29" customFormat="1" x14ac:dyDescent="0.25">
      <c r="W729" s="37"/>
      <c r="X729" s="52"/>
      <c r="Y729" s="52"/>
      <c r="Z729" s="37"/>
      <c r="AA729" s="18"/>
      <c r="AB729" s="18"/>
      <c r="AC729" s="18"/>
    </row>
    <row r="730" spans="23:29" customFormat="1" x14ac:dyDescent="0.25">
      <c r="W730" s="37"/>
      <c r="X730" s="52"/>
      <c r="Y730" s="52"/>
      <c r="Z730" s="37"/>
      <c r="AA730" s="18"/>
      <c r="AB730" s="18"/>
      <c r="AC730" s="18"/>
    </row>
    <row r="731" spans="23:29" customFormat="1" x14ac:dyDescent="0.25">
      <c r="W731" s="37"/>
      <c r="X731" s="52"/>
      <c r="Y731" s="52"/>
      <c r="Z731" s="37"/>
      <c r="AA731" s="18"/>
      <c r="AB731" s="18"/>
      <c r="AC731" s="18"/>
    </row>
    <row r="732" spans="23:29" customFormat="1" x14ac:dyDescent="0.25">
      <c r="W732" s="37"/>
      <c r="X732" s="52"/>
      <c r="Y732" s="52"/>
      <c r="Z732" s="37"/>
      <c r="AA732" s="18"/>
      <c r="AB732" s="18"/>
      <c r="AC732" s="18"/>
    </row>
    <row r="733" spans="23:29" customFormat="1" x14ac:dyDescent="0.25">
      <c r="W733" s="37"/>
      <c r="X733" s="52"/>
      <c r="Y733" s="52"/>
      <c r="Z733" s="37"/>
      <c r="AA733" s="18"/>
      <c r="AB733" s="18"/>
      <c r="AC733" s="18"/>
    </row>
    <row r="734" spans="23:29" customFormat="1" x14ac:dyDescent="0.25">
      <c r="W734" s="37"/>
      <c r="X734" s="52"/>
      <c r="Y734" s="52"/>
      <c r="Z734" s="37"/>
      <c r="AA734" s="18"/>
      <c r="AB734" s="18"/>
      <c r="AC734" s="18"/>
    </row>
    <row r="735" spans="23:29" customFormat="1" x14ac:dyDescent="0.25">
      <c r="W735" s="37"/>
      <c r="X735" s="52"/>
      <c r="Y735" s="52"/>
      <c r="Z735" s="37"/>
      <c r="AA735" s="18"/>
      <c r="AB735" s="18"/>
      <c r="AC735" s="18"/>
    </row>
    <row r="736" spans="23:29" customFormat="1" x14ac:dyDescent="0.25">
      <c r="W736" s="37"/>
      <c r="X736" s="52"/>
      <c r="Y736" s="52"/>
      <c r="Z736" s="37"/>
      <c r="AA736" s="18"/>
      <c r="AB736" s="18"/>
      <c r="AC736" s="18"/>
    </row>
    <row r="737" spans="23:29" customFormat="1" x14ac:dyDescent="0.25">
      <c r="W737" s="37"/>
      <c r="X737" s="52"/>
      <c r="Y737" s="52"/>
      <c r="Z737" s="37"/>
      <c r="AA737" s="18"/>
      <c r="AB737" s="18"/>
      <c r="AC737" s="18"/>
    </row>
    <row r="738" spans="23:29" customFormat="1" x14ac:dyDescent="0.25">
      <c r="W738" s="37"/>
      <c r="X738" s="52"/>
      <c r="Y738" s="52"/>
      <c r="Z738" s="37"/>
      <c r="AA738" s="18"/>
      <c r="AB738" s="18"/>
      <c r="AC738" s="18"/>
    </row>
    <row r="739" spans="23:29" customFormat="1" x14ac:dyDescent="0.25">
      <c r="W739" s="37"/>
      <c r="X739" s="52"/>
      <c r="Y739" s="52"/>
      <c r="Z739" s="37"/>
      <c r="AA739" s="18"/>
      <c r="AB739" s="18"/>
      <c r="AC739" s="18"/>
    </row>
    <row r="740" spans="23:29" customFormat="1" x14ac:dyDescent="0.25">
      <c r="W740" s="37"/>
      <c r="X740" s="52"/>
      <c r="Y740" s="52"/>
      <c r="Z740" s="37"/>
      <c r="AA740" s="18"/>
      <c r="AB740" s="18"/>
      <c r="AC740" s="18"/>
    </row>
    <row r="741" spans="23:29" customFormat="1" x14ac:dyDescent="0.25">
      <c r="W741" s="37"/>
      <c r="X741" s="52"/>
      <c r="Y741" s="52"/>
      <c r="Z741" s="37"/>
      <c r="AA741" s="18"/>
      <c r="AB741" s="18"/>
      <c r="AC741" s="18"/>
    </row>
    <row r="742" spans="23:29" customFormat="1" x14ac:dyDescent="0.25">
      <c r="W742" s="37"/>
      <c r="X742" s="52"/>
      <c r="Y742" s="52"/>
      <c r="Z742" s="37"/>
      <c r="AA742" s="18"/>
      <c r="AB742" s="18"/>
      <c r="AC742" s="18"/>
    </row>
    <row r="743" spans="23:29" customFormat="1" x14ac:dyDescent="0.25">
      <c r="W743" s="37"/>
      <c r="X743" s="52"/>
      <c r="Y743" s="52"/>
      <c r="Z743" s="37"/>
      <c r="AA743" s="18"/>
      <c r="AB743" s="18"/>
      <c r="AC743" s="18"/>
    </row>
    <row r="744" spans="23:29" customFormat="1" x14ac:dyDescent="0.25">
      <c r="W744" s="37"/>
      <c r="X744" s="52"/>
      <c r="Y744" s="52"/>
      <c r="Z744" s="37"/>
      <c r="AA744" s="18"/>
      <c r="AB744" s="18"/>
      <c r="AC744" s="18"/>
    </row>
    <row r="745" spans="23:29" customFormat="1" x14ac:dyDescent="0.25">
      <c r="W745" s="37"/>
      <c r="X745" s="52"/>
      <c r="Y745" s="52"/>
      <c r="Z745" s="37"/>
      <c r="AA745" s="18"/>
      <c r="AB745" s="18"/>
      <c r="AC745" s="18"/>
    </row>
    <row r="746" spans="23:29" customFormat="1" x14ac:dyDescent="0.25">
      <c r="W746" s="37"/>
      <c r="X746" s="52"/>
      <c r="Y746" s="52"/>
      <c r="Z746" s="37"/>
      <c r="AA746" s="18"/>
      <c r="AB746" s="18"/>
      <c r="AC746" s="18"/>
    </row>
    <row r="747" spans="23:29" customFormat="1" x14ac:dyDescent="0.25">
      <c r="W747" s="37"/>
      <c r="X747" s="52"/>
      <c r="Y747" s="52"/>
      <c r="Z747" s="37"/>
      <c r="AA747" s="18"/>
      <c r="AB747" s="18"/>
      <c r="AC747" s="18"/>
    </row>
    <row r="748" spans="23:29" customFormat="1" x14ac:dyDescent="0.25">
      <c r="W748" s="37"/>
      <c r="X748" s="52"/>
      <c r="Y748" s="52"/>
      <c r="Z748" s="37"/>
      <c r="AA748" s="18"/>
      <c r="AB748" s="18"/>
      <c r="AC748" s="18"/>
    </row>
    <row r="749" spans="23:29" customFormat="1" x14ac:dyDescent="0.25">
      <c r="W749" s="37"/>
      <c r="X749" s="52"/>
      <c r="Y749" s="52"/>
      <c r="Z749" s="37"/>
      <c r="AA749" s="18"/>
      <c r="AB749" s="18"/>
      <c r="AC749" s="18"/>
    </row>
    <row r="750" spans="23:29" customFormat="1" x14ac:dyDescent="0.25">
      <c r="W750" s="37"/>
      <c r="X750" s="52"/>
      <c r="Y750" s="52"/>
      <c r="Z750" s="37"/>
      <c r="AA750" s="18"/>
      <c r="AB750" s="18"/>
      <c r="AC750" s="18"/>
    </row>
    <row r="751" spans="23:29" customFormat="1" x14ac:dyDescent="0.25">
      <c r="W751" s="37"/>
      <c r="X751" s="52"/>
      <c r="Y751" s="52"/>
      <c r="Z751" s="37"/>
      <c r="AA751" s="18"/>
      <c r="AB751" s="18"/>
      <c r="AC751" s="18"/>
    </row>
    <row r="752" spans="23:29" customFormat="1" x14ac:dyDescent="0.25">
      <c r="W752" s="37"/>
      <c r="X752" s="52"/>
      <c r="Y752" s="52"/>
      <c r="Z752" s="37"/>
      <c r="AA752" s="18"/>
      <c r="AB752" s="18"/>
      <c r="AC752" s="18"/>
    </row>
    <row r="753" spans="23:29" customFormat="1" x14ac:dyDescent="0.25">
      <c r="W753" s="37"/>
      <c r="X753" s="52"/>
      <c r="Y753" s="52"/>
      <c r="Z753" s="37"/>
      <c r="AA753" s="18"/>
      <c r="AB753" s="18"/>
      <c r="AC753" s="18"/>
    </row>
    <row r="754" spans="23:29" customFormat="1" x14ac:dyDescent="0.25">
      <c r="W754" s="37"/>
      <c r="X754" s="52"/>
      <c r="Y754" s="52"/>
      <c r="Z754" s="37"/>
      <c r="AA754" s="18"/>
      <c r="AB754" s="18"/>
      <c r="AC754" s="18"/>
    </row>
    <row r="755" spans="23:29" customFormat="1" x14ac:dyDescent="0.25">
      <c r="W755" s="37"/>
      <c r="X755" s="52"/>
      <c r="Y755" s="52"/>
      <c r="Z755" s="37"/>
      <c r="AA755" s="18"/>
      <c r="AB755" s="18"/>
      <c r="AC755" s="18"/>
    </row>
    <row r="756" spans="23:29" customFormat="1" x14ac:dyDescent="0.25">
      <c r="W756" s="37"/>
      <c r="X756" s="52"/>
      <c r="Y756" s="52"/>
      <c r="Z756" s="37"/>
      <c r="AA756" s="18"/>
      <c r="AB756" s="18"/>
      <c r="AC756" s="18"/>
    </row>
    <row r="757" spans="23:29" customFormat="1" x14ac:dyDescent="0.25">
      <c r="W757" s="37"/>
      <c r="X757" s="52"/>
      <c r="Y757" s="52"/>
      <c r="Z757" s="37"/>
      <c r="AA757" s="18"/>
      <c r="AB757" s="18"/>
      <c r="AC757" s="18"/>
    </row>
    <row r="758" spans="23:29" customFormat="1" x14ac:dyDescent="0.25">
      <c r="W758" s="37"/>
      <c r="X758" s="52"/>
      <c r="Y758" s="52"/>
      <c r="Z758" s="37"/>
      <c r="AA758" s="18"/>
      <c r="AB758" s="18"/>
      <c r="AC758" s="18"/>
    </row>
    <row r="759" spans="23:29" customFormat="1" x14ac:dyDescent="0.25">
      <c r="W759" s="37"/>
      <c r="X759" s="52"/>
      <c r="Y759" s="52"/>
      <c r="Z759" s="37"/>
      <c r="AA759" s="18"/>
      <c r="AB759" s="18"/>
      <c r="AC759" s="18"/>
    </row>
    <row r="760" spans="23:29" customFormat="1" x14ac:dyDescent="0.25">
      <c r="W760" s="37"/>
      <c r="X760" s="52"/>
      <c r="Y760" s="52"/>
      <c r="Z760" s="37"/>
      <c r="AA760" s="18"/>
      <c r="AB760" s="18"/>
      <c r="AC760" s="18"/>
    </row>
    <row r="761" spans="23:29" customFormat="1" x14ac:dyDescent="0.25">
      <c r="W761" s="37"/>
      <c r="X761" s="52"/>
      <c r="Y761" s="52"/>
      <c r="Z761" s="37"/>
      <c r="AA761" s="18"/>
      <c r="AB761" s="18"/>
      <c r="AC761" s="18"/>
    </row>
    <row r="762" spans="23:29" customFormat="1" x14ac:dyDescent="0.25">
      <c r="W762" s="37"/>
      <c r="X762" s="52"/>
      <c r="Y762" s="52"/>
      <c r="Z762" s="37"/>
      <c r="AA762" s="18"/>
      <c r="AB762" s="18"/>
      <c r="AC762" s="18"/>
    </row>
    <row r="763" spans="23:29" customFormat="1" x14ac:dyDescent="0.25">
      <c r="W763" s="37"/>
      <c r="X763" s="52"/>
      <c r="Y763" s="52"/>
      <c r="Z763" s="37"/>
      <c r="AA763" s="18"/>
      <c r="AB763" s="18"/>
      <c r="AC763" s="18"/>
    </row>
    <row r="764" spans="23:29" customFormat="1" x14ac:dyDescent="0.25">
      <c r="W764" s="37"/>
      <c r="X764" s="52"/>
      <c r="Y764" s="52"/>
      <c r="Z764" s="37"/>
      <c r="AA764" s="18"/>
      <c r="AB764" s="18"/>
      <c r="AC764" s="18"/>
    </row>
    <row r="765" spans="23:29" customFormat="1" x14ac:dyDescent="0.25">
      <c r="W765" s="37"/>
      <c r="X765" s="52"/>
      <c r="Y765" s="52"/>
      <c r="Z765" s="37"/>
      <c r="AA765" s="18"/>
      <c r="AB765" s="18"/>
      <c r="AC765" s="18"/>
    </row>
    <row r="766" spans="23:29" customFormat="1" x14ac:dyDescent="0.25">
      <c r="W766" s="37"/>
      <c r="X766" s="52"/>
      <c r="Y766" s="52"/>
      <c r="Z766" s="37"/>
      <c r="AA766" s="18"/>
      <c r="AB766" s="18"/>
      <c r="AC766" s="18"/>
    </row>
    <row r="767" spans="23:29" customFormat="1" x14ac:dyDescent="0.25">
      <c r="W767" s="37"/>
      <c r="X767" s="52"/>
      <c r="Y767" s="52"/>
      <c r="Z767" s="37"/>
      <c r="AA767" s="18"/>
      <c r="AB767" s="18"/>
      <c r="AC767" s="18"/>
    </row>
    <row r="768" spans="23:29" customFormat="1" x14ac:dyDescent="0.25">
      <c r="W768" s="37"/>
      <c r="X768" s="52"/>
      <c r="Y768" s="52"/>
      <c r="Z768" s="37"/>
      <c r="AA768" s="18"/>
      <c r="AB768" s="18"/>
      <c r="AC768" s="18"/>
    </row>
    <row r="769" spans="23:29" customFormat="1" x14ac:dyDescent="0.25">
      <c r="W769" s="37"/>
      <c r="X769" s="52"/>
      <c r="Y769" s="52"/>
      <c r="Z769" s="37"/>
      <c r="AA769" s="18"/>
      <c r="AB769" s="18"/>
      <c r="AC769" s="18"/>
    </row>
    <row r="770" spans="23:29" customFormat="1" x14ac:dyDescent="0.25">
      <c r="W770" s="37"/>
      <c r="X770" s="52"/>
      <c r="Y770" s="52"/>
      <c r="Z770" s="37"/>
      <c r="AA770" s="18"/>
      <c r="AB770" s="18"/>
      <c r="AC770" s="18"/>
    </row>
    <row r="771" spans="23:29" customFormat="1" x14ac:dyDescent="0.25">
      <c r="W771" s="37"/>
      <c r="X771" s="52"/>
      <c r="Y771" s="52"/>
      <c r="Z771" s="37"/>
      <c r="AA771" s="18"/>
      <c r="AB771" s="18"/>
      <c r="AC771" s="18"/>
    </row>
    <row r="772" spans="23:29" customFormat="1" x14ac:dyDescent="0.25">
      <c r="W772" s="37"/>
      <c r="X772" s="52"/>
      <c r="Y772" s="52"/>
      <c r="Z772" s="37"/>
      <c r="AA772" s="18"/>
      <c r="AB772" s="18"/>
      <c r="AC772" s="18"/>
    </row>
    <row r="773" spans="23:29" customFormat="1" x14ac:dyDescent="0.25">
      <c r="W773" s="37"/>
      <c r="X773" s="52"/>
      <c r="Y773" s="52"/>
      <c r="Z773" s="37"/>
      <c r="AA773" s="18"/>
      <c r="AB773" s="18"/>
      <c r="AC773" s="18"/>
    </row>
    <row r="774" spans="23:29" customFormat="1" x14ac:dyDescent="0.25">
      <c r="W774" s="37"/>
      <c r="X774" s="52"/>
      <c r="Y774" s="52"/>
      <c r="Z774" s="37"/>
      <c r="AA774" s="18"/>
      <c r="AB774" s="18"/>
      <c r="AC774" s="18"/>
    </row>
    <row r="775" spans="23:29" customFormat="1" x14ac:dyDescent="0.25">
      <c r="W775" s="37"/>
      <c r="X775" s="52"/>
      <c r="Y775" s="52"/>
      <c r="Z775" s="37"/>
      <c r="AA775" s="18"/>
      <c r="AB775" s="18"/>
      <c r="AC775" s="18"/>
    </row>
    <row r="776" spans="23:29" customFormat="1" x14ac:dyDescent="0.25">
      <c r="W776" s="37"/>
      <c r="X776" s="52"/>
      <c r="Y776" s="52"/>
      <c r="Z776" s="37"/>
      <c r="AA776" s="18"/>
      <c r="AB776" s="18"/>
      <c r="AC776" s="18"/>
    </row>
    <row r="777" spans="23:29" customFormat="1" x14ac:dyDescent="0.25">
      <c r="W777" s="37"/>
      <c r="X777" s="52"/>
      <c r="Y777" s="52"/>
      <c r="Z777" s="37"/>
      <c r="AA777" s="18"/>
      <c r="AB777" s="18"/>
      <c r="AC777" s="18"/>
    </row>
    <row r="778" spans="23:29" customFormat="1" x14ac:dyDescent="0.25">
      <c r="W778" s="37"/>
      <c r="X778" s="52"/>
      <c r="Y778" s="52"/>
      <c r="Z778" s="37"/>
      <c r="AA778" s="18"/>
      <c r="AB778" s="18"/>
      <c r="AC778" s="18"/>
    </row>
    <row r="779" spans="23:29" customFormat="1" x14ac:dyDescent="0.25">
      <c r="W779" s="37"/>
      <c r="X779" s="52"/>
      <c r="Y779" s="52"/>
      <c r="Z779" s="37"/>
      <c r="AA779" s="18"/>
      <c r="AB779" s="18"/>
      <c r="AC779" s="18"/>
    </row>
    <row r="780" spans="23:29" customFormat="1" x14ac:dyDescent="0.25">
      <c r="W780" s="37"/>
      <c r="X780" s="52"/>
      <c r="Y780" s="52"/>
      <c r="Z780" s="37"/>
      <c r="AA780" s="18"/>
      <c r="AB780" s="18"/>
      <c r="AC780" s="18"/>
    </row>
    <row r="781" spans="23:29" customFormat="1" x14ac:dyDescent="0.25">
      <c r="W781" s="37"/>
      <c r="X781" s="52"/>
      <c r="Y781" s="52"/>
      <c r="Z781" s="37"/>
      <c r="AA781" s="18"/>
      <c r="AB781" s="18"/>
      <c r="AC781" s="18"/>
    </row>
    <row r="782" spans="23:29" customFormat="1" x14ac:dyDescent="0.25">
      <c r="W782" s="37"/>
      <c r="X782" s="52"/>
      <c r="Y782" s="52"/>
      <c r="Z782" s="37"/>
      <c r="AA782" s="18"/>
      <c r="AB782" s="18"/>
      <c r="AC782" s="18"/>
    </row>
    <row r="783" spans="23:29" customFormat="1" x14ac:dyDescent="0.25">
      <c r="W783" s="37"/>
      <c r="X783" s="52"/>
      <c r="Y783" s="52"/>
      <c r="Z783" s="37"/>
      <c r="AA783" s="18"/>
      <c r="AB783" s="18"/>
      <c r="AC783" s="18"/>
    </row>
    <row r="784" spans="23:29" customFormat="1" x14ac:dyDescent="0.25">
      <c r="W784" s="37"/>
      <c r="X784" s="52"/>
      <c r="Y784" s="52"/>
      <c r="Z784" s="37"/>
      <c r="AA784" s="18"/>
      <c r="AB784" s="18"/>
      <c r="AC784" s="18"/>
    </row>
    <row r="785" spans="23:29" customFormat="1" x14ac:dyDescent="0.25">
      <c r="W785" s="37"/>
      <c r="X785" s="52"/>
      <c r="Y785" s="52"/>
      <c r="Z785" s="37"/>
      <c r="AA785" s="18"/>
      <c r="AB785" s="18"/>
      <c r="AC785" s="18"/>
    </row>
    <row r="786" spans="23:29" customFormat="1" x14ac:dyDescent="0.25">
      <c r="W786" s="37"/>
      <c r="X786" s="52"/>
      <c r="Y786" s="52"/>
      <c r="Z786" s="37"/>
      <c r="AA786" s="18"/>
      <c r="AB786" s="18"/>
      <c r="AC786" s="18"/>
    </row>
    <row r="787" spans="23:29" customFormat="1" x14ac:dyDescent="0.25">
      <c r="W787" s="37"/>
      <c r="X787" s="52"/>
      <c r="Y787" s="52"/>
      <c r="Z787" s="37"/>
      <c r="AA787" s="18"/>
      <c r="AB787" s="18"/>
      <c r="AC787" s="18"/>
    </row>
    <row r="788" spans="23:29" customFormat="1" x14ac:dyDescent="0.25">
      <c r="W788" s="37"/>
      <c r="X788" s="52"/>
      <c r="Y788" s="52"/>
      <c r="Z788" s="37"/>
      <c r="AA788" s="18"/>
      <c r="AB788" s="18"/>
      <c r="AC788" s="18"/>
    </row>
    <row r="789" spans="23:29" customFormat="1" x14ac:dyDescent="0.25">
      <c r="W789" s="37"/>
      <c r="X789" s="52"/>
      <c r="Y789" s="52"/>
      <c r="Z789" s="37"/>
      <c r="AA789" s="18"/>
      <c r="AB789" s="18"/>
      <c r="AC789" s="18"/>
    </row>
    <row r="790" spans="23:29" customFormat="1" x14ac:dyDescent="0.25">
      <c r="W790" s="37"/>
      <c r="X790" s="52"/>
      <c r="Y790" s="52"/>
      <c r="Z790" s="37"/>
      <c r="AA790" s="18"/>
      <c r="AB790" s="18"/>
      <c r="AC790" s="18"/>
    </row>
    <row r="791" spans="23:29" customFormat="1" x14ac:dyDescent="0.25">
      <c r="W791" s="37"/>
      <c r="X791" s="52"/>
      <c r="Y791" s="52"/>
      <c r="Z791" s="37"/>
      <c r="AA791" s="18"/>
      <c r="AB791" s="18"/>
      <c r="AC791" s="18"/>
    </row>
    <row r="792" spans="23:29" customFormat="1" x14ac:dyDescent="0.25">
      <c r="W792" s="37"/>
      <c r="X792" s="52"/>
      <c r="Y792" s="52"/>
      <c r="Z792" s="37"/>
      <c r="AA792" s="18"/>
      <c r="AB792" s="18"/>
      <c r="AC792" s="18"/>
    </row>
    <row r="793" spans="23:29" customFormat="1" x14ac:dyDescent="0.25">
      <c r="W793" s="37"/>
      <c r="X793" s="52"/>
      <c r="Y793" s="52"/>
      <c r="Z793" s="37"/>
      <c r="AA793" s="18"/>
      <c r="AB793" s="18"/>
      <c r="AC793" s="18"/>
    </row>
    <row r="794" spans="23:29" customFormat="1" x14ac:dyDescent="0.25">
      <c r="W794" s="37"/>
      <c r="X794" s="52"/>
      <c r="Y794" s="52"/>
      <c r="Z794" s="37"/>
      <c r="AA794" s="18"/>
      <c r="AB794" s="18"/>
      <c r="AC794" s="18"/>
    </row>
    <row r="795" spans="23:29" customFormat="1" x14ac:dyDescent="0.25">
      <c r="W795" s="37"/>
      <c r="X795" s="52"/>
      <c r="Y795" s="52"/>
      <c r="Z795" s="37"/>
      <c r="AA795" s="18"/>
      <c r="AB795" s="18"/>
      <c r="AC795" s="18"/>
    </row>
    <row r="796" spans="23:29" customFormat="1" x14ac:dyDescent="0.25">
      <c r="W796" s="37"/>
      <c r="X796" s="52"/>
      <c r="Y796" s="52"/>
      <c r="Z796" s="37"/>
      <c r="AA796" s="18"/>
      <c r="AB796" s="18"/>
      <c r="AC796" s="18"/>
    </row>
    <row r="797" spans="23:29" customFormat="1" x14ac:dyDescent="0.25">
      <c r="W797" s="37"/>
      <c r="X797" s="52"/>
      <c r="Y797" s="52"/>
      <c r="Z797" s="37"/>
      <c r="AA797" s="18"/>
      <c r="AB797" s="18"/>
      <c r="AC797" s="18"/>
    </row>
    <row r="798" spans="23:29" customFormat="1" x14ac:dyDescent="0.25">
      <c r="W798" s="37"/>
      <c r="X798" s="52"/>
      <c r="Y798" s="52"/>
      <c r="Z798" s="37"/>
      <c r="AA798" s="18"/>
      <c r="AB798" s="18"/>
      <c r="AC798" s="18"/>
    </row>
    <row r="799" spans="23:29" customFormat="1" x14ac:dyDescent="0.25">
      <c r="W799" s="37"/>
      <c r="X799" s="52"/>
      <c r="Y799" s="52"/>
      <c r="Z799" s="37"/>
      <c r="AA799" s="18"/>
      <c r="AB799" s="18"/>
      <c r="AC799" s="18"/>
    </row>
    <row r="800" spans="23:29" customFormat="1" x14ac:dyDescent="0.25">
      <c r="W800" s="37"/>
      <c r="X800" s="52"/>
      <c r="Y800" s="52"/>
      <c r="Z800" s="37"/>
      <c r="AA800" s="18"/>
      <c r="AB800" s="18"/>
      <c r="AC800" s="18"/>
    </row>
    <row r="801" spans="23:29" customFormat="1" x14ac:dyDescent="0.25">
      <c r="W801" s="37"/>
      <c r="X801" s="52"/>
      <c r="Y801" s="52"/>
      <c r="Z801" s="37"/>
      <c r="AA801" s="18"/>
      <c r="AB801" s="18"/>
      <c r="AC801" s="18"/>
    </row>
    <row r="802" spans="23:29" customFormat="1" x14ac:dyDescent="0.25">
      <c r="W802" s="37"/>
      <c r="X802" s="52"/>
      <c r="Y802" s="52"/>
      <c r="Z802" s="37"/>
      <c r="AA802" s="18"/>
      <c r="AB802" s="18"/>
      <c r="AC802" s="18"/>
    </row>
    <row r="803" spans="23:29" customFormat="1" x14ac:dyDescent="0.25">
      <c r="W803" s="37"/>
      <c r="X803" s="52"/>
      <c r="Y803" s="52"/>
      <c r="Z803" s="37"/>
      <c r="AA803" s="18"/>
      <c r="AB803" s="18"/>
      <c r="AC803" s="18"/>
    </row>
    <row r="804" spans="23:29" customFormat="1" x14ac:dyDescent="0.25">
      <c r="W804" s="37"/>
      <c r="X804" s="52"/>
      <c r="Y804" s="52"/>
      <c r="Z804" s="37"/>
      <c r="AA804" s="18"/>
      <c r="AB804" s="18"/>
      <c r="AC804" s="18"/>
    </row>
    <row r="805" spans="23:29" customFormat="1" x14ac:dyDescent="0.25">
      <c r="W805" s="37"/>
      <c r="X805" s="52"/>
      <c r="Y805" s="52"/>
      <c r="Z805" s="37"/>
      <c r="AA805" s="18"/>
      <c r="AB805" s="18"/>
      <c r="AC805" s="18"/>
    </row>
    <row r="806" spans="23:29" customFormat="1" x14ac:dyDescent="0.25">
      <c r="W806" s="37"/>
      <c r="X806" s="52"/>
      <c r="Y806" s="52"/>
      <c r="Z806" s="37"/>
      <c r="AA806" s="18"/>
      <c r="AB806" s="18"/>
      <c r="AC806" s="18"/>
    </row>
    <row r="807" spans="23:29" customFormat="1" x14ac:dyDescent="0.25">
      <c r="W807" s="37"/>
      <c r="X807" s="52"/>
      <c r="Y807" s="52"/>
      <c r="Z807" s="37"/>
      <c r="AA807" s="18"/>
      <c r="AB807" s="18"/>
      <c r="AC807" s="18"/>
    </row>
    <row r="808" spans="23:29" customFormat="1" x14ac:dyDescent="0.25">
      <c r="W808" s="37"/>
      <c r="X808" s="52"/>
      <c r="Y808" s="52"/>
      <c r="Z808" s="37"/>
      <c r="AA808" s="18"/>
      <c r="AB808" s="18"/>
      <c r="AC808" s="18"/>
    </row>
    <row r="809" spans="23:29" customFormat="1" x14ac:dyDescent="0.25">
      <c r="W809" s="37"/>
      <c r="X809" s="52"/>
      <c r="Y809" s="52"/>
      <c r="Z809" s="37"/>
      <c r="AA809" s="18"/>
      <c r="AB809" s="18"/>
      <c r="AC809" s="18"/>
    </row>
    <row r="810" spans="23:29" customFormat="1" x14ac:dyDescent="0.25">
      <c r="W810" s="37"/>
      <c r="X810" s="52"/>
      <c r="Y810" s="52"/>
      <c r="Z810" s="37"/>
      <c r="AA810" s="18"/>
      <c r="AB810" s="18"/>
      <c r="AC810" s="18"/>
    </row>
    <row r="811" spans="23:29" customFormat="1" x14ac:dyDescent="0.25">
      <c r="W811" s="37"/>
      <c r="X811" s="52"/>
      <c r="Y811" s="52"/>
      <c r="Z811" s="37"/>
      <c r="AA811" s="18"/>
      <c r="AB811" s="18"/>
      <c r="AC811" s="18"/>
    </row>
    <row r="812" spans="23:29" customFormat="1" x14ac:dyDescent="0.25">
      <c r="W812" s="37"/>
      <c r="X812" s="52"/>
      <c r="Y812" s="52"/>
      <c r="Z812" s="37"/>
      <c r="AA812" s="18"/>
      <c r="AB812" s="18"/>
      <c r="AC812" s="18"/>
    </row>
    <row r="813" spans="23:29" customFormat="1" x14ac:dyDescent="0.25">
      <c r="W813" s="37"/>
      <c r="X813" s="52"/>
      <c r="Y813" s="52"/>
      <c r="Z813" s="37"/>
      <c r="AA813" s="18"/>
      <c r="AB813" s="18"/>
      <c r="AC813" s="18"/>
    </row>
    <row r="814" spans="23:29" customFormat="1" x14ac:dyDescent="0.25">
      <c r="W814" s="37"/>
      <c r="X814" s="52"/>
      <c r="Y814" s="52"/>
      <c r="Z814" s="37"/>
      <c r="AA814" s="18"/>
      <c r="AB814" s="18"/>
      <c r="AC814" s="18"/>
    </row>
    <row r="815" spans="23:29" customFormat="1" x14ac:dyDescent="0.25">
      <c r="W815" s="37"/>
      <c r="X815" s="52"/>
      <c r="Y815" s="52"/>
      <c r="Z815" s="37"/>
      <c r="AA815" s="18"/>
      <c r="AB815" s="18"/>
      <c r="AC815" s="18"/>
    </row>
    <row r="816" spans="23:29" customFormat="1" x14ac:dyDescent="0.25">
      <c r="W816" s="37"/>
      <c r="X816" s="52"/>
      <c r="Y816" s="52"/>
      <c r="Z816" s="37"/>
      <c r="AA816" s="18"/>
      <c r="AB816" s="18"/>
      <c r="AC816" s="18"/>
    </row>
    <row r="817" spans="23:29" customFormat="1" x14ac:dyDescent="0.25">
      <c r="W817" s="37"/>
      <c r="X817" s="52"/>
      <c r="Y817" s="52"/>
      <c r="Z817" s="37"/>
      <c r="AA817" s="18"/>
      <c r="AB817" s="18"/>
      <c r="AC817" s="18"/>
    </row>
    <row r="818" spans="23:29" customFormat="1" x14ac:dyDescent="0.25">
      <c r="W818" s="37"/>
      <c r="X818" s="52"/>
      <c r="Y818" s="52"/>
      <c r="Z818" s="37"/>
      <c r="AA818" s="18"/>
      <c r="AB818" s="18"/>
      <c r="AC818" s="18"/>
    </row>
    <row r="819" spans="23:29" customFormat="1" x14ac:dyDescent="0.25">
      <c r="W819" s="37"/>
      <c r="X819" s="52"/>
      <c r="Y819" s="52"/>
      <c r="Z819" s="37"/>
      <c r="AA819" s="18"/>
      <c r="AB819" s="18"/>
      <c r="AC819" s="18"/>
    </row>
    <row r="820" spans="23:29" customFormat="1" x14ac:dyDescent="0.25">
      <c r="W820" s="37"/>
      <c r="X820" s="52"/>
      <c r="Y820" s="52"/>
      <c r="Z820" s="37"/>
      <c r="AA820" s="18"/>
      <c r="AB820" s="18"/>
      <c r="AC820" s="18"/>
    </row>
    <row r="821" spans="23:29" customFormat="1" x14ac:dyDescent="0.25">
      <c r="W821" s="37"/>
      <c r="X821" s="52"/>
      <c r="Y821" s="52"/>
      <c r="Z821" s="37"/>
      <c r="AA821" s="18"/>
      <c r="AB821" s="18"/>
      <c r="AC821" s="18"/>
    </row>
    <row r="822" spans="23:29" customFormat="1" x14ac:dyDescent="0.25">
      <c r="W822" s="37"/>
      <c r="X822" s="52"/>
      <c r="Y822" s="52"/>
      <c r="Z822" s="37"/>
      <c r="AA822" s="18"/>
      <c r="AB822" s="18"/>
      <c r="AC822" s="18"/>
    </row>
    <row r="823" spans="23:29" customFormat="1" x14ac:dyDescent="0.25">
      <c r="W823" s="37"/>
      <c r="X823" s="52"/>
      <c r="Y823" s="52"/>
      <c r="Z823" s="37"/>
      <c r="AA823" s="18"/>
      <c r="AB823" s="18"/>
      <c r="AC823" s="18"/>
    </row>
    <row r="824" spans="23:29" customFormat="1" x14ac:dyDescent="0.25">
      <c r="W824" s="37"/>
      <c r="X824" s="52"/>
      <c r="Y824" s="52"/>
      <c r="Z824" s="37"/>
      <c r="AA824" s="18"/>
      <c r="AB824" s="18"/>
      <c r="AC824" s="18"/>
    </row>
    <row r="825" spans="23:29" customFormat="1" x14ac:dyDescent="0.25">
      <c r="W825" s="37"/>
      <c r="X825" s="52"/>
      <c r="Y825" s="52"/>
      <c r="Z825" s="37"/>
      <c r="AA825" s="18"/>
      <c r="AB825" s="18"/>
      <c r="AC825" s="18"/>
    </row>
    <row r="826" spans="23:29" customFormat="1" x14ac:dyDescent="0.25">
      <c r="W826" s="37"/>
      <c r="X826" s="52"/>
      <c r="Y826" s="52"/>
      <c r="Z826" s="37"/>
      <c r="AA826" s="18"/>
      <c r="AB826" s="18"/>
      <c r="AC826" s="18"/>
    </row>
    <row r="827" spans="23:29" customFormat="1" x14ac:dyDescent="0.25">
      <c r="W827" s="37"/>
      <c r="X827" s="52"/>
      <c r="Y827" s="52"/>
      <c r="Z827" s="37"/>
      <c r="AA827" s="18"/>
      <c r="AB827" s="18"/>
      <c r="AC827" s="18"/>
    </row>
    <row r="828" spans="23:29" customFormat="1" x14ac:dyDescent="0.25">
      <c r="W828" s="37"/>
      <c r="X828" s="52"/>
      <c r="Y828" s="52"/>
      <c r="Z828" s="37"/>
      <c r="AA828" s="18"/>
      <c r="AB828" s="18"/>
      <c r="AC828" s="18"/>
    </row>
    <row r="829" spans="23:29" customFormat="1" x14ac:dyDescent="0.25">
      <c r="W829" s="37"/>
      <c r="X829" s="52"/>
      <c r="Y829" s="52"/>
      <c r="Z829" s="37"/>
      <c r="AA829" s="18"/>
      <c r="AB829" s="18"/>
      <c r="AC829" s="18"/>
    </row>
    <row r="830" spans="23:29" customFormat="1" x14ac:dyDescent="0.25">
      <c r="W830" s="37"/>
      <c r="X830" s="52"/>
      <c r="Y830" s="52"/>
      <c r="Z830" s="37"/>
      <c r="AA830" s="18"/>
      <c r="AB830" s="18"/>
      <c r="AC830" s="18"/>
    </row>
    <row r="831" spans="23:29" customFormat="1" x14ac:dyDescent="0.25">
      <c r="W831" s="37"/>
      <c r="X831" s="52"/>
      <c r="Y831" s="52"/>
      <c r="Z831" s="37"/>
      <c r="AA831" s="18"/>
      <c r="AB831" s="18"/>
      <c r="AC831" s="18"/>
    </row>
    <row r="832" spans="23:29" customFormat="1" x14ac:dyDescent="0.25">
      <c r="W832" s="37"/>
      <c r="X832" s="52"/>
      <c r="Y832" s="52"/>
      <c r="Z832" s="37"/>
      <c r="AA832" s="18"/>
      <c r="AB832" s="18"/>
      <c r="AC832" s="18"/>
    </row>
    <row r="833" spans="23:29" customFormat="1" x14ac:dyDescent="0.25">
      <c r="W833" s="37"/>
      <c r="X833" s="52"/>
      <c r="Y833" s="52"/>
      <c r="Z833" s="37"/>
      <c r="AA833" s="18"/>
      <c r="AB833" s="18"/>
      <c r="AC833" s="18"/>
    </row>
    <row r="834" spans="23:29" customFormat="1" x14ac:dyDescent="0.25">
      <c r="W834" s="37"/>
      <c r="X834" s="52"/>
      <c r="Y834" s="52"/>
      <c r="Z834" s="37"/>
      <c r="AA834" s="18"/>
      <c r="AB834" s="18"/>
      <c r="AC834" s="18"/>
    </row>
    <row r="835" spans="23:29" customFormat="1" x14ac:dyDescent="0.25">
      <c r="W835" s="37"/>
      <c r="X835" s="52"/>
      <c r="Y835" s="52"/>
      <c r="Z835" s="37"/>
      <c r="AA835" s="18"/>
      <c r="AB835" s="18"/>
      <c r="AC835" s="18"/>
    </row>
    <row r="836" spans="23:29" customFormat="1" x14ac:dyDescent="0.25">
      <c r="W836" s="37"/>
      <c r="X836" s="52"/>
      <c r="Y836" s="52"/>
      <c r="Z836" s="37"/>
      <c r="AA836" s="18"/>
      <c r="AB836" s="18"/>
      <c r="AC836" s="18"/>
    </row>
    <row r="837" spans="23:29" customFormat="1" x14ac:dyDescent="0.25">
      <c r="W837" s="37"/>
      <c r="X837" s="52"/>
      <c r="Y837" s="52"/>
      <c r="Z837" s="37"/>
      <c r="AA837" s="18"/>
      <c r="AB837" s="18"/>
      <c r="AC837" s="18"/>
    </row>
    <row r="838" spans="23:29" customFormat="1" x14ac:dyDescent="0.25">
      <c r="W838" s="37"/>
      <c r="X838" s="52"/>
      <c r="Y838" s="52"/>
      <c r="Z838" s="37"/>
      <c r="AA838" s="18"/>
      <c r="AB838" s="18"/>
      <c r="AC838" s="18"/>
    </row>
    <row r="839" spans="23:29" customFormat="1" x14ac:dyDescent="0.25">
      <c r="W839" s="37"/>
      <c r="X839" s="52"/>
      <c r="Y839" s="52"/>
      <c r="Z839" s="37"/>
      <c r="AA839" s="18"/>
      <c r="AB839" s="18"/>
      <c r="AC839" s="18"/>
    </row>
    <row r="840" spans="23:29" customFormat="1" x14ac:dyDescent="0.25">
      <c r="W840" s="37"/>
      <c r="X840" s="52"/>
      <c r="Y840" s="52"/>
      <c r="Z840" s="37"/>
      <c r="AA840" s="18"/>
      <c r="AB840" s="18"/>
      <c r="AC840" s="18"/>
    </row>
    <row r="841" spans="23:29" customFormat="1" x14ac:dyDescent="0.25">
      <c r="W841" s="37"/>
      <c r="X841" s="52"/>
      <c r="Y841" s="52"/>
      <c r="Z841" s="37"/>
      <c r="AA841" s="18"/>
      <c r="AB841" s="18"/>
      <c r="AC841" s="18"/>
    </row>
    <row r="842" spans="23:29" customFormat="1" x14ac:dyDescent="0.25">
      <c r="W842" s="37"/>
      <c r="X842" s="52"/>
      <c r="Y842" s="52"/>
      <c r="Z842" s="37"/>
      <c r="AA842" s="18"/>
      <c r="AB842" s="18"/>
      <c r="AC842" s="18"/>
    </row>
    <row r="843" spans="23:29" customFormat="1" x14ac:dyDescent="0.25">
      <c r="W843" s="37"/>
      <c r="X843" s="52"/>
      <c r="Y843" s="52"/>
      <c r="Z843" s="37"/>
      <c r="AA843" s="18"/>
      <c r="AB843" s="18"/>
      <c r="AC843" s="18"/>
    </row>
    <row r="844" spans="23:29" customFormat="1" x14ac:dyDescent="0.25">
      <c r="W844" s="37"/>
      <c r="X844" s="52"/>
      <c r="Y844" s="52"/>
      <c r="Z844" s="37"/>
      <c r="AA844" s="18"/>
      <c r="AB844" s="18"/>
      <c r="AC844" s="18"/>
    </row>
    <row r="845" spans="23:29" customFormat="1" x14ac:dyDescent="0.25">
      <c r="W845" s="37"/>
      <c r="X845" s="52"/>
      <c r="Y845" s="52"/>
      <c r="Z845" s="37"/>
      <c r="AA845" s="18"/>
      <c r="AB845" s="18"/>
      <c r="AC845" s="18"/>
    </row>
    <row r="846" spans="23:29" customFormat="1" x14ac:dyDescent="0.25">
      <c r="W846" s="37"/>
      <c r="X846" s="52"/>
      <c r="Y846" s="52"/>
      <c r="Z846" s="37"/>
      <c r="AA846" s="18"/>
      <c r="AB846" s="18"/>
      <c r="AC846" s="18"/>
    </row>
    <row r="847" spans="23:29" customFormat="1" x14ac:dyDescent="0.25">
      <c r="W847" s="37"/>
      <c r="X847" s="52"/>
      <c r="Y847" s="52"/>
      <c r="Z847" s="37"/>
      <c r="AA847" s="18"/>
      <c r="AB847" s="18"/>
      <c r="AC847" s="18"/>
    </row>
    <row r="848" spans="23:29" customFormat="1" x14ac:dyDescent="0.25">
      <c r="W848" s="37"/>
      <c r="X848" s="52"/>
      <c r="Y848" s="52"/>
      <c r="Z848" s="37"/>
      <c r="AA848" s="18"/>
      <c r="AB848" s="18"/>
      <c r="AC848" s="18"/>
    </row>
    <row r="849" spans="23:29" customFormat="1" x14ac:dyDescent="0.25">
      <c r="W849" s="37"/>
      <c r="X849" s="52"/>
      <c r="Y849" s="52"/>
      <c r="Z849" s="37"/>
      <c r="AA849" s="18"/>
      <c r="AB849" s="18"/>
      <c r="AC849" s="18"/>
    </row>
    <row r="850" spans="23:29" customFormat="1" x14ac:dyDescent="0.25">
      <c r="W850" s="37"/>
      <c r="X850" s="52"/>
      <c r="Y850" s="52"/>
      <c r="Z850" s="37"/>
      <c r="AA850" s="18"/>
      <c r="AB850" s="18"/>
      <c r="AC850" s="18"/>
    </row>
    <row r="851" spans="23:29" customFormat="1" x14ac:dyDescent="0.25">
      <c r="W851" s="37"/>
      <c r="X851" s="52"/>
      <c r="Y851" s="52"/>
      <c r="Z851" s="37"/>
      <c r="AA851" s="18"/>
      <c r="AB851" s="18"/>
      <c r="AC851" s="18"/>
    </row>
    <row r="852" spans="23:29" customFormat="1" x14ac:dyDescent="0.25">
      <c r="W852" s="37"/>
      <c r="X852" s="52"/>
      <c r="Y852" s="52"/>
      <c r="Z852" s="37"/>
      <c r="AA852" s="18"/>
      <c r="AB852" s="18"/>
      <c r="AC852" s="18"/>
    </row>
    <row r="853" spans="23:29" customFormat="1" x14ac:dyDescent="0.25">
      <c r="W853" s="37"/>
      <c r="X853" s="52"/>
      <c r="Y853" s="52"/>
      <c r="Z853" s="37"/>
      <c r="AA853" s="18"/>
      <c r="AB853" s="18"/>
      <c r="AC853" s="18"/>
    </row>
    <row r="854" spans="23:29" customFormat="1" x14ac:dyDescent="0.25">
      <c r="W854" s="37"/>
      <c r="X854" s="52"/>
      <c r="Y854" s="52"/>
      <c r="Z854" s="37"/>
      <c r="AA854" s="18"/>
      <c r="AB854" s="18"/>
      <c r="AC854" s="18"/>
    </row>
    <row r="855" spans="23:29" customFormat="1" x14ac:dyDescent="0.25">
      <c r="W855" s="37"/>
      <c r="X855" s="52"/>
      <c r="Y855" s="52"/>
      <c r="Z855" s="37"/>
      <c r="AA855" s="18"/>
      <c r="AB855" s="18"/>
      <c r="AC855" s="18"/>
    </row>
    <row r="856" spans="23:29" customFormat="1" x14ac:dyDescent="0.25">
      <c r="W856" s="37"/>
      <c r="X856" s="52"/>
      <c r="Y856" s="52"/>
      <c r="Z856" s="37"/>
      <c r="AA856" s="18"/>
      <c r="AB856" s="18"/>
      <c r="AC856" s="18"/>
    </row>
    <row r="857" spans="23:29" customFormat="1" x14ac:dyDescent="0.25">
      <c r="W857" s="37"/>
      <c r="X857" s="52"/>
      <c r="Y857" s="52"/>
      <c r="Z857" s="37"/>
      <c r="AA857" s="18"/>
      <c r="AB857" s="18"/>
      <c r="AC857" s="18"/>
    </row>
    <row r="858" spans="23:29" customFormat="1" x14ac:dyDescent="0.25">
      <c r="W858" s="37"/>
      <c r="X858" s="52"/>
      <c r="Y858" s="52"/>
      <c r="Z858" s="37"/>
      <c r="AA858" s="18"/>
      <c r="AB858" s="18"/>
      <c r="AC858" s="18"/>
    </row>
    <row r="859" spans="23:29" customFormat="1" x14ac:dyDescent="0.25">
      <c r="W859" s="37"/>
      <c r="X859" s="52"/>
      <c r="Y859" s="52"/>
      <c r="Z859" s="37"/>
      <c r="AA859" s="18"/>
      <c r="AB859" s="18"/>
      <c r="AC859" s="18"/>
    </row>
    <row r="860" spans="23:29" customFormat="1" x14ac:dyDescent="0.25">
      <c r="W860" s="37"/>
      <c r="X860" s="52"/>
      <c r="Y860" s="52"/>
      <c r="Z860" s="37"/>
      <c r="AA860" s="18"/>
      <c r="AB860" s="18"/>
      <c r="AC860" s="18"/>
    </row>
    <row r="861" spans="23:29" customFormat="1" x14ac:dyDescent="0.25">
      <c r="W861" s="37"/>
      <c r="X861" s="52"/>
      <c r="Y861" s="52"/>
      <c r="Z861" s="37"/>
      <c r="AA861" s="18"/>
      <c r="AB861" s="18"/>
      <c r="AC861" s="18"/>
    </row>
    <row r="862" spans="23:29" customFormat="1" x14ac:dyDescent="0.25">
      <c r="W862" s="37"/>
      <c r="X862" s="52"/>
      <c r="Y862" s="52"/>
      <c r="Z862" s="37"/>
      <c r="AA862" s="18"/>
      <c r="AB862" s="18"/>
      <c r="AC862" s="18"/>
    </row>
    <row r="863" spans="23:29" customFormat="1" x14ac:dyDescent="0.25">
      <c r="W863" s="37"/>
      <c r="X863" s="52"/>
      <c r="Y863" s="52"/>
      <c r="Z863" s="37"/>
      <c r="AA863" s="18"/>
      <c r="AB863" s="18"/>
      <c r="AC863" s="18"/>
    </row>
    <row r="864" spans="23:29" customFormat="1" x14ac:dyDescent="0.25">
      <c r="W864" s="37"/>
      <c r="X864" s="52"/>
      <c r="Y864" s="52"/>
      <c r="Z864" s="37"/>
      <c r="AA864" s="18"/>
      <c r="AB864" s="18"/>
      <c r="AC864" s="18"/>
    </row>
    <row r="865" spans="23:29" customFormat="1" x14ac:dyDescent="0.25">
      <c r="W865" s="37"/>
      <c r="X865" s="52"/>
      <c r="Y865" s="52"/>
      <c r="Z865" s="37"/>
      <c r="AA865" s="18"/>
      <c r="AB865" s="18"/>
      <c r="AC865" s="18"/>
    </row>
    <row r="866" spans="23:29" customFormat="1" x14ac:dyDescent="0.25">
      <c r="W866" s="37"/>
      <c r="X866" s="52"/>
      <c r="Y866" s="52"/>
      <c r="Z866" s="37"/>
      <c r="AA866" s="18"/>
      <c r="AB866" s="18"/>
      <c r="AC866" s="18"/>
    </row>
    <row r="867" spans="23:29" customFormat="1" x14ac:dyDescent="0.25">
      <c r="W867" s="37"/>
      <c r="X867" s="52"/>
      <c r="Y867" s="52"/>
      <c r="Z867" s="37"/>
      <c r="AA867" s="18"/>
      <c r="AB867" s="18"/>
      <c r="AC867" s="18"/>
    </row>
    <row r="868" spans="23:29" customFormat="1" x14ac:dyDescent="0.25">
      <c r="W868" s="37"/>
      <c r="X868" s="52"/>
      <c r="Y868" s="52"/>
      <c r="Z868" s="37"/>
      <c r="AA868" s="18"/>
      <c r="AB868" s="18"/>
      <c r="AC868" s="18"/>
    </row>
    <row r="869" spans="23:29" customFormat="1" x14ac:dyDescent="0.25">
      <c r="W869" s="37"/>
      <c r="X869" s="52"/>
      <c r="Y869" s="52"/>
      <c r="Z869" s="37"/>
      <c r="AA869" s="18"/>
      <c r="AB869" s="18"/>
      <c r="AC869" s="18"/>
    </row>
    <row r="870" spans="23:29" customFormat="1" x14ac:dyDescent="0.25">
      <c r="W870" s="37"/>
      <c r="X870" s="52"/>
      <c r="Y870" s="52"/>
      <c r="Z870" s="37"/>
      <c r="AA870" s="18"/>
      <c r="AB870" s="18"/>
      <c r="AC870" s="18"/>
    </row>
    <row r="871" spans="23:29" customFormat="1" x14ac:dyDescent="0.25">
      <c r="W871" s="37"/>
      <c r="X871" s="52"/>
      <c r="Y871" s="52"/>
      <c r="Z871" s="37"/>
      <c r="AA871" s="18"/>
      <c r="AB871" s="18"/>
      <c r="AC871" s="18"/>
    </row>
    <row r="872" spans="23:29" customFormat="1" x14ac:dyDescent="0.25">
      <c r="W872" s="37"/>
      <c r="X872" s="52"/>
      <c r="Y872" s="52"/>
      <c r="Z872" s="37"/>
      <c r="AA872" s="18"/>
      <c r="AB872" s="18"/>
      <c r="AC872" s="18"/>
    </row>
    <row r="873" spans="23:29" customFormat="1" x14ac:dyDescent="0.25">
      <c r="W873" s="37"/>
      <c r="X873" s="52"/>
      <c r="Y873" s="52"/>
      <c r="Z873" s="37"/>
      <c r="AA873" s="18"/>
      <c r="AB873" s="18"/>
      <c r="AC873" s="18"/>
    </row>
    <row r="874" spans="23:29" customFormat="1" x14ac:dyDescent="0.25">
      <c r="W874" s="37"/>
      <c r="X874" s="52"/>
      <c r="Y874" s="52"/>
      <c r="Z874" s="37"/>
      <c r="AA874" s="18"/>
      <c r="AB874" s="18"/>
      <c r="AC874" s="18"/>
    </row>
  </sheetData>
  <mergeCells count="8">
    <mergeCell ref="W31:Y31"/>
    <mergeCell ref="W32:Z32"/>
    <mergeCell ref="A1:AI1"/>
    <mergeCell ref="GE2:GG2"/>
    <mergeCell ref="AA18:AC18"/>
    <mergeCell ref="FC27:FE27"/>
    <mergeCell ref="A28:B28"/>
    <mergeCell ref="FC28:FF2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DN874"/>
  <sheetViews>
    <sheetView topLeftCell="CI1" zoomScale="70" zoomScaleNormal="70" workbookViewId="0">
      <selection activeCell="DM3" sqref="DM3:DM11"/>
    </sheetView>
  </sheetViews>
  <sheetFormatPr defaultRowHeight="15" x14ac:dyDescent="0.25"/>
  <cols>
    <col min="1" max="1" width="6.5703125" customWidth="1"/>
    <col min="2" max="2" width="39.28515625" customWidth="1"/>
    <col min="3" max="3" width="4" style="1" customWidth="1"/>
    <col min="4" max="4" width="5.28515625" style="6" customWidth="1"/>
    <col min="5" max="5" width="7.28515625" customWidth="1"/>
    <col min="6" max="6" width="8.140625" customWidth="1"/>
    <col min="7" max="7" width="4" style="1" customWidth="1"/>
    <col min="8" max="8" width="5.28515625" style="6" customWidth="1"/>
    <col min="9" max="9" width="7.28515625" style="2" customWidth="1"/>
    <col min="10" max="10" width="8.42578125" style="2" customWidth="1"/>
    <col min="11" max="11" width="4" style="1" customWidth="1"/>
    <col min="12" max="12" width="5.28515625" style="6" customWidth="1"/>
    <col min="13" max="13" width="7.85546875" style="2" customWidth="1"/>
    <col min="14" max="14" width="9" style="2" customWidth="1"/>
    <col min="15" max="15" width="4.28515625" style="2" customWidth="1"/>
    <col min="16" max="16" width="4.5703125" style="2" customWidth="1"/>
    <col min="17" max="17" width="7.7109375" style="2" customWidth="1"/>
    <col min="18" max="18" width="8.28515625" style="2" customWidth="1"/>
    <col min="19" max="19" width="4" style="1" customWidth="1"/>
    <col min="20" max="20" width="5.28515625" style="6" customWidth="1"/>
    <col min="21" max="21" width="8" style="2" customWidth="1"/>
    <col min="22" max="22" width="8.140625" style="2" customWidth="1"/>
    <col min="23" max="23" width="3.85546875" customWidth="1"/>
    <col min="24" max="24" width="4.28515625" style="11" customWidth="1"/>
    <col min="25" max="25" width="8" style="11" customWidth="1"/>
    <col min="26" max="26" width="8.28515625" customWidth="1"/>
    <col min="27" max="27" width="4.28515625" style="2" customWidth="1"/>
    <col min="28" max="28" width="5" style="2" customWidth="1"/>
    <col min="29" max="30" width="8.42578125" style="2" customWidth="1"/>
    <col min="31" max="31" width="4" customWidth="1"/>
    <col min="32" max="32" width="5.42578125" customWidth="1"/>
    <col min="33" max="33" width="8" customWidth="1"/>
    <col min="34" max="34" width="11.5703125" customWidth="1"/>
    <col min="35" max="35" width="5" customWidth="1"/>
    <col min="36" max="36" width="5.140625" customWidth="1"/>
    <col min="37" max="37" width="7.42578125" customWidth="1"/>
    <col min="38" max="38" width="8.5703125" customWidth="1"/>
    <col min="39" max="40" width="4.7109375" customWidth="1"/>
    <col min="41" max="41" width="7.85546875" customWidth="1"/>
    <col min="42" max="42" width="11.28515625" customWidth="1"/>
    <col min="43" max="43" width="4" customWidth="1"/>
    <col min="44" max="44" width="5.5703125" customWidth="1"/>
    <col min="45" max="45" width="8.42578125" customWidth="1"/>
    <col min="46" max="46" width="8.5703125" customWidth="1"/>
    <col min="47" max="47" width="4.140625" customWidth="1"/>
    <col min="48" max="48" width="4.7109375" customWidth="1"/>
    <col min="49" max="49" width="7.5703125" customWidth="1"/>
    <col min="50" max="50" width="8.42578125" customWidth="1"/>
    <col min="51" max="51" width="4.7109375" customWidth="1"/>
    <col min="52" max="52" width="4.85546875" customWidth="1"/>
    <col min="53" max="53" width="7.28515625" customWidth="1"/>
    <col min="54" max="54" width="9.42578125" customWidth="1"/>
    <col min="55" max="55" width="4.42578125" customWidth="1"/>
    <col min="56" max="56" width="4.85546875" customWidth="1"/>
    <col min="57" max="57" width="7.5703125" customWidth="1"/>
    <col min="58" max="58" width="10.7109375" customWidth="1"/>
    <col min="59" max="59" width="4.5703125" customWidth="1"/>
    <col min="60" max="60" width="4.85546875" customWidth="1"/>
    <col min="61" max="61" width="7.5703125" customWidth="1"/>
    <col min="62" max="62" width="8.140625" customWidth="1"/>
    <col min="63" max="63" width="4.7109375" customWidth="1"/>
    <col min="64" max="64" width="4.85546875" customWidth="1"/>
    <col min="65" max="65" width="7.7109375" customWidth="1"/>
    <col min="66" max="66" width="8.28515625" customWidth="1"/>
    <col min="67" max="67" width="5.5703125" customWidth="1"/>
    <col min="68" max="68" width="5.42578125" customWidth="1"/>
    <col min="69" max="69" width="8" customWidth="1"/>
    <col min="70" max="70" width="8.28515625" customWidth="1"/>
    <col min="71" max="71" width="4.42578125" customWidth="1"/>
    <col min="72" max="72" width="4.7109375" customWidth="1"/>
    <col min="73" max="73" width="7.7109375" customWidth="1"/>
    <col min="74" max="74" width="9.5703125" customWidth="1"/>
    <col min="75" max="75" width="5" customWidth="1"/>
    <col min="76" max="76" width="5.42578125" customWidth="1"/>
    <col min="77" max="77" width="7.5703125" customWidth="1"/>
    <col min="78" max="78" width="11.42578125" customWidth="1"/>
    <col min="79" max="79" width="4.28515625" customWidth="1"/>
    <col min="80" max="80" width="5.5703125" customWidth="1"/>
    <col min="81" max="81" width="7.7109375" customWidth="1"/>
    <col min="82" max="82" width="13.85546875" customWidth="1"/>
    <col min="83" max="83" width="4" customWidth="1"/>
    <col min="84" max="84" width="4.5703125" customWidth="1"/>
    <col min="85" max="85" width="7.85546875" customWidth="1"/>
    <col min="86" max="86" width="10" customWidth="1"/>
    <col min="87" max="87" width="4.140625" customWidth="1"/>
    <col min="88" max="88" width="3.5703125" customWidth="1"/>
    <col min="89" max="89" width="8" customWidth="1"/>
    <col min="90" max="90" width="9.5703125" customWidth="1"/>
    <col min="91" max="91" width="4.85546875" customWidth="1"/>
    <col min="92" max="92" width="5.5703125" customWidth="1"/>
    <col min="93" max="93" width="7.7109375" customWidth="1"/>
    <col min="94" max="94" width="10.85546875" customWidth="1"/>
    <col min="95" max="95" width="3.7109375" customWidth="1"/>
    <col min="96" max="96" width="4" customWidth="1"/>
    <col min="97" max="97" width="8.5703125" customWidth="1"/>
    <col min="98" max="98" width="8.140625" customWidth="1"/>
    <col min="99" max="99" width="4.7109375" customWidth="1"/>
    <col min="100" max="100" width="4.140625" customWidth="1"/>
    <col min="101" max="101" width="8.28515625" customWidth="1"/>
    <col min="102" max="102" width="11.28515625" customWidth="1"/>
    <col min="103" max="103" width="4.42578125" customWidth="1"/>
    <col min="104" max="104" width="4.140625" customWidth="1"/>
    <col min="105" max="105" width="8" customWidth="1"/>
    <col min="106" max="106" width="9.140625" customWidth="1"/>
    <col min="107" max="107" width="4.42578125" customWidth="1"/>
    <col min="108" max="108" width="5" customWidth="1"/>
    <col min="109" max="109" width="8" customWidth="1"/>
    <col min="110" max="110" width="9" customWidth="1"/>
    <col min="111" max="111" width="7.140625" customWidth="1"/>
    <col min="112" max="112" width="11" customWidth="1"/>
    <col min="113" max="113" width="7.140625" customWidth="1"/>
    <col min="114" max="114" width="8.42578125" customWidth="1"/>
    <col min="115" max="115" width="10.42578125" customWidth="1"/>
    <col min="116" max="117" width="7.140625" customWidth="1"/>
  </cols>
  <sheetData>
    <row r="1" spans="1:118" ht="33.75" customHeight="1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spans="1:118" ht="70.5" customHeight="1" thickBot="1" x14ac:dyDescent="0.3">
      <c r="A2" s="23" t="s">
        <v>4</v>
      </c>
      <c r="B2" s="71" t="s">
        <v>5</v>
      </c>
      <c r="C2" s="3" t="s">
        <v>0</v>
      </c>
      <c r="D2" s="9" t="s">
        <v>2</v>
      </c>
      <c r="E2" s="7" t="s">
        <v>1</v>
      </c>
      <c r="F2" s="7" t="s">
        <v>6</v>
      </c>
      <c r="G2" s="3" t="s">
        <v>0</v>
      </c>
      <c r="H2" s="9" t="s">
        <v>2</v>
      </c>
      <c r="I2" s="7" t="s">
        <v>1</v>
      </c>
      <c r="J2" s="7" t="s">
        <v>6</v>
      </c>
      <c r="K2" s="3" t="s">
        <v>0</v>
      </c>
      <c r="L2" s="9" t="s">
        <v>2</v>
      </c>
      <c r="M2" s="7" t="s">
        <v>1</v>
      </c>
      <c r="N2" s="7" t="s">
        <v>6</v>
      </c>
      <c r="O2" s="3" t="s">
        <v>0</v>
      </c>
      <c r="P2" s="9" t="s">
        <v>2</v>
      </c>
      <c r="Q2" s="7" t="s">
        <v>1</v>
      </c>
      <c r="R2" s="7" t="s">
        <v>6</v>
      </c>
      <c r="S2" s="3" t="s">
        <v>0</v>
      </c>
      <c r="T2" s="9" t="s">
        <v>2</v>
      </c>
      <c r="U2" s="7" t="s">
        <v>1</v>
      </c>
      <c r="V2" s="7" t="s">
        <v>6</v>
      </c>
      <c r="W2" s="3" t="s">
        <v>0</v>
      </c>
      <c r="X2" s="9" t="s">
        <v>2</v>
      </c>
      <c r="Y2" s="7" t="s">
        <v>1</v>
      </c>
      <c r="Z2" s="7" t="s">
        <v>6</v>
      </c>
      <c r="AA2" s="3" t="s">
        <v>0</v>
      </c>
      <c r="AB2" s="9" t="s">
        <v>2</v>
      </c>
      <c r="AC2" s="7" t="s">
        <v>1</v>
      </c>
      <c r="AD2" s="7" t="s">
        <v>6</v>
      </c>
      <c r="AE2" s="3" t="s">
        <v>0</v>
      </c>
      <c r="AF2" s="9" t="s">
        <v>2</v>
      </c>
      <c r="AG2" s="7" t="s">
        <v>1</v>
      </c>
      <c r="AH2" s="7" t="s">
        <v>6</v>
      </c>
      <c r="AI2" s="3" t="s">
        <v>0</v>
      </c>
      <c r="AJ2" s="9" t="s">
        <v>2</v>
      </c>
      <c r="AK2" s="7" t="s">
        <v>1</v>
      </c>
      <c r="AL2" s="7" t="s">
        <v>6</v>
      </c>
      <c r="AM2" s="3" t="s">
        <v>0</v>
      </c>
      <c r="AN2" s="9" t="s">
        <v>2</v>
      </c>
      <c r="AO2" s="7" t="s">
        <v>1</v>
      </c>
      <c r="AP2" s="7" t="s">
        <v>6</v>
      </c>
      <c r="AQ2" s="3" t="s">
        <v>0</v>
      </c>
      <c r="AR2" s="9" t="s">
        <v>2</v>
      </c>
      <c r="AS2" s="7" t="s">
        <v>1</v>
      </c>
      <c r="AT2" s="7" t="s">
        <v>6</v>
      </c>
      <c r="AU2" s="3" t="s">
        <v>0</v>
      </c>
      <c r="AV2" s="9" t="s">
        <v>2</v>
      </c>
      <c r="AW2" s="7" t="s">
        <v>1</v>
      </c>
      <c r="AX2" s="7" t="s">
        <v>6</v>
      </c>
      <c r="AY2" s="3" t="s">
        <v>0</v>
      </c>
      <c r="AZ2" s="9" t="s">
        <v>2</v>
      </c>
      <c r="BA2" s="7" t="s">
        <v>1</v>
      </c>
      <c r="BB2" s="7" t="s">
        <v>6</v>
      </c>
      <c r="BC2" s="3" t="s">
        <v>0</v>
      </c>
      <c r="BD2" s="9" t="s">
        <v>2</v>
      </c>
      <c r="BE2" s="7" t="s">
        <v>1</v>
      </c>
      <c r="BF2" s="7" t="s">
        <v>6</v>
      </c>
      <c r="BG2" s="3" t="s">
        <v>0</v>
      </c>
      <c r="BH2" s="9" t="s">
        <v>2</v>
      </c>
      <c r="BI2" s="7" t="s">
        <v>1</v>
      </c>
      <c r="BJ2" s="7" t="s">
        <v>6</v>
      </c>
      <c r="BK2" s="3" t="s">
        <v>0</v>
      </c>
      <c r="BL2" s="9" t="s">
        <v>2</v>
      </c>
      <c r="BM2" s="7" t="s">
        <v>1</v>
      </c>
      <c r="BN2" s="7" t="s">
        <v>6</v>
      </c>
      <c r="BO2" s="3" t="s">
        <v>0</v>
      </c>
      <c r="BP2" s="9" t="s">
        <v>2</v>
      </c>
      <c r="BQ2" s="7" t="s">
        <v>1</v>
      </c>
      <c r="BR2" s="7" t="s">
        <v>6</v>
      </c>
      <c r="BS2" s="3" t="s">
        <v>0</v>
      </c>
      <c r="BT2" s="9" t="s">
        <v>2</v>
      </c>
      <c r="BU2" s="7" t="s">
        <v>1</v>
      </c>
      <c r="BV2" s="7" t="s">
        <v>6</v>
      </c>
      <c r="BW2" s="3" t="s">
        <v>0</v>
      </c>
      <c r="BX2" s="9" t="s">
        <v>2</v>
      </c>
      <c r="BY2" s="7" t="s">
        <v>1</v>
      </c>
      <c r="BZ2" s="7" t="s">
        <v>6</v>
      </c>
      <c r="CA2" s="3" t="s">
        <v>0</v>
      </c>
      <c r="CB2" s="9" t="s">
        <v>2</v>
      </c>
      <c r="CC2" s="7" t="s">
        <v>1</v>
      </c>
      <c r="CD2" s="7" t="s">
        <v>6</v>
      </c>
      <c r="CE2" s="3" t="s">
        <v>0</v>
      </c>
      <c r="CF2" s="9" t="s">
        <v>2</v>
      </c>
      <c r="CG2" s="7" t="s">
        <v>1</v>
      </c>
      <c r="CH2" s="7" t="s">
        <v>6</v>
      </c>
      <c r="CI2" s="3" t="s">
        <v>0</v>
      </c>
      <c r="CJ2" s="9" t="s">
        <v>2</v>
      </c>
      <c r="CK2" s="7" t="s">
        <v>1</v>
      </c>
      <c r="CL2" s="7" t="s">
        <v>6</v>
      </c>
      <c r="CM2" s="3" t="s">
        <v>0</v>
      </c>
      <c r="CN2" s="9" t="s">
        <v>2</v>
      </c>
      <c r="CO2" s="7" t="s">
        <v>1</v>
      </c>
      <c r="CP2" s="7" t="s">
        <v>6</v>
      </c>
      <c r="CQ2" s="3" t="s">
        <v>0</v>
      </c>
      <c r="CR2" s="9" t="s">
        <v>2</v>
      </c>
      <c r="CS2" s="7" t="s">
        <v>1</v>
      </c>
      <c r="CT2" s="7" t="s">
        <v>6</v>
      </c>
      <c r="CU2" s="3" t="s">
        <v>0</v>
      </c>
      <c r="CV2" s="9" t="s">
        <v>2</v>
      </c>
      <c r="CW2" s="7" t="s">
        <v>1</v>
      </c>
      <c r="CX2" s="7" t="s">
        <v>6</v>
      </c>
      <c r="CY2" s="3" t="s">
        <v>0</v>
      </c>
      <c r="CZ2" s="9" t="s">
        <v>2</v>
      </c>
      <c r="DA2" s="7" t="s">
        <v>1</v>
      </c>
      <c r="DB2" s="7" t="s">
        <v>6</v>
      </c>
      <c r="DC2" s="3" t="s">
        <v>0</v>
      </c>
      <c r="DD2" s="9" t="s">
        <v>2</v>
      </c>
      <c r="DE2" s="7" t="s">
        <v>1</v>
      </c>
      <c r="DF2" s="7" t="s">
        <v>6</v>
      </c>
      <c r="DG2" s="49" t="s">
        <v>19</v>
      </c>
      <c r="DH2" s="10" t="s">
        <v>20</v>
      </c>
      <c r="DI2" s="10" t="s">
        <v>21</v>
      </c>
      <c r="DJ2" s="10" t="s">
        <v>22</v>
      </c>
      <c r="DK2" s="81" t="s">
        <v>23</v>
      </c>
      <c r="DL2" s="81"/>
      <c r="DM2" s="81"/>
      <c r="DN2" s="22" t="s">
        <v>24</v>
      </c>
    </row>
    <row r="3" spans="1:118" ht="72" customHeight="1" thickBot="1" x14ac:dyDescent="0.3">
      <c r="A3" s="21">
        <v>1</v>
      </c>
      <c r="B3" s="30" t="s">
        <v>13</v>
      </c>
      <c r="C3" s="3">
        <v>4</v>
      </c>
      <c r="D3" s="3">
        <v>4</v>
      </c>
      <c r="E3" s="12">
        <f>D3/C3</f>
        <v>1</v>
      </c>
      <c r="F3" s="12">
        <f t="shared" ref="F3:F11" si="0">POWER(D3-$DI3,2)</f>
        <v>11.61042524005487</v>
      </c>
      <c r="G3" s="3">
        <v>8</v>
      </c>
      <c r="H3" s="3">
        <v>8</v>
      </c>
      <c r="I3" s="12">
        <f>H3/G3</f>
        <v>1</v>
      </c>
      <c r="J3" s="12">
        <f t="shared" ref="J3:J11" si="1">POWER(H3-$DI3,2)</f>
        <v>0.3511659807956104</v>
      </c>
      <c r="K3" s="3">
        <v>7</v>
      </c>
      <c r="L3" s="3">
        <v>5</v>
      </c>
      <c r="M3" s="12">
        <f>L3/K3</f>
        <v>0.7142857142857143</v>
      </c>
      <c r="N3" s="12">
        <f t="shared" ref="N3:N11" si="2">POWER(L3-$DI3,2)</f>
        <v>5.7956104252400547</v>
      </c>
      <c r="O3" s="3">
        <v>6</v>
      </c>
      <c r="P3" s="3">
        <v>6</v>
      </c>
      <c r="Q3" s="12">
        <f>P3/O3</f>
        <v>1</v>
      </c>
      <c r="R3" s="12">
        <f t="shared" ref="R3:R11" si="3">POWER(P3-$DI3,2)</f>
        <v>1.9807956104252402</v>
      </c>
      <c r="S3" s="3">
        <v>8</v>
      </c>
      <c r="T3" s="3">
        <v>8</v>
      </c>
      <c r="U3" s="12">
        <f>T3/S3</f>
        <v>1</v>
      </c>
      <c r="V3" s="12">
        <f t="shared" ref="V3:V11" si="4">POWER(T3-$DI3,2)</f>
        <v>0.3511659807956104</v>
      </c>
      <c r="W3" s="3">
        <v>8</v>
      </c>
      <c r="X3" s="3">
        <v>8</v>
      </c>
      <c r="Y3" s="12">
        <f>X3/W3</f>
        <v>1</v>
      </c>
      <c r="Z3" s="12">
        <f t="shared" ref="Z3:Z11" si="5">POWER(X3-$DI3,2)</f>
        <v>0.3511659807956104</v>
      </c>
      <c r="AA3" s="3">
        <v>8</v>
      </c>
      <c r="AB3" s="3">
        <v>7</v>
      </c>
      <c r="AC3" s="12">
        <f>AB3/AA3</f>
        <v>0.875</v>
      </c>
      <c r="AD3" s="12">
        <f t="shared" ref="AD3:AD11" si="6">POWER(AB3-$DI3,2)</f>
        <v>0.16598079561042528</v>
      </c>
      <c r="AE3" s="3">
        <v>8</v>
      </c>
      <c r="AF3" s="3">
        <v>8</v>
      </c>
      <c r="AG3" s="12">
        <f>AF3/AE3</f>
        <v>1</v>
      </c>
      <c r="AH3" s="12">
        <f t="shared" ref="AH3:AH11" si="7">POWER(AF3-$DI3,2)</f>
        <v>0.3511659807956104</v>
      </c>
      <c r="AI3" s="3">
        <v>9</v>
      </c>
      <c r="AJ3" s="3">
        <v>9</v>
      </c>
      <c r="AK3" s="12">
        <f>AJ3/AI3</f>
        <v>1</v>
      </c>
      <c r="AL3" s="12">
        <f t="shared" ref="AL3:AL11" si="8">POWER(AJ3-$DI3,2)</f>
        <v>2.5363511659807956</v>
      </c>
      <c r="AM3" s="3">
        <v>7</v>
      </c>
      <c r="AN3" s="3">
        <v>7</v>
      </c>
      <c r="AO3" s="12">
        <f>AN3/AM3</f>
        <v>1</v>
      </c>
      <c r="AP3" s="12">
        <f t="shared" ref="AP3:AP11" si="9">POWER(AN3-$DI3,2)</f>
        <v>0.16598079561042528</v>
      </c>
      <c r="AQ3" s="3">
        <v>9</v>
      </c>
      <c r="AR3" s="5">
        <v>9</v>
      </c>
      <c r="AS3" s="12">
        <f>AR3/AQ3</f>
        <v>1</v>
      </c>
      <c r="AT3" s="12">
        <f t="shared" ref="AT3:AT11" si="10">POWER(AR3-$DI3,2)</f>
        <v>2.5363511659807956</v>
      </c>
      <c r="AU3" s="3">
        <v>9</v>
      </c>
      <c r="AV3" s="5">
        <v>8</v>
      </c>
      <c r="AW3" s="12">
        <f>AV3/AU3</f>
        <v>0.88888888888888884</v>
      </c>
      <c r="AX3" s="12">
        <f t="shared" ref="AX3:AX11" si="11">POWER(AV3-$DI3,2)</f>
        <v>0.3511659807956104</v>
      </c>
      <c r="AY3" s="3">
        <v>10</v>
      </c>
      <c r="AZ3" s="3">
        <v>10</v>
      </c>
      <c r="BA3" s="12">
        <f>AZ3/AY3</f>
        <v>1</v>
      </c>
      <c r="BB3" s="12">
        <f t="shared" ref="BB3:BB11" si="12">POWER(AZ3-$DI3,2)</f>
        <v>6.7215363511659802</v>
      </c>
      <c r="BC3" s="3">
        <v>7</v>
      </c>
      <c r="BD3" s="3">
        <v>7</v>
      </c>
      <c r="BE3" s="12">
        <f>BD3/BC3</f>
        <v>1</v>
      </c>
      <c r="BF3" s="12">
        <f t="shared" ref="BF3:BF11" si="13">POWER(BD3-$DI3,2)</f>
        <v>0.16598079561042528</v>
      </c>
      <c r="BG3" s="3">
        <v>8</v>
      </c>
      <c r="BH3" s="5">
        <v>8</v>
      </c>
      <c r="BI3" s="12">
        <f>BH3/BG3</f>
        <v>1</v>
      </c>
      <c r="BJ3" s="12">
        <f t="shared" ref="BJ3:BJ14" si="14">POWER(BH3-$DI3,2)</f>
        <v>0.3511659807956104</v>
      </c>
      <c r="BK3" s="3">
        <v>6</v>
      </c>
      <c r="BL3" s="5">
        <v>5</v>
      </c>
      <c r="BM3" s="12">
        <f>BL3/BK3</f>
        <v>0.83333333333333337</v>
      </c>
      <c r="BN3" s="12">
        <f t="shared" ref="BN3:BN11" si="15">POWER(BL3-$DI3,2)</f>
        <v>5.7956104252400547</v>
      </c>
      <c r="BO3" s="3">
        <v>9</v>
      </c>
      <c r="BP3" s="5">
        <v>8</v>
      </c>
      <c r="BQ3" s="12">
        <f>BP3/BO3</f>
        <v>0.88888888888888884</v>
      </c>
      <c r="BR3" s="12">
        <f t="shared" ref="BR3:BR11" si="16">POWER(BP3-$DI3,2)</f>
        <v>0.3511659807956104</v>
      </c>
      <c r="BS3" s="3">
        <v>8</v>
      </c>
      <c r="BT3" s="3">
        <v>8</v>
      </c>
      <c r="BU3" s="12">
        <f>BT3/BS3</f>
        <v>1</v>
      </c>
      <c r="BV3" s="12">
        <f t="shared" ref="BV3:BV11" si="17">POWER(BT3-$DI3,2)</f>
        <v>0.3511659807956104</v>
      </c>
      <c r="BW3" s="3">
        <v>5</v>
      </c>
      <c r="BX3" s="5">
        <v>5</v>
      </c>
      <c r="BY3" s="12">
        <f>BX3/BW3</f>
        <v>1</v>
      </c>
      <c r="BZ3" s="12">
        <f t="shared" ref="BZ3:BZ11" si="18">POWER(BX3-$DI3,2)</f>
        <v>5.7956104252400547</v>
      </c>
      <c r="CA3" s="3">
        <v>5</v>
      </c>
      <c r="CB3" s="3">
        <v>4</v>
      </c>
      <c r="CC3" s="12">
        <f>CB3/CA3</f>
        <v>0.8</v>
      </c>
      <c r="CD3" s="12">
        <f t="shared" ref="CD3:CD11" si="19">POWER(CB3-$DI3,2)</f>
        <v>11.61042524005487</v>
      </c>
      <c r="CE3" s="3">
        <v>5</v>
      </c>
      <c r="CF3" s="5">
        <v>4</v>
      </c>
      <c r="CG3" s="12">
        <f>CF3/CE3</f>
        <v>0.8</v>
      </c>
      <c r="CH3" s="12">
        <f t="shared" ref="CH3:CH11" si="20">POWER(CF3-$DI3,2)</f>
        <v>11.61042524005487</v>
      </c>
      <c r="CI3" s="3">
        <v>10</v>
      </c>
      <c r="CJ3" s="3">
        <v>10</v>
      </c>
      <c r="CK3" s="12">
        <f>CJ3/CI3</f>
        <v>1</v>
      </c>
      <c r="CL3" s="12">
        <f t="shared" ref="CL3:CL11" si="21">POWER(CJ3-$DI3,2)</f>
        <v>6.7215363511659802</v>
      </c>
      <c r="CM3" s="3">
        <v>10</v>
      </c>
      <c r="CN3" s="3">
        <v>10</v>
      </c>
      <c r="CO3" s="12">
        <f>CN3/CM3</f>
        <v>1</v>
      </c>
      <c r="CP3" s="12">
        <f t="shared" ref="CP3:CP11" si="22">POWER(CN3-$DI3,2)</f>
        <v>6.7215363511659802</v>
      </c>
      <c r="CQ3" s="3">
        <v>8</v>
      </c>
      <c r="CR3" s="3">
        <v>8</v>
      </c>
      <c r="CS3" s="12">
        <f>CR3/CQ3</f>
        <v>1</v>
      </c>
      <c r="CT3" s="12">
        <f t="shared" ref="CT3:CT14" si="23">POWER(CR3-$DI3,2)</f>
        <v>0.3511659807956104</v>
      </c>
      <c r="CU3" s="3">
        <v>9</v>
      </c>
      <c r="CV3" s="3">
        <v>9</v>
      </c>
      <c r="CW3" s="12">
        <f>CV3/CU3</f>
        <v>1</v>
      </c>
      <c r="CX3" s="12">
        <f t="shared" ref="CX3:CX11" si="24">POWER(CV3-$DI3,2)</f>
        <v>2.5363511659807956</v>
      </c>
      <c r="CY3" s="3">
        <v>9</v>
      </c>
      <c r="CZ3" s="5">
        <v>9</v>
      </c>
      <c r="DA3" s="12">
        <f>CZ3/CY3</f>
        <v>1</v>
      </c>
      <c r="DB3" s="12">
        <f t="shared" ref="DB3:DB14" si="25">POWER(CZ3-$DI3,2)</f>
        <v>2.5363511659807956</v>
      </c>
      <c r="DC3" s="3">
        <v>8</v>
      </c>
      <c r="DD3" s="3">
        <v>8</v>
      </c>
      <c r="DE3" s="12">
        <f>DD3/DC3</f>
        <v>1</v>
      </c>
      <c r="DF3" s="12">
        <f t="shared" ref="DF3:DF11" si="26">POWER(DD3-$DI3,2)</f>
        <v>0.3511659807956104</v>
      </c>
      <c r="DG3" s="4">
        <f>COUNT(C3,G3,K3,O3,S3,W3,AA3,AE3,AI3,AM3,AQ3,AU3,AY3,BC3,BG3,BK3,BO3,BS3,BW3,CA3,CE3,CI3,CM3,CQ3,CU3,CY3,DC3,#REF!,#REF!,#REF!,#REF!,#REF!,#REF!,#REF!,#REF!,#REF!,#REF!,#REF!,#REF!,#REF!,#REF!,#REF!,#REF!,#REF!,#REF!,#REF!,#REF!,#REF!,#REF!,#REF!)</f>
        <v>27</v>
      </c>
      <c r="DH3" s="15">
        <f>(E3+I3+M3+Q3+U3+Y3+AC3+AG3+AK3+AO3+AS3+AW3+BA3+BE3+BI3+BM3+BQ3+BU3+BY3+CC3+CG3+CK3+CO3+CS3+CW3+DA3+DE3)*100/DG3</f>
        <v>95.557025279247512</v>
      </c>
      <c r="DI3" s="15">
        <f>AVERAGE(D3,H3,L3,P3,T3,X3,AB3,AF3,AJ3,AN3,AR3,AV3,AZ3,BD3,BH3,BL3,BP3,BT3,BX3,CB3,CF3,CJ3,CN3,CR3,CV3,CZ3,DD3)</f>
        <v>7.4074074074074074</v>
      </c>
      <c r="DJ3" s="15">
        <f>SQRT((F3+J3+N3+R3+V3+Z3+AD3+AH3+AL3+AP3+AT3+AX3+BB3+BF3+BJ3+BN3+BR3++BV3+BZ3+CD3+CH3+CL3+CP3+CT3+CX3+DB3+DF3)/DG3)</f>
        <v>1.8106528239378248</v>
      </c>
      <c r="DK3" s="16">
        <f>DH3</f>
        <v>95.557025279247512</v>
      </c>
      <c r="DL3" s="17" t="s">
        <v>3</v>
      </c>
      <c r="DM3" s="24">
        <f>DJ3</f>
        <v>1.8106528239378248</v>
      </c>
      <c r="DN3" s="4" t="str">
        <f>IF(DH3&lt;40,"неудовлетворительно",IF((DH3&gt;=40)*AND(DH3&lt;60),"удовлетворительно",IF((DH3&gt;=60)*AND(DH3&lt;80),"хорошо","отлично")))</f>
        <v>отлично</v>
      </c>
    </row>
    <row r="4" spans="1:118" ht="39.75" customHeight="1" thickBot="1" x14ac:dyDescent="0.3">
      <c r="A4" s="21">
        <v>2</v>
      </c>
      <c r="B4" s="31" t="s">
        <v>14</v>
      </c>
      <c r="C4" s="3">
        <v>1</v>
      </c>
      <c r="D4" s="3">
        <v>1</v>
      </c>
      <c r="E4" s="12">
        <f t="shared" ref="E4:E14" si="27">D4/C4</f>
        <v>1</v>
      </c>
      <c r="F4" s="12">
        <f t="shared" si="0"/>
        <v>31.692729766803843</v>
      </c>
      <c r="G4" s="3">
        <v>7</v>
      </c>
      <c r="H4" s="3">
        <v>7</v>
      </c>
      <c r="I4" s="12">
        <f t="shared" ref="I4:I14" si="28">H4/G4</f>
        <v>1</v>
      </c>
      <c r="J4" s="12">
        <f t="shared" si="1"/>
        <v>0.13717421124828522</v>
      </c>
      <c r="K4" s="3">
        <v>10</v>
      </c>
      <c r="L4" s="3">
        <v>4</v>
      </c>
      <c r="M4" s="12">
        <f t="shared" ref="M4:M14" si="29">L4/K4</f>
        <v>0.4</v>
      </c>
      <c r="N4" s="12">
        <f t="shared" si="2"/>
        <v>6.914951989026064</v>
      </c>
      <c r="O4" s="3">
        <v>7</v>
      </c>
      <c r="P4" s="3">
        <v>1</v>
      </c>
      <c r="Q4" s="12">
        <f t="shared" ref="Q4:Q14" si="30">P4/O4</f>
        <v>0.14285714285714285</v>
      </c>
      <c r="R4" s="12">
        <f t="shared" si="3"/>
        <v>31.692729766803843</v>
      </c>
      <c r="S4" s="3">
        <v>6</v>
      </c>
      <c r="T4" s="3">
        <v>6</v>
      </c>
      <c r="U4" s="12">
        <f t="shared" ref="U4:U14" si="31">T4/S4</f>
        <v>1</v>
      </c>
      <c r="V4" s="12">
        <f t="shared" si="4"/>
        <v>0.39643347050754474</v>
      </c>
      <c r="W4" s="3">
        <v>6</v>
      </c>
      <c r="X4" s="3">
        <v>6</v>
      </c>
      <c r="Y4" s="12">
        <f t="shared" ref="Y4:Y14" si="32">X4/W4</f>
        <v>1</v>
      </c>
      <c r="Z4" s="12">
        <f t="shared" si="5"/>
        <v>0.39643347050754474</v>
      </c>
      <c r="AA4" s="3">
        <v>7</v>
      </c>
      <c r="AB4" s="3">
        <v>7</v>
      </c>
      <c r="AC4" s="12">
        <f t="shared" ref="AC4:AC14" si="33">AB4/AA4</f>
        <v>1</v>
      </c>
      <c r="AD4" s="12">
        <f t="shared" si="6"/>
        <v>0.13717421124828522</v>
      </c>
      <c r="AE4" s="3">
        <v>5</v>
      </c>
      <c r="AF4" s="3">
        <v>5</v>
      </c>
      <c r="AG4" s="12">
        <f t="shared" ref="AG4:AG14" si="34">AF4/AE4</f>
        <v>1</v>
      </c>
      <c r="AH4" s="12">
        <f t="shared" si="7"/>
        <v>2.6556927297668045</v>
      </c>
      <c r="AI4" s="3">
        <v>10</v>
      </c>
      <c r="AJ4" s="3">
        <v>10</v>
      </c>
      <c r="AK4" s="12">
        <f t="shared" ref="AK4:AK14" si="35">AJ4/AI4</f>
        <v>1</v>
      </c>
      <c r="AL4" s="12">
        <f t="shared" si="8"/>
        <v>11.359396433470506</v>
      </c>
      <c r="AM4" s="3">
        <v>6</v>
      </c>
      <c r="AN4" s="3">
        <v>6</v>
      </c>
      <c r="AO4" s="12">
        <f t="shared" ref="AO4:AO14" si="36">AN4/AM4</f>
        <v>1</v>
      </c>
      <c r="AP4" s="12">
        <f t="shared" si="9"/>
        <v>0.39643347050754474</v>
      </c>
      <c r="AQ4" s="3">
        <v>10</v>
      </c>
      <c r="AR4" s="5">
        <v>9</v>
      </c>
      <c r="AS4" s="12">
        <f t="shared" ref="AS4:AS14" si="37">AR4/AQ4</f>
        <v>0.9</v>
      </c>
      <c r="AT4" s="12">
        <f t="shared" si="10"/>
        <v>5.6186556927297664</v>
      </c>
      <c r="AU4" s="3">
        <v>8</v>
      </c>
      <c r="AV4" s="5">
        <v>8</v>
      </c>
      <c r="AW4" s="12">
        <f t="shared" ref="AW4:AW11" si="38">AV4/AU4</f>
        <v>1</v>
      </c>
      <c r="AX4" s="12">
        <f t="shared" si="11"/>
        <v>1.8779149519890257</v>
      </c>
      <c r="AY4" s="3">
        <v>10</v>
      </c>
      <c r="AZ4" s="3">
        <v>10</v>
      </c>
      <c r="BA4" s="12">
        <f t="shared" ref="BA4:BA11" si="39">AZ4/AY4</f>
        <v>1</v>
      </c>
      <c r="BB4" s="12">
        <f t="shared" si="12"/>
        <v>11.359396433470506</v>
      </c>
      <c r="BC4" s="3">
        <v>6</v>
      </c>
      <c r="BD4" s="3">
        <v>6</v>
      </c>
      <c r="BE4" s="12">
        <f t="shared" ref="BE4:BE11" si="40">BD4/BC4</f>
        <v>1</v>
      </c>
      <c r="BF4" s="12">
        <f t="shared" si="13"/>
        <v>0.39643347050754474</v>
      </c>
      <c r="BG4" s="3">
        <v>6</v>
      </c>
      <c r="BH4" s="5">
        <v>6</v>
      </c>
      <c r="BI4" s="12">
        <f t="shared" ref="BI4:BI11" si="41">BH4/BG4</f>
        <v>1</v>
      </c>
      <c r="BJ4" s="12">
        <f t="shared" si="14"/>
        <v>0.39643347050754474</v>
      </c>
      <c r="BK4" s="3">
        <v>8</v>
      </c>
      <c r="BL4" s="5">
        <v>8</v>
      </c>
      <c r="BM4" s="12">
        <f t="shared" ref="BM4:BM11" si="42">BL4/BK4</f>
        <v>1</v>
      </c>
      <c r="BN4" s="12">
        <f t="shared" si="15"/>
        <v>1.8779149519890257</v>
      </c>
      <c r="BO4" s="3">
        <v>8</v>
      </c>
      <c r="BP4" s="5">
        <v>8</v>
      </c>
      <c r="BQ4" s="12">
        <f t="shared" ref="BQ4:BQ11" si="43">BP4/BO4</f>
        <v>1</v>
      </c>
      <c r="BR4" s="12">
        <f t="shared" si="16"/>
        <v>1.8779149519890257</v>
      </c>
      <c r="BS4" s="3">
        <v>8</v>
      </c>
      <c r="BT4" s="3">
        <v>7</v>
      </c>
      <c r="BU4" s="12">
        <f t="shared" ref="BU4:BU11" si="44">BT4/BS4</f>
        <v>0.875</v>
      </c>
      <c r="BV4" s="12">
        <f t="shared" si="17"/>
        <v>0.13717421124828522</v>
      </c>
      <c r="BW4" s="3">
        <v>5</v>
      </c>
      <c r="BX4" s="5">
        <v>5</v>
      </c>
      <c r="BY4" s="12">
        <f t="shared" ref="BY4:BY11" si="45">BX4/BW4</f>
        <v>1</v>
      </c>
      <c r="BZ4" s="12">
        <f t="shared" si="18"/>
        <v>2.6556927297668045</v>
      </c>
      <c r="CA4" s="3">
        <v>3</v>
      </c>
      <c r="CB4" s="3">
        <v>3</v>
      </c>
      <c r="CC4" s="12">
        <f t="shared" ref="CC4:CC11" si="46">CB4/CA4</f>
        <v>1</v>
      </c>
      <c r="CD4" s="12">
        <f t="shared" si="19"/>
        <v>13.174211248285323</v>
      </c>
      <c r="CE4" s="3">
        <v>4</v>
      </c>
      <c r="CF4" s="5">
        <v>4</v>
      </c>
      <c r="CG4" s="12">
        <f t="shared" ref="CG4:CG11" si="47">CF4/CE4</f>
        <v>1</v>
      </c>
      <c r="CH4" s="12">
        <f t="shared" si="20"/>
        <v>6.914951989026064</v>
      </c>
      <c r="CI4" s="3">
        <v>10</v>
      </c>
      <c r="CJ4" s="3">
        <v>10</v>
      </c>
      <c r="CK4" s="12">
        <f t="shared" ref="CK4:CK11" si="48">CJ4/CI4</f>
        <v>1</v>
      </c>
      <c r="CL4" s="12">
        <f t="shared" si="21"/>
        <v>11.359396433470506</v>
      </c>
      <c r="CM4" s="3">
        <v>10</v>
      </c>
      <c r="CN4" s="3">
        <v>9</v>
      </c>
      <c r="CO4" s="12">
        <f t="shared" ref="CO4:CO11" si="49">CN4/CM4</f>
        <v>0.9</v>
      </c>
      <c r="CP4" s="12">
        <f t="shared" si="22"/>
        <v>5.6186556927297664</v>
      </c>
      <c r="CQ4" s="3">
        <v>8</v>
      </c>
      <c r="CR4" s="3">
        <v>8</v>
      </c>
      <c r="CS4" s="12">
        <f t="shared" ref="CS4:CS11" si="50">CR4/CQ4</f>
        <v>1</v>
      </c>
      <c r="CT4" s="12">
        <f t="shared" si="23"/>
        <v>1.8779149519890257</v>
      </c>
      <c r="CU4" s="3">
        <v>9</v>
      </c>
      <c r="CV4" s="3">
        <v>9</v>
      </c>
      <c r="CW4" s="12">
        <f t="shared" ref="CW4:CW11" si="51">CV4/CU4</f>
        <v>1</v>
      </c>
      <c r="CX4" s="12">
        <f t="shared" si="24"/>
        <v>5.6186556927297664</v>
      </c>
      <c r="CY4" s="3">
        <v>8</v>
      </c>
      <c r="CZ4" s="5">
        <v>8</v>
      </c>
      <c r="DA4" s="12">
        <f t="shared" ref="DA4:DA14" si="52">CZ4/CY4</f>
        <v>1</v>
      </c>
      <c r="DB4" s="12">
        <f t="shared" si="25"/>
        <v>1.8779149519890257</v>
      </c>
      <c r="DC4" s="3">
        <v>8</v>
      </c>
      <c r="DD4" s="3">
        <v>8</v>
      </c>
      <c r="DE4" s="12">
        <f t="shared" ref="DE4:DE11" si="53">DD4/DC4</f>
        <v>1</v>
      </c>
      <c r="DF4" s="12">
        <f t="shared" si="26"/>
        <v>1.8779149519890257</v>
      </c>
      <c r="DG4" s="4">
        <f>COUNT(C4,G4,K4,O4,S4,W4,AA4,AE4,AI4,AM4,AQ4,AU4,AY4,BC4,BG4,BK4,BO4,BS4,BW4,CA4,CE4,CI4,CM4,CQ4,CU4,CY4,DC4,#REF!,#REF!,#REF!,#REF!,#REF!,#REF!,#REF!,#REF!,#REF!,#REF!,#REF!,#REF!,#REF!,#REF!,#REF!,#REF!,#REF!,#REF!,#REF!,#REF!,#REF!,#REF!,#REF!)</f>
        <v>27</v>
      </c>
      <c r="DH4" s="15">
        <f t="shared" ref="DH4:DH11" si="54">(E4+I4+M4+Q4+U4+Y4+AC4+AG4+AK4+AO4+AS4+AW4+BA4+BE4+BI4+BM4+BQ4+BU4+BY4+CC4+CG4+CK4+CO4+CS4+CW4+DA4+DE4)*100/DG4</f>
        <v>93.399470899470899</v>
      </c>
      <c r="DI4" s="15">
        <f t="shared" ref="DI4:DI14" si="55">AVERAGE(D4,H4,L4,P4,T4,X4,AB4,AF4,AJ4,AN4,AR4,AV4,AZ4,BD4,BH4,BL4,BP4,BT4,BX4,CB4,CF4,CJ4,CN4,CR4,CV4,CZ4,DD4)</f>
        <v>6.6296296296296298</v>
      </c>
      <c r="DJ4" s="15">
        <f t="shared" ref="DJ4:DJ11" si="56">SQRT((F4+J4+N4+R4+V4+Z4+AD4+AH4+AL4+AP4+AT4+AX4+BB4+BF4+BJ4+BN4+BR4++BV4+BZ4+CD4+CH4+CL4+CP4+CT4+CX4+DB4+DF4)/DG4)</f>
        <v>2.4365754375405224</v>
      </c>
      <c r="DK4" s="16">
        <f t="shared" ref="DK4:DK11" si="57">DH4</f>
        <v>93.399470899470899</v>
      </c>
      <c r="DL4" s="17" t="s">
        <v>3</v>
      </c>
      <c r="DM4" s="24">
        <f t="shared" ref="DM4:DM11" si="58">DJ4</f>
        <v>2.4365754375405224</v>
      </c>
      <c r="DN4" s="4" t="str">
        <f t="shared" ref="DN4:DN11" si="59">IF(DH4&lt;40,"неудовлетворительно",IF((DH4&gt;=40)*AND(DH4&lt;60),"удовлетворительно",IF((DH4&gt;=60)*AND(DH4&lt;80),"хорошо","отлично")))</f>
        <v>отлично</v>
      </c>
    </row>
    <row r="5" spans="1:118" ht="52.5" customHeight="1" thickBot="1" x14ac:dyDescent="0.3">
      <c r="A5" s="21">
        <v>3</v>
      </c>
      <c r="B5" s="31" t="s">
        <v>15</v>
      </c>
      <c r="C5" s="3">
        <v>5</v>
      </c>
      <c r="D5" s="3">
        <v>5</v>
      </c>
      <c r="E5" s="12">
        <f t="shared" si="27"/>
        <v>1</v>
      </c>
      <c r="F5" s="12">
        <f t="shared" si="0"/>
        <v>7.9231824417009609</v>
      </c>
      <c r="G5" s="3">
        <v>9</v>
      </c>
      <c r="H5" s="3">
        <v>8</v>
      </c>
      <c r="I5" s="12">
        <f t="shared" si="28"/>
        <v>0.88888888888888884</v>
      </c>
      <c r="J5" s="12">
        <f t="shared" si="1"/>
        <v>3.4293552812071304E-2</v>
      </c>
      <c r="K5" s="3">
        <v>9</v>
      </c>
      <c r="L5" s="3">
        <v>5</v>
      </c>
      <c r="M5" s="12">
        <f t="shared" si="29"/>
        <v>0.55555555555555558</v>
      </c>
      <c r="N5" s="12">
        <f t="shared" si="2"/>
        <v>7.9231824417009609</v>
      </c>
      <c r="O5" s="3">
        <v>5</v>
      </c>
      <c r="P5" s="3">
        <v>5</v>
      </c>
      <c r="Q5" s="12">
        <f t="shared" si="30"/>
        <v>1</v>
      </c>
      <c r="R5" s="12">
        <f t="shared" si="3"/>
        <v>7.9231824417009609</v>
      </c>
      <c r="S5" s="3">
        <v>10</v>
      </c>
      <c r="T5" s="3">
        <v>10</v>
      </c>
      <c r="U5" s="12">
        <f t="shared" si="31"/>
        <v>1</v>
      </c>
      <c r="V5" s="12">
        <f t="shared" si="4"/>
        <v>4.7750342935528121</v>
      </c>
      <c r="W5" s="3">
        <v>10</v>
      </c>
      <c r="X5" s="3">
        <v>10</v>
      </c>
      <c r="Y5" s="12">
        <f t="shared" si="32"/>
        <v>1</v>
      </c>
      <c r="Z5" s="12">
        <f t="shared" si="5"/>
        <v>4.7750342935528121</v>
      </c>
      <c r="AA5" s="3">
        <v>7</v>
      </c>
      <c r="AB5" s="3">
        <v>5</v>
      </c>
      <c r="AC5" s="12">
        <f t="shared" si="33"/>
        <v>0.7142857142857143</v>
      </c>
      <c r="AD5" s="12">
        <f t="shared" si="6"/>
        <v>7.9231824417009609</v>
      </c>
      <c r="AE5" s="3">
        <v>10</v>
      </c>
      <c r="AF5" s="3">
        <v>10</v>
      </c>
      <c r="AG5" s="12">
        <f t="shared" si="34"/>
        <v>1</v>
      </c>
      <c r="AH5" s="12">
        <f t="shared" si="7"/>
        <v>4.7750342935528121</v>
      </c>
      <c r="AI5" s="3">
        <v>7</v>
      </c>
      <c r="AJ5" s="3">
        <v>5</v>
      </c>
      <c r="AK5" s="12">
        <f t="shared" si="35"/>
        <v>0.7142857142857143</v>
      </c>
      <c r="AL5" s="12">
        <f t="shared" si="8"/>
        <v>7.9231824417009609</v>
      </c>
      <c r="AM5" s="3">
        <v>10</v>
      </c>
      <c r="AN5" s="3">
        <v>10</v>
      </c>
      <c r="AO5" s="12">
        <f t="shared" si="36"/>
        <v>1</v>
      </c>
      <c r="AP5" s="12">
        <f t="shared" si="9"/>
        <v>4.7750342935528121</v>
      </c>
      <c r="AQ5" s="3">
        <v>10</v>
      </c>
      <c r="AR5" s="5">
        <v>9</v>
      </c>
      <c r="AS5" s="12">
        <f t="shared" si="37"/>
        <v>0.9</v>
      </c>
      <c r="AT5" s="12">
        <f t="shared" si="10"/>
        <v>1.4046639231824416</v>
      </c>
      <c r="AU5" s="3">
        <v>8</v>
      </c>
      <c r="AV5" s="5">
        <v>7</v>
      </c>
      <c r="AW5" s="12">
        <f t="shared" si="38"/>
        <v>0.875</v>
      </c>
      <c r="AX5" s="12">
        <f t="shared" si="11"/>
        <v>0.66392318244170112</v>
      </c>
      <c r="AY5" s="3">
        <v>10</v>
      </c>
      <c r="AZ5" s="3">
        <v>10</v>
      </c>
      <c r="BA5" s="12">
        <f t="shared" si="39"/>
        <v>1</v>
      </c>
      <c r="BB5" s="12">
        <f t="shared" si="12"/>
        <v>4.7750342935528121</v>
      </c>
      <c r="BC5" s="3">
        <v>8</v>
      </c>
      <c r="BD5" s="3">
        <v>8</v>
      </c>
      <c r="BE5" s="12">
        <f t="shared" si="40"/>
        <v>1</v>
      </c>
      <c r="BF5" s="12">
        <f t="shared" si="13"/>
        <v>3.4293552812071304E-2</v>
      </c>
      <c r="BG5" s="3">
        <v>9</v>
      </c>
      <c r="BH5" s="5">
        <v>9</v>
      </c>
      <c r="BI5" s="12">
        <f t="shared" si="41"/>
        <v>1</v>
      </c>
      <c r="BJ5" s="12">
        <f t="shared" si="14"/>
        <v>1.4046639231824416</v>
      </c>
      <c r="BK5" s="3">
        <v>10</v>
      </c>
      <c r="BL5" s="5">
        <v>8</v>
      </c>
      <c r="BM5" s="12">
        <f t="shared" si="42"/>
        <v>0.8</v>
      </c>
      <c r="BN5" s="12">
        <f t="shared" si="15"/>
        <v>3.4293552812071304E-2</v>
      </c>
      <c r="BO5" s="3">
        <v>8</v>
      </c>
      <c r="BP5" s="5">
        <v>5</v>
      </c>
      <c r="BQ5" s="12">
        <f t="shared" si="43"/>
        <v>0.625</v>
      </c>
      <c r="BR5" s="12">
        <f t="shared" si="16"/>
        <v>7.9231824417009609</v>
      </c>
      <c r="BS5" s="3">
        <v>9</v>
      </c>
      <c r="BT5" s="3">
        <v>9</v>
      </c>
      <c r="BU5" s="12">
        <f t="shared" si="44"/>
        <v>1</v>
      </c>
      <c r="BV5" s="12">
        <f t="shared" si="17"/>
        <v>1.4046639231824416</v>
      </c>
      <c r="BW5" s="3">
        <v>5</v>
      </c>
      <c r="BX5" s="5">
        <v>5</v>
      </c>
      <c r="BY5" s="12">
        <f t="shared" si="45"/>
        <v>1</v>
      </c>
      <c r="BZ5" s="12">
        <f t="shared" si="18"/>
        <v>7.9231824417009609</v>
      </c>
      <c r="CA5" s="3">
        <v>9</v>
      </c>
      <c r="CB5" s="3">
        <v>9</v>
      </c>
      <c r="CC5" s="12">
        <f t="shared" si="46"/>
        <v>1</v>
      </c>
      <c r="CD5" s="12">
        <f t="shared" si="19"/>
        <v>1.4046639231824416</v>
      </c>
      <c r="CE5" s="3">
        <v>7</v>
      </c>
      <c r="CF5" s="5">
        <v>6</v>
      </c>
      <c r="CG5" s="12">
        <f t="shared" si="47"/>
        <v>0.8571428571428571</v>
      </c>
      <c r="CH5" s="12">
        <f t="shared" si="20"/>
        <v>3.2935528120713307</v>
      </c>
      <c r="CI5" s="3">
        <v>10</v>
      </c>
      <c r="CJ5" s="3">
        <v>10</v>
      </c>
      <c r="CK5" s="12">
        <f t="shared" si="48"/>
        <v>1</v>
      </c>
      <c r="CL5" s="12">
        <f t="shared" si="21"/>
        <v>4.7750342935528121</v>
      </c>
      <c r="CM5" s="3">
        <v>9</v>
      </c>
      <c r="CN5" s="3">
        <v>9</v>
      </c>
      <c r="CO5" s="12">
        <f t="shared" si="49"/>
        <v>1</v>
      </c>
      <c r="CP5" s="12">
        <f t="shared" si="22"/>
        <v>1.4046639231824416</v>
      </c>
      <c r="CQ5" s="3">
        <v>10</v>
      </c>
      <c r="CR5" s="3">
        <v>8</v>
      </c>
      <c r="CS5" s="12">
        <f t="shared" si="50"/>
        <v>0.8</v>
      </c>
      <c r="CT5" s="12">
        <f t="shared" si="23"/>
        <v>3.4293552812071304E-2</v>
      </c>
      <c r="CU5" s="3">
        <v>9</v>
      </c>
      <c r="CV5" s="3">
        <v>9</v>
      </c>
      <c r="CW5" s="12">
        <f t="shared" si="51"/>
        <v>1</v>
      </c>
      <c r="CX5" s="12">
        <f t="shared" si="24"/>
        <v>1.4046639231824416</v>
      </c>
      <c r="CY5" s="3">
        <v>9</v>
      </c>
      <c r="CZ5" s="5">
        <v>9</v>
      </c>
      <c r="DA5" s="12">
        <f t="shared" si="52"/>
        <v>1</v>
      </c>
      <c r="DB5" s="12">
        <f t="shared" si="25"/>
        <v>1.4046639231824416</v>
      </c>
      <c r="DC5" s="3">
        <v>8</v>
      </c>
      <c r="DD5" s="3">
        <v>8</v>
      </c>
      <c r="DE5" s="12">
        <f t="shared" si="53"/>
        <v>1</v>
      </c>
      <c r="DF5" s="12">
        <f t="shared" si="26"/>
        <v>3.4293552812071304E-2</v>
      </c>
      <c r="DG5" s="4">
        <f>COUNT(C5,G5,K5,O5,S5,W5,AA5,AE5,AI5,AM5,AQ5,AU5,AY5,BC5,BG5,BK5,BO5,BS5,BW5,CA5,CE5,CI5,CM5,CQ5,CU5,CY5,DC5,#REF!,#REF!,#REF!,#REF!,#REF!,#REF!,#REF!,#REF!,#REF!,#REF!,#REF!,#REF!,#REF!,#REF!,#REF!,#REF!,#REF!,#REF!,#REF!,#REF!,#REF!,#REF!,#REF!)</f>
        <v>27</v>
      </c>
      <c r="DH5" s="15">
        <f t="shared" si="54"/>
        <v>91.5931804820694</v>
      </c>
      <c r="DI5" s="15">
        <f t="shared" si="55"/>
        <v>7.8148148148148149</v>
      </c>
      <c r="DJ5" s="15">
        <f t="shared" si="56"/>
        <v>1.905878567447201</v>
      </c>
      <c r="DK5" s="16">
        <f t="shared" si="57"/>
        <v>91.5931804820694</v>
      </c>
      <c r="DL5" s="17" t="s">
        <v>3</v>
      </c>
      <c r="DM5" s="24">
        <f t="shared" si="58"/>
        <v>1.905878567447201</v>
      </c>
      <c r="DN5" s="4" t="str">
        <f t="shared" si="59"/>
        <v>отлично</v>
      </c>
    </row>
    <row r="6" spans="1:118" ht="30.75" customHeight="1" thickBot="1" x14ac:dyDescent="0.3">
      <c r="A6" s="21">
        <v>4</v>
      </c>
      <c r="B6" s="31" t="s">
        <v>10</v>
      </c>
      <c r="C6" s="3">
        <v>8</v>
      </c>
      <c r="D6" s="3">
        <v>8</v>
      </c>
      <c r="E6" s="8">
        <f t="shared" si="27"/>
        <v>1</v>
      </c>
      <c r="F6" s="12">
        <f t="shared" si="0"/>
        <v>2.0864197530864201</v>
      </c>
      <c r="G6" s="3">
        <v>7</v>
      </c>
      <c r="H6" s="3">
        <v>7</v>
      </c>
      <c r="I6" s="12">
        <f t="shared" si="28"/>
        <v>1</v>
      </c>
      <c r="J6" s="12">
        <f t="shared" si="1"/>
        <v>0.19753086419753105</v>
      </c>
      <c r="K6" s="3">
        <v>3</v>
      </c>
      <c r="L6" s="3">
        <v>4</v>
      </c>
      <c r="M6" s="12">
        <f t="shared" si="29"/>
        <v>1.3333333333333333</v>
      </c>
      <c r="N6" s="12">
        <f t="shared" si="2"/>
        <v>6.530864197530863</v>
      </c>
      <c r="O6" s="3">
        <v>8</v>
      </c>
      <c r="P6" s="3">
        <v>6</v>
      </c>
      <c r="Q6" s="12">
        <f t="shared" si="30"/>
        <v>0.75</v>
      </c>
      <c r="R6" s="12">
        <f t="shared" si="3"/>
        <v>0.30864197530864174</v>
      </c>
      <c r="S6" s="3">
        <v>10</v>
      </c>
      <c r="T6" s="3">
        <v>10</v>
      </c>
      <c r="U6" s="12">
        <f t="shared" si="31"/>
        <v>1</v>
      </c>
      <c r="V6" s="12">
        <f t="shared" si="4"/>
        <v>11.8641975308642</v>
      </c>
      <c r="W6" s="3">
        <v>10</v>
      </c>
      <c r="X6" s="3">
        <v>10</v>
      </c>
      <c r="Y6" s="12">
        <f t="shared" si="32"/>
        <v>1</v>
      </c>
      <c r="Z6" s="12">
        <f t="shared" si="5"/>
        <v>11.8641975308642</v>
      </c>
      <c r="AA6" s="3">
        <v>5</v>
      </c>
      <c r="AB6" s="3">
        <v>5</v>
      </c>
      <c r="AC6" s="12">
        <f t="shared" si="33"/>
        <v>1</v>
      </c>
      <c r="AD6" s="12">
        <f t="shared" si="6"/>
        <v>2.4197530864197523</v>
      </c>
      <c r="AE6" s="3">
        <v>9</v>
      </c>
      <c r="AF6" s="3">
        <v>7</v>
      </c>
      <c r="AG6" s="12">
        <f t="shared" si="34"/>
        <v>0.77777777777777779</v>
      </c>
      <c r="AH6" s="12">
        <f t="shared" si="7"/>
        <v>0.19753086419753105</v>
      </c>
      <c r="AI6" s="3">
        <v>1</v>
      </c>
      <c r="AJ6" s="3">
        <v>1</v>
      </c>
      <c r="AK6" s="12">
        <f t="shared" si="35"/>
        <v>1</v>
      </c>
      <c r="AL6" s="12">
        <f t="shared" si="8"/>
        <v>30.864197530864196</v>
      </c>
      <c r="AM6" s="3">
        <v>5</v>
      </c>
      <c r="AN6" s="3">
        <v>5</v>
      </c>
      <c r="AO6" s="12">
        <f t="shared" si="36"/>
        <v>1</v>
      </c>
      <c r="AP6" s="12">
        <f t="shared" si="9"/>
        <v>2.4197530864197523</v>
      </c>
      <c r="AQ6" s="3">
        <v>9</v>
      </c>
      <c r="AR6" s="5">
        <v>9</v>
      </c>
      <c r="AS6" s="12">
        <f t="shared" si="37"/>
        <v>1</v>
      </c>
      <c r="AT6" s="12">
        <f t="shared" si="10"/>
        <v>5.9753086419753094</v>
      </c>
      <c r="AU6" s="3">
        <v>8</v>
      </c>
      <c r="AV6" s="5">
        <v>8</v>
      </c>
      <c r="AW6" s="12">
        <f t="shared" si="38"/>
        <v>1</v>
      </c>
      <c r="AX6" s="12">
        <f t="shared" si="11"/>
        <v>2.0864197530864201</v>
      </c>
      <c r="AY6" s="3">
        <v>10</v>
      </c>
      <c r="AZ6" s="3">
        <v>10</v>
      </c>
      <c r="BA6" s="12">
        <f t="shared" si="39"/>
        <v>1</v>
      </c>
      <c r="BB6" s="12">
        <f t="shared" si="12"/>
        <v>11.8641975308642</v>
      </c>
      <c r="BC6" s="3">
        <v>3</v>
      </c>
      <c r="BD6" s="3">
        <v>3</v>
      </c>
      <c r="BE6" s="12">
        <f t="shared" si="40"/>
        <v>1</v>
      </c>
      <c r="BF6" s="12">
        <f t="shared" si="13"/>
        <v>12.641975308641975</v>
      </c>
      <c r="BG6" s="3">
        <v>4</v>
      </c>
      <c r="BH6" s="5">
        <v>4</v>
      </c>
      <c r="BI6" s="12">
        <f t="shared" si="41"/>
        <v>1</v>
      </c>
      <c r="BJ6" s="12">
        <f t="shared" si="14"/>
        <v>6.530864197530863</v>
      </c>
      <c r="BK6" s="3">
        <v>5</v>
      </c>
      <c r="BL6" s="5">
        <v>5</v>
      </c>
      <c r="BM6" s="12">
        <f t="shared" si="42"/>
        <v>1</v>
      </c>
      <c r="BN6" s="12">
        <f t="shared" si="15"/>
        <v>2.4197530864197523</v>
      </c>
      <c r="BO6" s="3">
        <v>5</v>
      </c>
      <c r="BP6" s="5">
        <v>5</v>
      </c>
      <c r="BQ6" s="12">
        <f t="shared" si="43"/>
        <v>1</v>
      </c>
      <c r="BR6" s="12">
        <f t="shared" si="16"/>
        <v>2.4197530864197523</v>
      </c>
      <c r="BS6" s="3">
        <v>3</v>
      </c>
      <c r="BT6" s="3">
        <v>3</v>
      </c>
      <c r="BU6" s="12">
        <f t="shared" si="44"/>
        <v>1</v>
      </c>
      <c r="BV6" s="12">
        <f t="shared" si="17"/>
        <v>12.641975308641975</v>
      </c>
      <c r="BW6" s="3">
        <v>5</v>
      </c>
      <c r="BX6" s="5">
        <v>5</v>
      </c>
      <c r="BY6" s="12">
        <f t="shared" si="45"/>
        <v>1</v>
      </c>
      <c r="BZ6" s="12">
        <f t="shared" si="18"/>
        <v>2.4197530864197523</v>
      </c>
      <c r="CA6" s="3">
        <v>8</v>
      </c>
      <c r="CB6" s="3">
        <v>8</v>
      </c>
      <c r="CC6" s="12">
        <f t="shared" si="46"/>
        <v>1</v>
      </c>
      <c r="CD6" s="12">
        <f t="shared" si="19"/>
        <v>2.0864197530864201</v>
      </c>
      <c r="CE6" s="3">
        <v>10</v>
      </c>
      <c r="CF6" s="5">
        <v>10</v>
      </c>
      <c r="CG6" s="12">
        <f t="shared" si="47"/>
        <v>1</v>
      </c>
      <c r="CH6" s="12">
        <f t="shared" si="20"/>
        <v>11.8641975308642</v>
      </c>
      <c r="CI6" s="3">
        <v>10</v>
      </c>
      <c r="CJ6" s="3">
        <v>10</v>
      </c>
      <c r="CK6" s="12">
        <f t="shared" si="48"/>
        <v>1</v>
      </c>
      <c r="CL6" s="12">
        <f t="shared" si="21"/>
        <v>11.8641975308642</v>
      </c>
      <c r="CM6" s="3">
        <v>8</v>
      </c>
      <c r="CN6" s="3">
        <v>8</v>
      </c>
      <c r="CO6" s="12">
        <f t="shared" si="49"/>
        <v>1</v>
      </c>
      <c r="CP6" s="12">
        <f t="shared" si="22"/>
        <v>2.0864197530864201</v>
      </c>
      <c r="CQ6" s="3">
        <v>2</v>
      </c>
      <c r="CR6" s="3">
        <v>1</v>
      </c>
      <c r="CS6" s="12">
        <f t="shared" si="50"/>
        <v>0.5</v>
      </c>
      <c r="CT6" s="12">
        <f t="shared" si="23"/>
        <v>30.864197530864196</v>
      </c>
      <c r="CU6" s="3">
        <v>9</v>
      </c>
      <c r="CV6" s="3">
        <v>9</v>
      </c>
      <c r="CW6" s="12">
        <f t="shared" si="51"/>
        <v>1</v>
      </c>
      <c r="CX6" s="12">
        <f t="shared" si="24"/>
        <v>5.9753086419753094</v>
      </c>
      <c r="CY6" s="3">
        <v>8</v>
      </c>
      <c r="CZ6" s="5">
        <v>8</v>
      </c>
      <c r="DA6" s="12">
        <f t="shared" si="52"/>
        <v>1</v>
      </c>
      <c r="DB6" s="12">
        <f t="shared" si="25"/>
        <v>2.0864197530864201</v>
      </c>
      <c r="DC6" s="3">
        <v>8</v>
      </c>
      <c r="DD6" s="3">
        <v>8</v>
      </c>
      <c r="DE6" s="12">
        <f t="shared" si="53"/>
        <v>1</v>
      </c>
      <c r="DF6" s="12">
        <f t="shared" si="26"/>
        <v>2.0864197530864201</v>
      </c>
      <c r="DG6" s="4">
        <f>COUNT(C6,G6,K6,O6,S6,W6,AA6,AE6,AI6,AM6,AQ6,AU6,AY6,BC6,BG6,BK6,BO6,BS6,BW6,CA6,CE6,CI6,CM6,CQ6,CU6,CY6,DC6,#REF!,#REF!,#REF!,#REF!,#REF!,#REF!,#REF!,#REF!,#REF!,#REF!,#REF!,#REF!,#REF!,#REF!,#REF!,#REF!,#REF!,#REF!,#REF!,#REF!,#REF!,#REF!,#REF!)</f>
        <v>27</v>
      </c>
      <c r="DH6" s="15">
        <f t="shared" si="54"/>
        <v>97.633744855967066</v>
      </c>
      <c r="DI6" s="15">
        <f t="shared" si="55"/>
        <v>6.5555555555555554</v>
      </c>
      <c r="DJ6" s="15">
        <f t="shared" si="56"/>
        <v>2.6988795114424713</v>
      </c>
      <c r="DK6" s="16">
        <f t="shared" si="57"/>
        <v>97.633744855967066</v>
      </c>
      <c r="DL6" s="17" t="s">
        <v>3</v>
      </c>
      <c r="DM6" s="24">
        <f t="shared" si="58"/>
        <v>2.6988795114424713</v>
      </c>
      <c r="DN6" s="4" t="str">
        <f t="shared" si="59"/>
        <v>отлично</v>
      </c>
    </row>
    <row r="7" spans="1:118" ht="54" customHeight="1" thickBot="1" x14ac:dyDescent="0.3">
      <c r="A7" s="21">
        <v>5</v>
      </c>
      <c r="B7" s="31" t="s">
        <v>11</v>
      </c>
      <c r="C7" s="3">
        <v>2</v>
      </c>
      <c r="D7" s="3">
        <v>1</v>
      </c>
      <c r="E7" s="8">
        <f t="shared" si="27"/>
        <v>0.5</v>
      </c>
      <c r="F7" s="12">
        <f t="shared" si="0"/>
        <v>16.901234567901231</v>
      </c>
      <c r="G7" s="3">
        <v>4</v>
      </c>
      <c r="H7" s="3">
        <v>3</v>
      </c>
      <c r="I7" s="12">
        <f t="shared" si="28"/>
        <v>0.75</v>
      </c>
      <c r="J7" s="12">
        <f t="shared" si="1"/>
        <v>4.4567901234567886</v>
      </c>
      <c r="K7" s="3">
        <v>1</v>
      </c>
      <c r="L7" s="3">
        <v>1</v>
      </c>
      <c r="M7" s="12">
        <f t="shared" si="29"/>
        <v>1</v>
      </c>
      <c r="N7" s="12">
        <f t="shared" si="2"/>
        <v>16.901234567901231</v>
      </c>
      <c r="O7" s="3">
        <v>3</v>
      </c>
      <c r="P7" s="3">
        <v>1</v>
      </c>
      <c r="Q7" s="12">
        <f t="shared" si="30"/>
        <v>0.33333333333333331</v>
      </c>
      <c r="R7" s="12">
        <f t="shared" si="3"/>
        <v>16.901234567901231</v>
      </c>
      <c r="S7" s="3">
        <v>5</v>
      </c>
      <c r="T7" s="3">
        <v>5</v>
      </c>
      <c r="U7" s="12">
        <f t="shared" si="31"/>
        <v>1</v>
      </c>
      <c r="V7" s="12">
        <f t="shared" si="4"/>
        <v>1.2345679012345592E-2</v>
      </c>
      <c r="W7" s="3">
        <v>5</v>
      </c>
      <c r="X7" s="3">
        <v>5</v>
      </c>
      <c r="Y7" s="12">
        <f t="shared" si="32"/>
        <v>1</v>
      </c>
      <c r="Z7" s="12">
        <f t="shared" si="5"/>
        <v>1.2345679012345592E-2</v>
      </c>
      <c r="AA7" s="3">
        <v>4</v>
      </c>
      <c r="AB7" s="3">
        <v>4</v>
      </c>
      <c r="AC7" s="12">
        <f t="shared" si="33"/>
        <v>1</v>
      </c>
      <c r="AD7" s="12">
        <f t="shared" si="6"/>
        <v>1.2345679012345669</v>
      </c>
      <c r="AE7" s="3">
        <v>3</v>
      </c>
      <c r="AF7" s="3">
        <v>1</v>
      </c>
      <c r="AG7" s="12">
        <f t="shared" si="34"/>
        <v>0.33333333333333331</v>
      </c>
      <c r="AH7" s="12">
        <f t="shared" si="7"/>
        <v>16.901234567901231</v>
      </c>
      <c r="AI7" s="3">
        <v>1</v>
      </c>
      <c r="AJ7" s="3">
        <v>1</v>
      </c>
      <c r="AK7" s="12">
        <f t="shared" si="35"/>
        <v>1</v>
      </c>
      <c r="AL7" s="12">
        <f t="shared" si="8"/>
        <v>16.901234567901231</v>
      </c>
      <c r="AM7" s="3">
        <v>5</v>
      </c>
      <c r="AN7" s="3">
        <v>5</v>
      </c>
      <c r="AO7" s="12">
        <f t="shared" si="36"/>
        <v>1</v>
      </c>
      <c r="AP7" s="12">
        <f t="shared" si="9"/>
        <v>1.2345679012345592E-2</v>
      </c>
      <c r="AQ7" s="3">
        <v>6</v>
      </c>
      <c r="AR7" s="5">
        <v>3</v>
      </c>
      <c r="AS7" s="12">
        <f t="shared" si="37"/>
        <v>0.5</v>
      </c>
      <c r="AT7" s="12">
        <f t="shared" si="10"/>
        <v>4.4567901234567886</v>
      </c>
      <c r="AU7" s="3">
        <v>6</v>
      </c>
      <c r="AV7" s="5">
        <v>5</v>
      </c>
      <c r="AW7" s="12">
        <f t="shared" si="38"/>
        <v>0.83333333333333337</v>
      </c>
      <c r="AX7" s="12">
        <f t="shared" si="11"/>
        <v>1.2345679012345592E-2</v>
      </c>
      <c r="AY7" s="3">
        <v>10</v>
      </c>
      <c r="AZ7" s="3">
        <v>10</v>
      </c>
      <c r="BA7" s="12">
        <f t="shared" si="39"/>
        <v>1</v>
      </c>
      <c r="BB7" s="12">
        <f t="shared" si="12"/>
        <v>23.901234567901238</v>
      </c>
      <c r="BC7" s="3">
        <v>4</v>
      </c>
      <c r="BD7" s="3">
        <v>4</v>
      </c>
      <c r="BE7" s="12">
        <f t="shared" si="40"/>
        <v>1</v>
      </c>
      <c r="BF7" s="12">
        <f t="shared" si="13"/>
        <v>1.2345679012345669</v>
      </c>
      <c r="BG7" s="3">
        <v>4</v>
      </c>
      <c r="BH7" s="5">
        <v>4</v>
      </c>
      <c r="BI7" s="12">
        <f t="shared" si="41"/>
        <v>1</v>
      </c>
      <c r="BJ7" s="12">
        <f t="shared" si="14"/>
        <v>1.2345679012345669</v>
      </c>
      <c r="BK7" s="3">
        <v>2</v>
      </c>
      <c r="BL7" s="5">
        <v>2</v>
      </c>
      <c r="BM7" s="12">
        <f t="shared" si="42"/>
        <v>1</v>
      </c>
      <c r="BN7" s="12">
        <f t="shared" si="15"/>
        <v>9.6790123456790091</v>
      </c>
      <c r="BO7" s="3">
        <v>2</v>
      </c>
      <c r="BP7" s="5">
        <v>1</v>
      </c>
      <c r="BQ7" s="12">
        <f t="shared" si="43"/>
        <v>0.5</v>
      </c>
      <c r="BR7" s="12">
        <f t="shared" si="16"/>
        <v>16.901234567901231</v>
      </c>
      <c r="BS7" s="3">
        <v>10</v>
      </c>
      <c r="BT7" s="3">
        <v>10</v>
      </c>
      <c r="BU7" s="12">
        <f t="shared" si="44"/>
        <v>1</v>
      </c>
      <c r="BV7" s="12">
        <f t="shared" si="17"/>
        <v>23.901234567901238</v>
      </c>
      <c r="BW7" s="3">
        <v>5</v>
      </c>
      <c r="BX7" s="5">
        <v>5</v>
      </c>
      <c r="BY7" s="12">
        <f t="shared" si="45"/>
        <v>1</v>
      </c>
      <c r="BZ7" s="12">
        <f t="shared" si="18"/>
        <v>1.2345679012345592E-2</v>
      </c>
      <c r="CA7" s="3">
        <v>5</v>
      </c>
      <c r="CB7" s="3">
        <v>5</v>
      </c>
      <c r="CC7" s="12">
        <f t="shared" si="46"/>
        <v>1</v>
      </c>
      <c r="CD7" s="12">
        <f t="shared" si="19"/>
        <v>1.2345679012345592E-2</v>
      </c>
      <c r="CE7" s="3">
        <v>10</v>
      </c>
      <c r="CF7" s="5">
        <v>10</v>
      </c>
      <c r="CG7" s="12">
        <f t="shared" si="47"/>
        <v>1</v>
      </c>
      <c r="CH7" s="12">
        <f t="shared" si="20"/>
        <v>23.901234567901238</v>
      </c>
      <c r="CI7" s="3">
        <v>10</v>
      </c>
      <c r="CJ7" s="3">
        <v>10</v>
      </c>
      <c r="CK7" s="12">
        <f t="shared" si="48"/>
        <v>1</v>
      </c>
      <c r="CL7" s="12">
        <f t="shared" si="21"/>
        <v>23.901234567901238</v>
      </c>
      <c r="CM7" s="3">
        <v>9</v>
      </c>
      <c r="CN7" s="3">
        <v>7</v>
      </c>
      <c r="CO7" s="12">
        <f t="shared" si="49"/>
        <v>0.77777777777777779</v>
      </c>
      <c r="CP7" s="12">
        <f t="shared" si="22"/>
        <v>3.5679012345679029</v>
      </c>
      <c r="CQ7" s="3">
        <v>10</v>
      </c>
      <c r="CR7" s="3">
        <v>10</v>
      </c>
      <c r="CS7" s="12">
        <f t="shared" si="50"/>
        <v>1</v>
      </c>
      <c r="CT7" s="12">
        <f t="shared" si="23"/>
        <v>23.901234567901238</v>
      </c>
      <c r="CU7" s="3">
        <v>9</v>
      </c>
      <c r="CV7" s="3">
        <v>9</v>
      </c>
      <c r="CW7" s="12">
        <f t="shared" si="51"/>
        <v>1</v>
      </c>
      <c r="CX7" s="12">
        <f t="shared" si="24"/>
        <v>15.123456790123459</v>
      </c>
      <c r="CY7" s="3">
        <v>8</v>
      </c>
      <c r="CZ7" s="5">
        <v>8</v>
      </c>
      <c r="DA7" s="12">
        <f t="shared" si="52"/>
        <v>1</v>
      </c>
      <c r="DB7" s="12">
        <f t="shared" si="25"/>
        <v>8.3456790123456805</v>
      </c>
      <c r="DC7" s="3">
        <v>8</v>
      </c>
      <c r="DD7" s="3">
        <v>8</v>
      </c>
      <c r="DE7" s="12">
        <f t="shared" si="53"/>
        <v>1</v>
      </c>
      <c r="DF7" s="12">
        <f t="shared" si="26"/>
        <v>8.3456790123456805</v>
      </c>
      <c r="DG7" s="4">
        <f>COUNT(C7,G7,K7,O7,S7,W7,AA7,AE7,AI7,AM7,AQ7,AU7,AY7,BC7,BG7,BK7,BO7,BS7,BW7,CA7,CE7,CI7,CM7,CQ7,CU7,CY7,DC7,#REF!,#REF!,#REF!,#REF!,#REF!,#REF!,#REF!,#REF!,#REF!,#REF!,#REF!,#REF!,#REF!,#REF!,#REF!,#REF!,#REF!,#REF!,#REF!,#REF!,#REF!,#REF!,#REF!)</f>
        <v>27</v>
      </c>
      <c r="DH7" s="15">
        <f t="shared" si="54"/>
        <v>87.139917695473258</v>
      </c>
      <c r="DI7" s="15">
        <f t="shared" si="55"/>
        <v>5.1111111111111107</v>
      </c>
      <c r="DJ7" s="15">
        <f t="shared" si="56"/>
        <v>3.2126293988446579</v>
      </c>
      <c r="DK7" s="16">
        <f t="shared" si="57"/>
        <v>87.139917695473258</v>
      </c>
      <c r="DL7" s="17" t="s">
        <v>3</v>
      </c>
      <c r="DM7" s="24">
        <f t="shared" si="58"/>
        <v>3.2126293988446579</v>
      </c>
      <c r="DN7" s="4" t="str">
        <f t="shared" si="59"/>
        <v>отлично</v>
      </c>
    </row>
    <row r="8" spans="1:118" ht="48.75" customHeight="1" thickBot="1" x14ac:dyDescent="0.3">
      <c r="A8" s="21">
        <v>6</v>
      </c>
      <c r="B8" s="31" t="s">
        <v>12</v>
      </c>
      <c r="C8" s="3">
        <v>7</v>
      </c>
      <c r="D8" s="3">
        <v>5</v>
      </c>
      <c r="E8" s="8">
        <f t="shared" si="27"/>
        <v>0.7142857142857143</v>
      </c>
      <c r="F8" s="12">
        <f t="shared" si="0"/>
        <v>8.3456790123456805</v>
      </c>
      <c r="G8" s="3">
        <v>8</v>
      </c>
      <c r="H8" s="3">
        <v>7</v>
      </c>
      <c r="I8" s="12">
        <f t="shared" si="28"/>
        <v>0.875</v>
      </c>
      <c r="J8" s="12">
        <f t="shared" si="1"/>
        <v>0.79012345679012419</v>
      </c>
      <c r="K8" s="3">
        <v>5</v>
      </c>
      <c r="L8" s="3">
        <v>5</v>
      </c>
      <c r="M8" s="12">
        <f t="shared" si="29"/>
        <v>1</v>
      </c>
      <c r="N8" s="12">
        <f t="shared" si="2"/>
        <v>8.3456790123456805</v>
      </c>
      <c r="O8" s="3">
        <v>6</v>
      </c>
      <c r="P8" s="3">
        <v>6</v>
      </c>
      <c r="Q8" s="12">
        <f t="shared" si="30"/>
        <v>1</v>
      </c>
      <c r="R8" s="12">
        <f t="shared" si="3"/>
        <v>3.5679012345679029</v>
      </c>
      <c r="S8" s="3">
        <v>10</v>
      </c>
      <c r="T8" s="3">
        <v>10</v>
      </c>
      <c r="U8" s="12">
        <f t="shared" si="31"/>
        <v>1</v>
      </c>
      <c r="V8" s="12">
        <f t="shared" si="4"/>
        <v>4.4567901234567886</v>
      </c>
      <c r="W8" s="3">
        <v>10</v>
      </c>
      <c r="X8" s="3">
        <v>10</v>
      </c>
      <c r="Y8" s="12">
        <f t="shared" si="32"/>
        <v>1</v>
      </c>
      <c r="Z8" s="12">
        <f t="shared" si="5"/>
        <v>4.4567901234567886</v>
      </c>
      <c r="AA8" s="3">
        <v>8</v>
      </c>
      <c r="AB8" s="3">
        <v>8</v>
      </c>
      <c r="AC8" s="12">
        <f t="shared" si="33"/>
        <v>1</v>
      </c>
      <c r="AD8" s="12">
        <f t="shared" si="6"/>
        <v>1.2345679012345592E-2</v>
      </c>
      <c r="AE8" s="3">
        <v>7</v>
      </c>
      <c r="AF8" s="3">
        <v>5</v>
      </c>
      <c r="AG8" s="12">
        <f t="shared" si="34"/>
        <v>0.7142857142857143</v>
      </c>
      <c r="AH8" s="12">
        <f t="shared" si="7"/>
        <v>8.3456790123456805</v>
      </c>
      <c r="AI8" s="3">
        <v>10</v>
      </c>
      <c r="AJ8" s="3">
        <v>10</v>
      </c>
      <c r="AK8" s="12">
        <f t="shared" si="35"/>
        <v>1</v>
      </c>
      <c r="AL8" s="12">
        <f t="shared" si="8"/>
        <v>4.4567901234567886</v>
      </c>
      <c r="AM8" s="3">
        <v>8</v>
      </c>
      <c r="AN8" s="3">
        <v>8</v>
      </c>
      <c r="AO8" s="12">
        <f t="shared" si="36"/>
        <v>1</v>
      </c>
      <c r="AP8" s="12">
        <f t="shared" si="9"/>
        <v>1.2345679012345592E-2</v>
      </c>
      <c r="AQ8" s="3">
        <v>10</v>
      </c>
      <c r="AR8" s="5">
        <v>10</v>
      </c>
      <c r="AS8" s="12">
        <f t="shared" si="37"/>
        <v>1</v>
      </c>
      <c r="AT8" s="12">
        <f t="shared" si="10"/>
        <v>4.4567901234567886</v>
      </c>
      <c r="AU8" s="3">
        <v>8</v>
      </c>
      <c r="AV8" s="5">
        <v>8</v>
      </c>
      <c r="AW8" s="12">
        <f t="shared" si="38"/>
        <v>1</v>
      </c>
      <c r="AX8" s="12">
        <f t="shared" si="11"/>
        <v>1.2345679012345592E-2</v>
      </c>
      <c r="AY8" s="3">
        <v>10</v>
      </c>
      <c r="AZ8" s="3">
        <v>10</v>
      </c>
      <c r="BA8" s="12">
        <f t="shared" si="39"/>
        <v>1</v>
      </c>
      <c r="BB8" s="12">
        <f t="shared" si="12"/>
        <v>4.4567901234567886</v>
      </c>
      <c r="BC8" s="3">
        <v>8</v>
      </c>
      <c r="BD8" s="3">
        <v>8</v>
      </c>
      <c r="BE8" s="12">
        <f t="shared" si="40"/>
        <v>1</v>
      </c>
      <c r="BF8" s="12">
        <f t="shared" si="13"/>
        <v>1.2345679012345592E-2</v>
      </c>
      <c r="BG8" s="3">
        <v>8</v>
      </c>
      <c r="BH8" s="5">
        <v>8</v>
      </c>
      <c r="BI8" s="12">
        <f t="shared" si="41"/>
        <v>1</v>
      </c>
      <c r="BJ8" s="12">
        <f t="shared" si="14"/>
        <v>1.2345679012345592E-2</v>
      </c>
      <c r="BK8" s="3">
        <v>10</v>
      </c>
      <c r="BL8" s="5">
        <v>8</v>
      </c>
      <c r="BM8" s="12">
        <f t="shared" si="42"/>
        <v>0.8</v>
      </c>
      <c r="BN8" s="12">
        <f t="shared" si="15"/>
        <v>1.2345679012345592E-2</v>
      </c>
      <c r="BO8" s="3">
        <v>8</v>
      </c>
      <c r="BP8" s="5">
        <v>8</v>
      </c>
      <c r="BQ8" s="12">
        <f t="shared" si="43"/>
        <v>1</v>
      </c>
      <c r="BR8" s="12">
        <f t="shared" si="16"/>
        <v>1.2345679012345592E-2</v>
      </c>
      <c r="BS8" s="3">
        <v>9</v>
      </c>
      <c r="BT8" s="3">
        <v>9</v>
      </c>
      <c r="BU8" s="12">
        <f t="shared" si="44"/>
        <v>1</v>
      </c>
      <c r="BV8" s="12">
        <f t="shared" si="17"/>
        <v>1.2345679012345669</v>
      </c>
      <c r="BW8" s="3">
        <v>4</v>
      </c>
      <c r="BX8" s="5">
        <v>4</v>
      </c>
      <c r="BY8" s="12">
        <f t="shared" si="45"/>
        <v>1</v>
      </c>
      <c r="BZ8" s="12">
        <f t="shared" si="18"/>
        <v>15.123456790123459</v>
      </c>
      <c r="CA8" s="3">
        <v>6</v>
      </c>
      <c r="CB8" s="3">
        <v>6</v>
      </c>
      <c r="CC8" s="12">
        <f t="shared" si="46"/>
        <v>1</v>
      </c>
      <c r="CD8" s="12">
        <f t="shared" si="19"/>
        <v>3.5679012345679029</v>
      </c>
      <c r="CE8" s="3">
        <v>7</v>
      </c>
      <c r="CF8" s="5">
        <v>7</v>
      </c>
      <c r="CG8" s="12">
        <f t="shared" si="47"/>
        <v>1</v>
      </c>
      <c r="CH8" s="12">
        <f t="shared" si="20"/>
        <v>0.79012345679012419</v>
      </c>
      <c r="CI8" s="3">
        <v>10</v>
      </c>
      <c r="CJ8" s="3">
        <v>10</v>
      </c>
      <c r="CK8" s="12">
        <f t="shared" si="48"/>
        <v>1</v>
      </c>
      <c r="CL8" s="12">
        <f t="shared" si="21"/>
        <v>4.4567901234567886</v>
      </c>
      <c r="CM8" s="3">
        <v>10</v>
      </c>
      <c r="CN8" s="3">
        <v>10</v>
      </c>
      <c r="CO8" s="12">
        <f t="shared" si="49"/>
        <v>1</v>
      </c>
      <c r="CP8" s="12">
        <f t="shared" si="22"/>
        <v>4.4567901234567886</v>
      </c>
      <c r="CQ8" s="3">
        <v>10</v>
      </c>
      <c r="CR8" s="3">
        <v>8</v>
      </c>
      <c r="CS8" s="12">
        <f t="shared" si="50"/>
        <v>0.8</v>
      </c>
      <c r="CT8" s="12">
        <f t="shared" si="23"/>
        <v>1.2345679012345592E-2</v>
      </c>
      <c r="CU8" s="3">
        <v>9</v>
      </c>
      <c r="CV8" s="3">
        <v>9</v>
      </c>
      <c r="CW8" s="12">
        <f t="shared" si="51"/>
        <v>1</v>
      </c>
      <c r="CX8" s="12">
        <f t="shared" si="24"/>
        <v>1.2345679012345669</v>
      </c>
      <c r="CY8" s="3">
        <v>8</v>
      </c>
      <c r="CZ8" s="5">
        <v>8</v>
      </c>
      <c r="DA8" s="12">
        <f t="shared" si="52"/>
        <v>1</v>
      </c>
      <c r="DB8" s="12">
        <f t="shared" si="25"/>
        <v>1.2345679012345592E-2</v>
      </c>
      <c r="DC8" s="3">
        <v>8</v>
      </c>
      <c r="DD8" s="3">
        <v>8</v>
      </c>
      <c r="DE8" s="12">
        <f>DD8/DC8</f>
        <v>1</v>
      </c>
      <c r="DF8" s="12">
        <f t="shared" si="26"/>
        <v>1.2345679012345592E-2</v>
      </c>
      <c r="DG8" s="4">
        <f>COUNT(C8,G8,K8,O8,S8,W8,AA8,AE8,AI8,AM8,AQ8,AU8,AY8,BC8,BG8,BK8,BO8,BS8,BW8,CA8,CE8,CI8,CM8,CQ8,CU8,CY8,DC8,#REF!,#REF!,#REF!,#REF!,#REF!,#REF!,#REF!,#REF!,#REF!,#REF!,#REF!,#REF!,#REF!,#REF!,#REF!,#REF!,#REF!,#REF!,#REF!,#REF!,#REF!,#REF!,#REF!)</f>
        <v>27</v>
      </c>
      <c r="DH8" s="15">
        <f t="shared" si="54"/>
        <v>95.939153439153429</v>
      </c>
      <c r="DI8" s="15">
        <f t="shared" si="55"/>
        <v>7.8888888888888893</v>
      </c>
      <c r="DJ8" s="15">
        <f t="shared" si="56"/>
        <v>1.7497795275581802</v>
      </c>
      <c r="DK8" s="16">
        <f t="shared" si="57"/>
        <v>95.939153439153429</v>
      </c>
      <c r="DL8" s="17" t="s">
        <v>3</v>
      </c>
      <c r="DM8" s="24">
        <f t="shared" si="58"/>
        <v>1.7497795275581802</v>
      </c>
      <c r="DN8" s="4" t="str">
        <f t="shared" si="59"/>
        <v>отлично</v>
      </c>
    </row>
    <row r="9" spans="1:118" ht="77.25" customHeight="1" thickBot="1" x14ac:dyDescent="0.3">
      <c r="A9" s="21">
        <v>7</v>
      </c>
      <c r="B9" s="31" t="s">
        <v>16</v>
      </c>
      <c r="C9" s="3">
        <v>6</v>
      </c>
      <c r="D9" s="3">
        <v>6</v>
      </c>
      <c r="E9" s="8">
        <f t="shared" si="27"/>
        <v>1</v>
      </c>
      <c r="F9" s="12">
        <f t="shared" si="0"/>
        <v>1.9807956104252402</v>
      </c>
      <c r="G9" s="3">
        <v>7</v>
      </c>
      <c r="H9" s="3">
        <v>5</v>
      </c>
      <c r="I9" s="12">
        <f t="shared" si="28"/>
        <v>0.7142857142857143</v>
      </c>
      <c r="J9" s="12">
        <f t="shared" si="1"/>
        <v>5.7956104252400547</v>
      </c>
      <c r="K9" s="3">
        <v>7</v>
      </c>
      <c r="L9" s="3">
        <v>6</v>
      </c>
      <c r="M9" s="12">
        <f t="shared" si="29"/>
        <v>0.8571428571428571</v>
      </c>
      <c r="N9" s="12">
        <f t="shared" si="2"/>
        <v>1.9807956104252402</v>
      </c>
      <c r="O9" s="3">
        <v>7</v>
      </c>
      <c r="P9" s="3">
        <v>7</v>
      </c>
      <c r="Q9" s="12">
        <f t="shared" si="30"/>
        <v>1</v>
      </c>
      <c r="R9" s="12">
        <f t="shared" si="3"/>
        <v>0.16598079561042528</v>
      </c>
      <c r="S9" s="3">
        <v>9</v>
      </c>
      <c r="T9" s="3">
        <v>9</v>
      </c>
      <c r="U9" s="12">
        <f t="shared" si="31"/>
        <v>1</v>
      </c>
      <c r="V9" s="12">
        <f t="shared" si="4"/>
        <v>2.5363511659807956</v>
      </c>
      <c r="W9" s="3">
        <v>9</v>
      </c>
      <c r="X9" s="3">
        <v>9</v>
      </c>
      <c r="Y9" s="12">
        <f t="shared" si="32"/>
        <v>1</v>
      </c>
      <c r="Z9" s="12">
        <f t="shared" si="5"/>
        <v>2.5363511659807956</v>
      </c>
      <c r="AA9" s="3">
        <v>7</v>
      </c>
      <c r="AB9" s="3">
        <v>5</v>
      </c>
      <c r="AC9" s="12">
        <f t="shared" si="33"/>
        <v>0.7142857142857143</v>
      </c>
      <c r="AD9" s="12">
        <f t="shared" si="6"/>
        <v>5.7956104252400547</v>
      </c>
      <c r="AE9" s="3">
        <v>10</v>
      </c>
      <c r="AF9" s="3">
        <v>9</v>
      </c>
      <c r="AG9" s="12">
        <f t="shared" si="34"/>
        <v>0.9</v>
      </c>
      <c r="AH9" s="12">
        <f t="shared" si="7"/>
        <v>2.5363511659807956</v>
      </c>
      <c r="AI9" s="3">
        <v>10</v>
      </c>
      <c r="AJ9" s="3">
        <v>10</v>
      </c>
      <c r="AK9" s="12">
        <f t="shared" si="35"/>
        <v>1</v>
      </c>
      <c r="AL9" s="12">
        <f t="shared" si="8"/>
        <v>6.7215363511659802</v>
      </c>
      <c r="AM9" s="3">
        <v>9</v>
      </c>
      <c r="AN9" s="3">
        <v>9</v>
      </c>
      <c r="AO9" s="12">
        <f t="shared" si="36"/>
        <v>1</v>
      </c>
      <c r="AP9" s="12">
        <f t="shared" si="9"/>
        <v>2.5363511659807956</v>
      </c>
      <c r="AQ9" s="3">
        <v>10</v>
      </c>
      <c r="AR9" s="5">
        <v>10</v>
      </c>
      <c r="AS9" s="12">
        <f t="shared" si="37"/>
        <v>1</v>
      </c>
      <c r="AT9" s="12">
        <f t="shared" si="10"/>
        <v>6.7215363511659802</v>
      </c>
      <c r="AU9" s="3">
        <v>10</v>
      </c>
      <c r="AV9" s="5">
        <v>10</v>
      </c>
      <c r="AW9" s="12">
        <f t="shared" si="38"/>
        <v>1</v>
      </c>
      <c r="AX9" s="12">
        <f t="shared" si="11"/>
        <v>6.7215363511659802</v>
      </c>
      <c r="AY9" s="3">
        <v>7</v>
      </c>
      <c r="AZ9" s="3">
        <v>5</v>
      </c>
      <c r="BA9" s="12">
        <f t="shared" si="39"/>
        <v>0.7142857142857143</v>
      </c>
      <c r="BB9" s="12">
        <f t="shared" si="12"/>
        <v>5.7956104252400547</v>
      </c>
      <c r="BC9" s="3">
        <v>7</v>
      </c>
      <c r="BD9" s="3">
        <v>7</v>
      </c>
      <c r="BE9" s="12">
        <f t="shared" si="40"/>
        <v>1</v>
      </c>
      <c r="BF9" s="12">
        <f t="shared" si="13"/>
        <v>0.16598079561042528</v>
      </c>
      <c r="BG9" s="3">
        <v>9</v>
      </c>
      <c r="BH9" s="5">
        <v>9</v>
      </c>
      <c r="BI9" s="12">
        <f t="shared" si="41"/>
        <v>1</v>
      </c>
      <c r="BJ9" s="12">
        <f t="shared" si="14"/>
        <v>2.5363511659807956</v>
      </c>
      <c r="BK9" s="3">
        <v>6</v>
      </c>
      <c r="BL9" s="5">
        <v>5</v>
      </c>
      <c r="BM9" s="12">
        <f t="shared" si="42"/>
        <v>0.83333333333333337</v>
      </c>
      <c r="BN9" s="12">
        <f t="shared" si="15"/>
        <v>5.7956104252400547</v>
      </c>
      <c r="BO9" s="3">
        <v>7</v>
      </c>
      <c r="BP9" s="5">
        <v>6</v>
      </c>
      <c r="BQ9" s="12">
        <f t="shared" si="43"/>
        <v>0.8571428571428571</v>
      </c>
      <c r="BR9" s="12">
        <f t="shared" si="16"/>
        <v>1.9807956104252402</v>
      </c>
      <c r="BS9" s="3">
        <v>9</v>
      </c>
      <c r="BT9" s="3">
        <v>8</v>
      </c>
      <c r="BU9" s="12">
        <f t="shared" si="44"/>
        <v>0.88888888888888884</v>
      </c>
      <c r="BV9" s="12">
        <f t="shared" si="17"/>
        <v>0.3511659807956104</v>
      </c>
      <c r="BW9" s="3">
        <v>5</v>
      </c>
      <c r="BX9" s="5">
        <v>5</v>
      </c>
      <c r="BY9" s="12">
        <f t="shared" si="45"/>
        <v>1</v>
      </c>
      <c r="BZ9" s="12">
        <f t="shared" si="18"/>
        <v>5.7956104252400547</v>
      </c>
      <c r="CA9" s="3">
        <v>4</v>
      </c>
      <c r="CB9" s="3">
        <v>3</v>
      </c>
      <c r="CC9" s="12">
        <f t="shared" si="46"/>
        <v>0.75</v>
      </c>
      <c r="CD9" s="12">
        <f t="shared" si="19"/>
        <v>19.425240054869686</v>
      </c>
      <c r="CE9" s="3">
        <v>6</v>
      </c>
      <c r="CF9" s="5">
        <v>6</v>
      </c>
      <c r="CG9" s="12">
        <f t="shared" si="47"/>
        <v>1</v>
      </c>
      <c r="CH9" s="12">
        <f t="shared" si="20"/>
        <v>1.9807956104252402</v>
      </c>
      <c r="CI9" s="3">
        <v>10</v>
      </c>
      <c r="CJ9" s="3">
        <v>10</v>
      </c>
      <c r="CK9" s="12">
        <f t="shared" si="48"/>
        <v>1</v>
      </c>
      <c r="CL9" s="12">
        <f t="shared" si="21"/>
        <v>6.7215363511659802</v>
      </c>
      <c r="CM9" s="3">
        <v>8</v>
      </c>
      <c r="CN9" s="3">
        <v>8</v>
      </c>
      <c r="CO9" s="12">
        <f t="shared" si="49"/>
        <v>1</v>
      </c>
      <c r="CP9" s="12">
        <f t="shared" si="22"/>
        <v>0.3511659807956104</v>
      </c>
      <c r="CQ9" s="3">
        <v>7</v>
      </c>
      <c r="CR9" s="3">
        <v>7</v>
      </c>
      <c r="CS9" s="12">
        <f t="shared" si="50"/>
        <v>1</v>
      </c>
      <c r="CT9" s="12">
        <f t="shared" si="23"/>
        <v>0.16598079561042528</v>
      </c>
      <c r="CU9" s="3">
        <v>9</v>
      </c>
      <c r="CV9" s="3">
        <v>9</v>
      </c>
      <c r="CW9" s="12">
        <f t="shared" si="51"/>
        <v>1</v>
      </c>
      <c r="CX9" s="12">
        <f t="shared" si="24"/>
        <v>2.5363511659807956</v>
      </c>
      <c r="CY9" s="3">
        <v>9</v>
      </c>
      <c r="CZ9" s="5">
        <v>9</v>
      </c>
      <c r="DA9" s="12">
        <f t="shared" si="52"/>
        <v>1</v>
      </c>
      <c r="DB9" s="12">
        <f t="shared" si="25"/>
        <v>2.5363511659807956</v>
      </c>
      <c r="DC9" s="3">
        <v>8</v>
      </c>
      <c r="DD9" s="3">
        <v>8</v>
      </c>
      <c r="DE9" s="12">
        <f t="shared" si="53"/>
        <v>1</v>
      </c>
      <c r="DF9" s="12">
        <f t="shared" si="26"/>
        <v>0.3511659807956104</v>
      </c>
      <c r="DG9" s="4">
        <f>COUNT(C9,G9,K9,O9,S9,W9,AA9,AE9,AI9,AM9,AQ9,AU9,AY9,BC9,BG9,BK9,BO9,BS9,BW9,CA9,CE9,CI9,CM9,CQ9,CU9,CY9,DC9,#REF!,#REF!,#REF!,#REF!,#REF!,#REF!,#REF!,#REF!,#REF!,#REF!,#REF!,#REF!,#REF!,#REF!,#REF!,#REF!,#REF!,#REF!,#REF!,#REF!,#REF!,#REF!,#REF!)</f>
        <v>27</v>
      </c>
      <c r="DH9" s="15">
        <f t="shared" si="54"/>
        <v>93.442092886537338</v>
      </c>
      <c r="DI9" s="15">
        <f t="shared" si="55"/>
        <v>7.4074074074074074</v>
      </c>
      <c r="DJ9" s="15">
        <f t="shared" si="56"/>
        <v>1.9485846574764305</v>
      </c>
      <c r="DK9" s="16">
        <f t="shared" si="57"/>
        <v>93.442092886537338</v>
      </c>
      <c r="DL9" s="17" t="s">
        <v>3</v>
      </c>
      <c r="DM9" s="24">
        <f t="shared" si="58"/>
        <v>1.9485846574764305</v>
      </c>
      <c r="DN9" s="4" t="str">
        <f t="shared" si="59"/>
        <v>отлично</v>
      </c>
    </row>
    <row r="10" spans="1:118" ht="85.5" customHeight="1" thickBot="1" x14ac:dyDescent="0.3">
      <c r="A10" s="21">
        <v>8</v>
      </c>
      <c r="B10" s="31" t="s">
        <v>17</v>
      </c>
      <c r="C10" s="3">
        <v>9</v>
      </c>
      <c r="D10" s="3">
        <v>7</v>
      </c>
      <c r="E10" s="8">
        <f t="shared" si="27"/>
        <v>0.77777777777777779</v>
      </c>
      <c r="F10" s="12">
        <f t="shared" si="0"/>
        <v>0.30864197530864174</v>
      </c>
      <c r="G10" s="3">
        <v>9</v>
      </c>
      <c r="H10" s="3">
        <v>4</v>
      </c>
      <c r="I10" s="12">
        <f t="shared" si="28"/>
        <v>0.44444444444444442</v>
      </c>
      <c r="J10" s="12">
        <f t="shared" si="1"/>
        <v>5.9753086419753094</v>
      </c>
      <c r="K10" s="3">
        <v>2</v>
      </c>
      <c r="L10" s="3">
        <v>1</v>
      </c>
      <c r="M10" s="12">
        <f t="shared" si="29"/>
        <v>0.5</v>
      </c>
      <c r="N10" s="12">
        <f t="shared" si="2"/>
        <v>29.641975308641978</v>
      </c>
      <c r="O10" s="3">
        <v>9</v>
      </c>
      <c r="P10" s="3">
        <v>7</v>
      </c>
      <c r="Q10" s="12">
        <f t="shared" si="30"/>
        <v>0.77777777777777779</v>
      </c>
      <c r="R10" s="12">
        <f t="shared" si="3"/>
        <v>0.30864197530864174</v>
      </c>
      <c r="S10" s="3">
        <v>3</v>
      </c>
      <c r="T10" s="3">
        <v>3</v>
      </c>
      <c r="U10" s="12">
        <f t="shared" si="31"/>
        <v>1</v>
      </c>
      <c r="V10" s="12">
        <f t="shared" si="4"/>
        <v>11.8641975308642</v>
      </c>
      <c r="W10" s="3">
        <v>3</v>
      </c>
      <c r="X10" s="3">
        <v>3</v>
      </c>
      <c r="Y10" s="12">
        <f t="shared" si="32"/>
        <v>1</v>
      </c>
      <c r="Z10" s="12">
        <f t="shared" si="5"/>
        <v>11.8641975308642</v>
      </c>
      <c r="AA10" s="3">
        <v>8</v>
      </c>
      <c r="AB10" s="3">
        <v>8</v>
      </c>
      <c r="AC10" s="12">
        <f t="shared" si="33"/>
        <v>1</v>
      </c>
      <c r="AD10" s="12">
        <f t="shared" si="6"/>
        <v>2.4197530864197523</v>
      </c>
      <c r="AE10" s="3">
        <v>10</v>
      </c>
      <c r="AF10" s="3">
        <v>7</v>
      </c>
      <c r="AG10" s="12">
        <f t="shared" si="34"/>
        <v>0.7</v>
      </c>
      <c r="AH10" s="12">
        <f t="shared" si="7"/>
        <v>0.30864197530864174</v>
      </c>
      <c r="AI10" s="3">
        <v>8</v>
      </c>
      <c r="AJ10" s="3">
        <v>8</v>
      </c>
      <c r="AK10" s="12">
        <f t="shared" si="35"/>
        <v>1</v>
      </c>
      <c r="AL10" s="12">
        <f t="shared" si="8"/>
        <v>2.4197530864197523</v>
      </c>
      <c r="AM10" s="3">
        <v>9</v>
      </c>
      <c r="AN10" s="3">
        <v>8</v>
      </c>
      <c r="AO10" s="12">
        <f t="shared" si="36"/>
        <v>0.88888888888888884</v>
      </c>
      <c r="AP10" s="12">
        <f t="shared" si="9"/>
        <v>2.4197530864197523</v>
      </c>
      <c r="AQ10" s="3">
        <v>8</v>
      </c>
      <c r="AR10" s="5">
        <v>7</v>
      </c>
      <c r="AS10" s="12">
        <f t="shared" si="37"/>
        <v>0.875</v>
      </c>
      <c r="AT10" s="12">
        <f t="shared" si="10"/>
        <v>0.30864197530864174</v>
      </c>
      <c r="AU10" s="3">
        <v>5</v>
      </c>
      <c r="AV10" s="5">
        <v>4</v>
      </c>
      <c r="AW10" s="12">
        <f t="shared" si="38"/>
        <v>0.8</v>
      </c>
      <c r="AX10" s="12">
        <f t="shared" si="11"/>
        <v>5.9753086419753094</v>
      </c>
      <c r="AY10" s="3">
        <v>2</v>
      </c>
      <c r="AZ10" s="3">
        <v>2</v>
      </c>
      <c r="BA10" s="12">
        <f t="shared" si="39"/>
        <v>1</v>
      </c>
      <c r="BB10" s="12">
        <f t="shared" si="12"/>
        <v>19.753086419753089</v>
      </c>
      <c r="BC10" s="3">
        <v>8</v>
      </c>
      <c r="BD10" s="3">
        <v>8</v>
      </c>
      <c r="BE10" s="12">
        <f t="shared" si="40"/>
        <v>1</v>
      </c>
      <c r="BF10" s="12">
        <f t="shared" si="13"/>
        <v>2.4197530864197523</v>
      </c>
      <c r="BG10" s="3">
        <v>8</v>
      </c>
      <c r="BH10" s="5">
        <v>8</v>
      </c>
      <c r="BI10" s="12">
        <f t="shared" si="41"/>
        <v>1</v>
      </c>
      <c r="BJ10" s="12">
        <f t="shared" si="14"/>
        <v>2.4197530864197523</v>
      </c>
      <c r="BK10" s="3">
        <v>6</v>
      </c>
      <c r="BL10" s="5">
        <v>5</v>
      </c>
      <c r="BM10" s="12">
        <f t="shared" si="42"/>
        <v>0.83333333333333337</v>
      </c>
      <c r="BN10" s="12">
        <f t="shared" si="15"/>
        <v>2.0864197530864201</v>
      </c>
      <c r="BO10" s="3">
        <v>7</v>
      </c>
      <c r="BP10" s="5">
        <v>6</v>
      </c>
      <c r="BQ10" s="12">
        <f t="shared" si="43"/>
        <v>0.8571428571428571</v>
      </c>
      <c r="BR10" s="12">
        <f t="shared" si="16"/>
        <v>0.19753086419753105</v>
      </c>
      <c r="BS10" s="3">
        <v>9</v>
      </c>
      <c r="BT10" s="3">
        <v>9</v>
      </c>
      <c r="BU10" s="12">
        <f t="shared" si="44"/>
        <v>1</v>
      </c>
      <c r="BV10" s="12">
        <f t="shared" si="17"/>
        <v>6.530864197530863</v>
      </c>
      <c r="BW10" s="3">
        <v>4</v>
      </c>
      <c r="BX10" s="5">
        <v>4</v>
      </c>
      <c r="BY10" s="12">
        <f t="shared" si="45"/>
        <v>1</v>
      </c>
      <c r="BZ10" s="12">
        <f t="shared" si="18"/>
        <v>5.9753086419753094</v>
      </c>
      <c r="CA10" s="3">
        <v>10</v>
      </c>
      <c r="CB10" s="3">
        <v>10</v>
      </c>
      <c r="CC10" s="12">
        <f t="shared" si="46"/>
        <v>1</v>
      </c>
      <c r="CD10" s="12">
        <f t="shared" si="19"/>
        <v>12.641975308641975</v>
      </c>
      <c r="CE10" s="3">
        <v>7</v>
      </c>
      <c r="CF10" s="5">
        <v>7</v>
      </c>
      <c r="CG10" s="12">
        <f t="shared" si="47"/>
        <v>1</v>
      </c>
      <c r="CH10" s="12">
        <f t="shared" si="20"/>
        <v>0.30864197530864174</v>
      </c>
      <c r="CI10" s="3">
        <v>10</v>
      </c>
      <c r="CJ10" s="3">
        <v>10</v>
      </c>
      <c r="CK10" s="12">
        <f t="shared" si="48"/>
        <v>1</v>
      </c>
      <c r="CL10" s="12">
        <f t="shared" si="21"/>
        <v>12.641975308641975</v>
      </c>
      <c r="CM10" s="3">
        <v>10</v>
      </c>
      <c r="CN10" s="3">
        <v>7</v>
      </c>
      <c r="CO10" s="12">
        <f t="shared" si="49"/>
        <v>0.7</v>
      </c>
      <c r="CP10" s="12">
        <f t="shared" si="22"/>
        <v>0.30864197530864174</v>
      </c>
      <c r="CQ10" s="3">
        <v>10</v>
      </c>
      <c r="CR10" s="3">
        <v>5</v>
      </c>
      <c r="CS10" s="12">
        <f t="shared" si="50"/>
        <v>0.5</v>
      </c>
      <c r="CT10" s="12">
        <f t="shared" si="23"/>
        <v>2.0864197530864201</v>
      </c>
      <c r="CU10" s="3">
        <v>9</v>
      </c>
      <c r="CV10" s="3">
        <v>9</v>
      </c>
      <c r="CW10" s="12">
        <f t="shared" si="51"/>
        <v>1</v>
      </c>
      <c r="CX10" s="12">
        <f t="shared" si="24"/>
        <v>6.530864197530863</v>
      </c>
      <c r="CY10" s="3">
        <v>9</v>
      </c>
      <c r="CZ10" s="5">
        <v>9</v>
      </c>
      <c r="DA10" s="12">
        <f t="shared" si="52"/>
        <v>1</v>
      </c>
      <c r="DB10" s="12">
        <f t="shared" si="25"/>
        <v>6.530864197530863</v>
      </c>
      <c r="DC10" s="3">
        <v>8</v>
      </c>
      <c r="DD10" s="3">
        <v>8</v>
      </c>
      <c r="DE10" s="12">
        <f t="shared" si="53"/>
        <v>1</v>
      </c>
      <c r="DF10" s="12">
        <f t="shared" si="26"/>
        <v>2.4197530864197523</v>
      </c>
      <c r="DG10" s="4">
        <f>COUNT(C10,G10,K10,O10,S10,W10,AA10,AE10,AI10,AM10,AQ10,AU10,AY10,BC10,BG10,BK10,BO10,BS10,BW10,CA10,CE10,CI10,CM10,CQ10,CU10,CY10,DC10,#REF!,#REF!,#REF!,#REF!,#REF!,#REF!,#REF!,#REF!,#REF!,#REF!,#REF!,#REF!,#REF!,#REF!,#REF!,#REF!,#REF!,#REF!,#REF!,#REF!,#REF!,#REF!,#REF!)</f>
        <v>27</v>
      </c>
      <c r="DH10" s="15">
        <f t="shared" si="54"/>
        <v>87.60875955320401</v>
      </c>
      <c r="DI10" s="15">
        <f t="shared" si="55"/>
        <v>6.4444444444444446</v>
      </c>
      <c r="DJ10" s="15">
        <f t="shared" si="56"/>
        <v>2.4088314876309775</v>
      </c>
      <c r="DK10" s="16">
        <f t="shared" si="57"/>
        <v>87.60875955320401</v>
      </c>
      <c r="DL10" s="17" t="s">
        <v>3</v>
      </c>
      <c r="DM10" s="24">
        <f t="shared" si="58"/>
        <v>2.4088314876309775</v>
      </c>
      <c r="DN10" s="4" t="str">
        <f t="shared" si="59"/>
        <v>отлично</v>
      </c>
    </row>
    <row r="11" spans="1:118" ht="48" customHeight="1" thickBot="1" x14ac:dyDescent="0.3">
      <c r="A11" s="21">
        <v>9</v>
      </c>
      <c r="B11" s="31" t="s">
        <v>18</v>
      </c>
      <c r="C11" s="3">
        <v>9</v>
      </c>
      <c r="D11" s="3">
        <v>9</v>
      </c>
      <c r="E11" s="8">
        <f t="shared" si="27"/>
        <v>1</v>
      </c>
      <c r="F11" s="12">
        <f t="shared" si="0"/>
        <v>1.2345679012345592E-2</v>
      </c>
      <c r="G11" s="3">
        <v>9</v>
      </c>
      <c r="H11" s="3">
        <v>9</v>
      </c>
      <c r="I11" s="12">
        <f t="shared" si="28"/>
        <v>1</v>
      </c>
      <c r="J11" s="12">
        <f t="shared" si="1"/>
        <v>1.2345679012345592E-2</v>
      </c>
      <c r="K11" s="3">
        <v>6</v>
      </c>
      <c r="L11" s="3">
        <v>4</v>
      </c>
      <c r="M11" s="12">
        <f t="shared" si="29"/>
        <v>0.66666666666666663</v>
      </c>
      <c r="N11" s="12">
        <f t="shared" si="2"/>
        <v>23.901234567901238</v>
      </c>
      <c r="O11" s="3">
        <v>9</v>
      </c>
      <c r="P11" s="3">
        <v>8</v>
      </c>
      <c r="Q11" s="12">
        <f t="shared" si="30"/>
        <v>0.88888888888888884</v>
      </c>
      <c r="R11" s="12">
        <f t="shared" si="3"/>
        <v>0.79012345679012419</v>
      </c>
      <c r="S11" s="3">
        <v>10</v>
      </c>
      <c r="T11" s="3">
        <v>10</v>
      </c>
      <c r="U11" s="12">
        <f t="shared" si="31"/>
        <v>1</v>
      </c>
      <c r="V11" s="12">
        <f t="shared" si="4"/>
        <v>1.2345679012345669</v>
      </c>
      <c r="W11" s="3">
        <v>10</v>
      </c>
      <c r="X11" s="3">
        <v>10</v>
      </c>
      <c r="Y11" s="12">
        <f t="shared" si="32"/>
        <v>1</v>
      </c>
      <c r="Z11" s="12">
        <f t="shared" si="5"/>
        <v>1.2345679012345669</v>
      </c>
      <c r="AA11" s="3">
        <v>10</v>
      </c>
      <c r="AB11" s="3">
        <v>10</v>
      </c>
      <c r="AC11" s="12">
        <f t="shared" si="33"/>
        <v>1</v>
      </c>
      <c r="AD11" s="12">
        <f t="shared" si="6"/>
        <v>1.2345679012345669</v>
      </c>
      <c r="AE11" s="3">
        <v>10</v>
      </c>
      <c r="AF11" s="3">
        <v>9</v>
      </c>
      <c r="AG11" s="12">
        <f t="shared" si="34"/>
        <v>0.9</v>
      </c>
      <c r="AH11" s="12">
        <f t="shared" si="7"/>
        <v>1.2345679012345592E-2</v>
      </c>
      <c r="AI11" s="3">
        <v>10</v>
      </c>
      <c r="AJ11" s="3">
        <v>10</v>
      </c>
      <c r="AK11" s="12">
        <f t="shared" si="35"/>
        <v>1</v>
      </c>
      <c r="AL11" s="12">
        <f t="shared" si="8"/>
        <v>1.2345679012345669</v>
      </c>
      <c r="AM11" s="3">
        <v>9</v>
      </c>
      <c r="AN11" s="3">
        <v>9</v>
      </c>
      <c r="AO11" s="12">
        <f t="shared" si="36"/>
        <v>1</v>
      </c>
      <c r="AP11" s="12">
        <f t="shared" si="9"/>
        <v>1.2345679012345592E-2</v>
      </c>
      <c r="AQ11" s="3">
        <v>9</v>
      </c>
      <c r="AR11" s="5">
        <v>9</v>
      </c>
      <c r="AS11" s="12">
        <f t="shared" si="37"/>
        <v>1</v>
      </c>
      <c r="AT11" s="12">
        <f t="shared" si="10"/>
        <v>1.2345679012345592E-2</v>
      </c>
      <c r="AU11" s="3">
        <v>8</v>
      </c>
      <c r="AV11" s="5">
        <v>8</v>
      </c>
      <c r="AW11" s="12">
        <f t="shared" si="38"/>
        <v>1</v>
      </c>
      <c r="AX11" s="12">
        <f t="shared" si="11"/>
        <v>0.79012345679012419</v>
      </c>
      <c r="AY11" s="3">
        <v>10</v>
      </c>
      <c r="AZ11" s="3">
        <v>10</v>
      </c>
      <c r="BA11" s="12">
        <f t="shared" si="39"/>
        <v>1</v>
      </c>
      <c r="BB11" s="12">
        <f t="shared" si="12"/>
        <v>1.2345679012345669</v>
      </c>
      <c r="BC11" s="3">
        <v>10</v>
      </c>
      <c r="BD11" s="3">
        <v>10</v>
      </c>
      <c r="BE11" s="12">
        <f t="shared" si="40"/>
        <v>1</v>
      </c>
      <c r="BF11" s="12">
        <f t="shared" si="13"/>
        <v>1.2345679012345669</v>
      </c>
      <c r="BG11" s="3">
        <v>9</v>
      </c>
      <c r="BH11" s="5">
        <v>9</v>
      </c>
      <c r="BI11" s="12">
        <f t="shared" si="41"/>
        <v>1</v>
      </c>
      <c r="BJ11" s="12">
        <f t="shared" si="14"/>
        <v>1.2345679012345592E-2</v>
      </c>
      <c r="BK11" s="3">
        <v>8</v>
      </c>
      <c r="BL11" s="5">
        <v>6</v>
      </c>
      <c r="BM11" s="12">
        <f t="shared" si="42"/>
        <v>0.75</v>
      </c>
      <c r="BN11" s="12">
        <f t="shared" si="15"/>
        <v>8.3456790123456805</v>
      </c>
      <c r="BO11" s="3">
        <v>10</v>
      </c>
      <c r="BP11" s="5">
        <v>10</v>
      </c>
      <c r="BQ11" s="12">
        <f t="shared" si="43"/>
        <v>1</v>
      </c>
      <c r="BR11" s="12">
        <f t="shared" si="16"/>
        <v>1.2345679012345669</v>
      </c>
      <c r="BS11" s="3">
        <v>10</v>
      </c>
      <c r="BT11" s="3">
        <v>10</v>
      </c>
      <c r="BU11" s="12">
        <f t="shared" si="44"/>
        <v>1</v>
      </c>
      <c r="BV11" s="12">
        <f t="shared" si="17"/>
        <v>1.2345679012345669</v>
      </c>
      <c r="BW11" s="3">
        <v>6</v>
      </c>
      <c r="BX11" s="5">
        <v>6</v>
      </c>
      <c r="BY11" s="12">
        <f t="shared" si="45"/>
        <v>1</v>
      </c>
      <c r="BZ11" s="12">
        <f t="shared" si="18"/>
        <v>8.3456790123456805</v>
      </c>
      <c r="CA11" s="3">
        <v>9</v>
      </c>
      <c r="CB11" s="3">
        <v>9</v>
      </c>
      <c r="CC11" s="12">
        <f t="shared" si="46"/>
        <v>1</v>
      </c>
      <c r="CD11" s="12">
        <f t="shared" si="19"/>
        <v>1.2345679012345592E-2</v>
      </c>
      <c r="CE11" s="3">
        <v>9</v>
      </c>
      <c r="CF11" s="5">
        <v>9</v>
      </c>
      <c r="CG11" s="12">
        <f t="shared" si="47"/>
        <v>1</v>
      </c>
      <c r="CH11" s="12">
        <f t="shared" si="20"/>
        <v>1.2345679012345592E-2</v>
      </c>
      <c r="CI11" s="3">
        <v>10</v>
      </c>
      <c r="CJ11" s="3">
        <v>10</v>
      </c>
      <c r="CK11" s="12">
        <f t="shared" si="48"/>
        <v>1</v>
      </c>
      <c r="CL11" s="12">
        <f t="shared" si="21"/>
        <v>1.2345679012345669</v>
      </c>
      <c r="CM11" s="3">
        <v>10</v>
      </c>
      <c r="CN11" s="3">
        <v>10</v>
      </c>
      <c r="CO11" s="12">
        <f t="shared" si="49"/>
        <v>1</v>
      </c>
      <c r="CP11" s="12">
        <f t="shared" si="22"/>
        <v>1.2345679012345669</v>
      </c>
      <c r="CQ11" s="3">
        <v>10</v>
      </c>
      <c r="CR11" s="3">
        <v>10</v>
      </c>
      <c r="CS11" s="12">
        <f t="shared" si="50"/>
        <v>1</v>
      </c>
      <c r="CT11" s="12">
        <f t="shared" si="23"/>
        <v>1.2345679012345669</v>
      </c>
      <c r="CU11" s="3">
        <v>9</v>
      </c>
      <c r="CV11" s="3">
        <v>9</v>
      </c>
      <c r="CW11" s="12">
        <f t="shared" si="51"/>
        <v>1</v>
      </c>
      <c r="CX11" s="12">
        <f t="shared" si="24"/>
        <v>1.2345679012345592E-2</v>
      </c>
      <c r="CY11" s="3">
        <v>9</v>
      </c>
      <c r="CZ11" s="5">
        <v>9</v>
      </c>
      <c r="DA11" s="12">
        <f t="shared" si="52"/>
        <v>1</v>
      </c>
      <c r="DB11" s="12">
        <f t="shared" si="25"/>
        <v>1.2345679012345592E-2</v>
      </c>
      <c r="DC11" s="3">
        <v>8</v>
      </c>
      <c r="DD11" s="3">
        <v>8</v>
      </c>
      <c r="DE11" s="12">
        <f t="shared" si="53"/>
        <v>1</v>
      </c>
      <c r="DF11" s="12">
        <f t="shared" si="26"/>
        <v>0.79012345679012419</v>
      </c>
      <c r="DG11" s="4">
        <f>COUNT(C11,G11,K11,O11,S11,W11,AA11,AE11,AI11,AM11,AQ11,AU11,AY11,BC11,BG11,BK11,BO11,BS11,BW11,CA11,CE11,CI11,CM11,CQ11,CU11,CY11,DC11,#REF!,#REF!,#REF!,#REF!,#REF!,#REF!,#REF!,#REF!,#REF!,#REF!,#REF!,#REF!,#REF!,#REF!,#REF!,#REF!,#REF!,#REF!,#REF!,#REF!,#REF!,#REF!,#REF!)</f>
        <v>27</v>
      </c>
      <c r="DH11" s="15">
        <f t="shared" si="54"/>
        <v>97.057613168724288</v>
      </c>
      <c r="DI11" s="15">
        <f t="shared" si="55"/>
        <v>8.8888888888888893</v>
      </c>
      <c r="DJ11" s="15">
        <f t="shared" si="56"/>
        <v>1.4487116456005888</v>
      </c>
      <c r="DK11" s="19">
        <f t="shared" si="57"/>
        <v>97.057613168724288</v>
      </c>
      <c r="DL11" s="20" t="s">
        <v>3</v>
      </c>
      <c r="DM11" s="25">
        <f t="shared" si="58"/>
        <v>1.4487116456005888</v>
      </c>
      <c r="DN11" s="4" t="str">
        <f t="shared" si="59"/>
        <v>отлично</v>
      </c>
    </row>
    <row r="12" spans="1:118" ht="15" hidden="1" customHeight="1" x14ac:dyDescent="0.3">
      <c r="B12" s="27" t="s">
        <v>7</v>
      </c>
      <c r="C12" s="13">
        <f>SUM(C3:C11)</f>
        <v>51</v>
      </c>
      <c r="D12" s="13">
        <f>SUM(D3:D11)</f>
        <v>46</v>
      </c>
      <c r="E12" s="8">
        <f t="shared" si="27"/>
        <v>0.90196078431372551</v>
      </c>
      <c r="F12" s="12" t="e">
        <f>POWER(D12-#REF!,2)</f>
        <v>#REF!</v>
      </c>
      <c r="G12" s="13">
        <f>SUM(G3:G11)</f>
        <v>68</v>
      </c>
      <c r="H12" s="13">
        <f>SUM(H3:H11)</f>
        <v>58</v>
      </c>
      <c r="I12" s="12">
        <f t="shared" si="28"/>
        <v>0.8529411764705882</v>
      </c>
      <c r="J12" s="12" t="e">
        <f>POWER(H12-#REF!,2)</f>
        <v>#REF!</v>
      </c>
      <c r="K12" s="13"/>
      <c r="L12" s="13"/>
      <c r="M12" s="12" t="e">
        <f t="shared" si="29"/>
        <v>#DIV/0!</v>
      </c>
      <c r="N12" s="12" t="e">
        <f>POWER(L12-#REF!,2)</f>
        <v>#REF!</v>
      </c>
      <c r="O12" s="13"/>
      <c r="P12" s="13"/>
      <c r="Q12" s="12" t="e">
        <f t="shared" si="30"/>
        <v>#DIV/0!</v>
      </c>
      <c r="R12" s="12" t="e">
        <f>POWER(P12-#REF!,2)</f>
        <v>#REF!</v>
      </c>
      <c r="S12" s="3"/>
      <c r="T12" s="13"/>
      <c r="U12" s="12" t="e">
        <f t="shared" si="31"/>
        <v>#DIV/0!</v>
      </c>
      <c r="V12" s="12" t="e">
        <f>POWER(T12-#REF!,2)</f>
        <v>#REF!</v>
      </c>
      <c r="W12" s="3"/>
      <c r="Y12" s="12" t="e">
        <f t="shared" si="32"/>
        <v>#DIV/0!</v>
      </c>
      <c r="Z12" s="12" t="e">
        <f>POWER(X12-#REF!,2)</f>
        <v>#REF!</v>
      </c>
      <c r="AC12" s="12" t="e">
        <f t="shared" si="33"/>
        <v>#DIV/0!</v>
      </c>
      <c r="AD12" s="12" t="e">
        <f>POWER(AB12-#REF!,2)</f>
        <v>#REF!</v>
      </c>
      <c r="AE12" s="3"/>
      <c r="AG12" s="12" t="e">
        <f t="shared" si="34"/>
        <v>#DIV/0!</v>
      </c>
      <c r="AH12" s="12" t="e">
        <f>POWER(AF12-#REF!,2)</f>
        <v>#REF!</v>
      </c>
      <c r="AK12" s="12" t="e">
        <f t="shared" si="35"/>
        <v>#DIV/0!</v>
      </c>
      <c r="AL12" s="12" t="e">
        <f>POWER(AJ12-#REF!,2)</f>
        <v>#REF!</v>
      </c>
      <c r="AO12" s="12" t="e">
        <f t="shared" si="36"/>
        <v>#DIV/0!</v>
      </c>
      <c r="AP12" s="12" t="e">
        <f>POWER(AN12-#REF!,2)</f>
        <v>#REF!</v>
      </c>
      <c r="AS12" s="12" t="e">
        <f t="shared" si="37"/>
        <v>#DIV/0!</v>
      </c>
      <c r="AT12" s="12" t="e">
        <f>POWER(AR12-#REF!,2)</f>
        <v>#REF!</v>
      </c>
      <c r="BJ12" s="12">
        <f t="shared" si="14"/>
        <v>2704</v>
      </c>
      <c r="CT12" s="12">
        <f t="shared" si="23"/>
        <v>2704</v>
      </c>
      <c r="DA12" s="12" t="e">
        <f t="shared" si="52"/>
        <v>#DIV/0!</v>
      </c>
      <c r="DB12" s="12">
        <f t="shared" si="25"/>
        <v>2704</v>
      </c>
      <c r="DG12" s="18"/>
      <c r="DH12" s="15" t="e">
        <f>(E12+I12+M12+Q12+U12+Y12+AC12+AG12+AK12+AO12+AS12+AW12+BA12+BE12+BI12+BM12+BQ12+BU12+BY12+CC12+CG12+CK12+CO12+CS12+CW12+DA12+DE12+#REF!+#REF!+#REF!+#REF!+#REF!+#REF!+#REF!+#REF!+#REF!+#REF!+#REF!+#REF!+#REF!+#REF!)*100/DG12</f>
        <v>#DIV/0!</v>
      </c>
      <c r="DI12" s="15">
        <f t="shared" si="55"/>
        <v>52</v>
      </c>
      <c r="DJ12" s="18"/>
      <c r="DK12" s="18"/>
      <c r="DL12" s="18"/>
      <c r="DM12" s="18"/>
    </row>
    <row r="13" spans="1:118" ht="15" hidden="1" customHeight="1" x14ac:dyDescent="0.3">
      <c r="B13" s="27" t="s">
        <v>8</v>
      </c>
      <c r="C13" s="14">
        <f>AVERAGE(C3:C11)</f>
        <v>5.666666666666667</v>
      </c>
      <c r="D13" s="14">
        <f>AVERAGE(D3:D11)</f>
        <v>5.1111111111111107</v>
      </c>
      <c r="E13" s="8">
        <f t="shared" si="27"/>
        <v>0.90196078431372539</v>
      </c>
      <c r="F13" s="12" t="e">
        <f>POWER(D13-#REF!,2)</f>
        <v>#REF!</v>
      </c>
      <c r="G13" s="14"/>
      <c r="H13" s="14"/>
      <c r="I13" s="12" t="e">
        <f t="shared" si="28"/>
        <v>#DIV/0!</v>
      </c>
      <c r="J13" s="12" t="e">
        <f>POWER(H13-#REF!,2)</f>
        <v>#REF!</v>
      </c>
      <c r="K13" s="14"/>
      <c r="L13" s="14"/>
      <c r="M13" s="12" t="e">
        <f t="shared" si="29"/>
        <v>#DIV/0!</v>
      </c>
      <c r="N13" s="12" t="e">
        <f>POWER(L13-#REF!,2)</f>
        <v>#REF!</v>
      </c>
      <c r="O13" s="14"/>
      <c r="P13" s="14"/>
      <c r="Q13" s="12" t="e">
        <f t="shared" si="30"/>
        <v>#DIV/0!</v>
      </c>
      <c r="R13" s="12" t="e">
        <f>POWER(P13-#REF!,2)</f>
        <v>#REF!</v>
      </c>
      <c r="S13" s="3"/>
      <c r="T13" s="14"/>
      <c r="U13" s="12" t="e">
        <f t="shared" si="31"/>
        <v>#DIV/0!</v>
      </c>
      <c r="V13" s="12" t="e">
        <f>POWER(T13-#REF!,2)</f>
        <v>#REF!</v>
      </c>
      <c r="W13" s="3"/>
      <c r="Y13" s="12" t="e">
        <f t="shared" si="32"/>
        <v>#DIV/0!</v>
      </c>
      <c r="Z13" s="12" t="e">
        <f>POWER(X13-#REF!,2)</f>
        <v>#REF!</v>
      </c>
      <c r="AC13" s="12" t="e">
        <f t="shared" si="33"/>
        <v>#DIV/0!</v>
      </c>
      <c r="AD13" s="12" t="e">
        <f>POWER(AB13-#REF!,2)</f>
        <v>#REF!</v>
      </c>
      <c r="AE13" s="3"/>
      <c r="AG13" s="12" t="e">
        <f t="shared" si="34"/>
        <v>#DIV/0!</v>
      </c>
      <c r="AH13" s="12" t="e">
        <f>POWER(AF13-#REF!,2)</f>
        <v>#REF!</v>
      </c>
      <c r="AK13" s="12" t="e">
        <f t="shared" si="35"/>
        <v>#DIV/0!</v>
      </c>
      <c r="AL13" s="12" t="e">
        <f>POWER(AJ13-#REF!,2)</f>
        <v>#REF!</v>
      </c>
      <c r="AO13" s="12" t="e">
        <f t="shared" si="36"/>
        <v>#DIV/0!</v>
      </c>
      <c r="AP13" s="12" t="e">
        <f>POWER(AN13-#REF!,2)</f>
        <v>#REF!</v>
      </c>
      <c r="AS13" s="12" t="e">
        <f t="shared" si="37"/>
        <v>#DIV/0!</v>
      </c>
      <c r="AT13" s="12" t="e">
        <f>POWER(AR13-#REF!,2)</f>
        <v>#REF!</v>
      </c>
      <c r="BJ13" s="12">
        <f t="shared" si="14"/>
        <v>26.123456790123452</v>
      </c>
      <c r="CT13" s="12">
        <f t="shared" si="23"/>
        <v>26.123456790123452</v>
      </c>
      <c r="DA13" s="12" t="e">
        <f t="shared" si="52"/>
        <v>#DIV/0!</v>
      </c>
      <c r="DB13" s="12">
        <f t="shared" si="25"/>
        <v>26.123456790123452</v>
      </c>
      <c r="DG13" s="18"/>
      <c r="DH13" s="15" t="e">
        <f>(E13+I13+M13+Q13+U13+Y13+AC13+AG13+AK13+AO13+AS13+AW13+BA13+BE13+BI13+BM13+BQ13+BU13+BY13+CC13+CG13+CK13+CO13+CS13+CW13+DA13+DE13+#REF!+#REF!+#REF!+#REF!+#REF!+#REF!+#REF!+#REF!+#REF!+#REF!+#REF!+#REF!+#REF!+#REF!)*100/DG13</f>
        <v>#DIV/0!</v>
      </c>
      <c r="DI13" s="15">
        <f t="shared" si="55"/>
        <v>5.1111111111111107</v>
      </c>
      <c r="DJ13" s="18"/>
      <c r="DK13" s="18"/>
      <c r="DL13" s="18"/>
      <c r="DM13" s="18"/>
    </row>
    <row r="14" spans="1:118" ht="15" hidden="1" customHeight="1" x14ac:dyDescent="0.25">
      <c r="B14" s="28" t="s">
        <v>9</v>
      </c>
      <c r="E14" s="8" t="e">
        <f t="shared" si="27"/>
        <v>#DIV/0!</v>
      </c>
      <c r="F14" s="12" t="e">
        <f>POWER(D14-#REF!,2)</f>
        <v>#REF!</v>
      </c>
      <c r="I14" s="12" t="e">
        <f t="shared" si="28"/>
        <v>#DIV/0!</v>
      </c>
      <c r="J14" s="12" t="e">
        <f>POWER(H14-#REF!,2)</f>
        <v>#REF!</v>
      </c>
      <c r="M14" s="12" t="e">
        <f t="shared" si="29"/>
        <v>#DIV/0!</v>
      </c>
      <c r="N14" s="12" t="e">
        <f>POWER(L14-#REF!,2)</f>
        <v>#REF!</v>
      </c>
      <c r="Q14" s="12" t="e">
        <f t="shared" si="30"/>
        <v>#DIV/0!</v>
      </c>
      <c r="R14" s="12" t="e">
        <f>POWER(P14-#REF!,2)</f>
        <v>#REF!</v>
      </c>
      <c r="S14" s="3"/>
      <c r="U14" s="12" t="e">
        <f t="shared" si="31"/>
        <v>#DIV/0!</v>
      </c>
      <c r="V14" s="12" t="e">
        <f>POWER(T14-#REF!,2)</f>
        <v>#REF!</v>
      </c>
      <c r="W14" s="47"/>
      <c r="Y14" s="29" t="e">
        <f t="shared" si="32"/>
        <v>#DIV/0!</v>
      </c>
      <c r="Z14" s="29" t="e">
        <f>POWER(X14-#REF!,2)</f>
        <v>#REF!</v>
      </c>
      <c r="AC14" s="29" t="e">
        <f t="shared" si="33"/>
        <v>#DIV/0!</v>
      </c>
      <c r="AD14" s="12" t="e">
        <f>POWER(AB14-#REF!,2)</f>
        <v>#REF!</v>
      </c>
      <c r="AE14" s="3"/>
      <c r="AG14" s="12" t="e">
        <f t="shared" si="34"/>
        <v>#DIV/0!</v>
      </c>
      <c r="AH14" s="12" t="e">
        <f>POWER(AF14-#REF!,2)</f>
        <v>#REF!</v>
      </c>
      <c r="AK14" s="12" t="e">
        <f t="shared" si="35"/>
        <v>#DIV/0!</v>
      </c>
      <c r="AL14" s="12" t="e">
        <f>POWER(AJ14-#REF!,2)</f>
        <v>#REF!</v>
      </c>
      <c r="AO14" s="12" t="e">
        <f t="shared" si="36"/>
        <v>#DIV/0!</v>
      </c>
      <c r="AP14" s="12" t="e">
        <f>POWER(AN14-#REF!,2)</f>
        <v>#REF!</v>
      </c>
      <c r="AS14" s="12" t="e">
        <f t="shared" si="37"/>
        <v>#DIV/0!</v>
      </c>
      <c r="AT14" s="12" t="e">
        <f>POWER(AR14-#REF!,2)</f>
        <v>#REF!</v>
      </c>
      <c r="BJ14" s="12" t="e">
        <f t="shared" si="14"/>
        <v>#DIV/0!</v>
      </c>
      <c r="CT14" s="12" t="e">
        <f t="shared" si="23"/>
        <v>#DIV/0!</v>
      </c>
      <c r="DA14" s="12" t="e">
        <f t="shared" si="52"/>
        <v>#DIV/0!</v>
      </c>
      <c r="DB14" s="12" t="e">
        <f t="shared" si="25"/>
        <v>#DIV/0!</v>
      </c>
      <c r="DG14" s="18"/>
      <c r="DH14" s="15" t="e">
        <f>(E14+I14+M14+Q14+U14+Y14+AC14+AG14+AK14+AO14+AS14+AW14+BA14+BE14+BI14+BM14+BQ14+BU14+BY14+CC14+CG14+CK14+CO14+CS14+CW14+DA14+DE14+#REF!+#REF!+#REF!+#REF!+#REF!+#REF!+#REF!+#REF!+#REF!+#REF!+#REF!+#REF!+#REF!+#REF!)*100/DG14</f>
        <v>#DIV/0!</v>
      </c>
      <c r="DI14" s="15" t="e">
        <f t="shared" si="55"/>
        <v>#DIV/0!</v>
      </c>
      <c r="DJ14" s="18"/>
      <c r="DK14" s="18"/>
      <c r="DL14" s="18"/>
      <c r="DM14" s="18"/>
    </row>
    <row r="15" spans="1:118" ht="43.5" customHeight="1" x14ac:dyDescent="0.25">
      <c r="W15" s="32"/>
      <c r="X15" s="32"/>
      <c r="Y15" s="32"/>
      <c r="Z15" s="32"/>
      <c r="AA15" s="32"/>
      <c r="AB15" s="32"/>
      <c r="AC15" s="32"/>
      <c r="DG15" s="2"/>
      <c r="DH15" s="2"/>
      <c r="DI15" s="2"/>
      <c r="DJ15" s="2"/>
      <c r="DK15" s="2"/>
      <c r="DL15" s="2"/>
      <c r="DM15" s="2"/>
    </row>
    <row r="16" spans="1:118" x14ac:dyDescent="0.25">
      <c r="W16" s="32"/>
      <c r="X16" s="32"/>
      <c r="Y16" s="32"/>
      <c r="Z16" s="32"/>
      <c r="AA16" s="32"/>
      <c r="AB16" s="32"/>
      <c r="AC16" s="32"/>
      <c r="DK16" s="38">
        <f>AVERAGE(DK3:DK11)</f>
        <v>93.263439806649686</v>
      </c>
      <c r="DL16" s="39" t="s">
        <v>3</v>
      </c>
      <c r="DM16" s="40">
        <f>AVERAGE(DM3:DM11)</f>
        <v>2.1800581174976505</v>
      </c>
      <c r="DN16" s="41" t="str">
        <f>IF(DK16&lt;40,"неудовлетворительно",IF((DK16&gt;=40)*AND(DK16&lt;60),"удовлетворительно",IF((DK16&gt;=60)*AND(DK16&lt;80),"хорошо","отлично")))</f>
        <v>отлично</v>
      </c>
    </row>
    <row r="17" spans="1:117" x14ac:dyDescent="0.25"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pans="1:117" ht="15.75" x14ac:dyDescent="0.25">
      <c r="V18" s="32"/>
      <c r="W18" s="32"/>
      <c r="X18" s="48"/>
      <c r="Y18" s="48"/>
      <c r="Z18" s="48"/>
      <c r="AA18" s="82"/>
      <c r="AB18" s="82"/>
      <c r="AC18" s="82"/>
      <c r="AD18" s="72"/>
      <c r="AE18" s="32"/>
    </row>
    <row r="19" spans="1:117" x14ac:dyDescent="0.25">
      <c r="V19" s="32"/>
      <c r="W19" s="32"/>
      <c r="X19" s="33"/>
      <c r="Y19" s="32"/>
      <c r="Z19" s="32"/>
      <c r="AA19" s="34"/>
      <c r="AB19" s="35"/>
      <c r="AC19" s="36"/>
      <c r="AD19" s="32"/>
      <c r="AE19" s="32"/>
    </row>
    <row r="20" spans="1:117" x14ac:dyDescent="0.25">
      <c r="V20" s="32"/>
      <c r="W20" s="32"/>
      <c r="X20" s="33"/>
      <c r="Y20" s="32"/>
      <c r="Z20" s="32"/>
      <c r="AA20" s="34"/>
      <c r="AB20" s="35"/>
      <c r="AC20" s="36"/>
      <c r="AD20" s="32"/>
      <c r="AE20" s="32"/>
    </row>
    <row r="21" spans="1:117" x14ac:dyDescent="0.25">
      <c r="V21" s="32"/>
      <c r="W21" s="32"/>
      <c r="X21" s="33"/>
      <c r="Y21" s="32"/>
      <c r="Z21" s="32"/>
      <c r="AA21" s="34"/>
      <c r="AB21" s="35"/>
      <c r="AC21" s="36"/>
      <c r="AD21" s="32"/>
      <c r="AE21" s="32"/>
    </row>
    <row r="22" spans="1:117" x14ac:dyDescent="0.25">
      <c r="V22" s="32"/>
      <c r="W22" s="32"/>
      <c r="X22" s="33"/>
      <c r="Y22" s="32"/>
      <c r="Z22" s="32"/>
      <c r="AA22" s="34"/>
      <c r="AB22" s="35"/>
      <c r="AC22" s="36"/>
      <c r="AD22" s="32"/>
      <c r="AE22" s="32"/>
    </row>
    <row r="23" spans="1:117" x14ac:dyDescent="0.25">
      <c r="V23" s="32"/>
      <c r="W23" s="32"/>
      <c r="X23" s="33"/>
      <c r="Y23" s="32"/>
      <c r="Z23" s="32"/>
      <c r="AA23" s="34"/>
      <c r="AB23" s="35"/>
      <c r="AC23" s="36"/>
      <c r="AD23" s="32"/>
      <c r="AE23" s="32"/>
    </row>
    <row r="24" spans="1:117" x14ac:dyDescent="0.25">
      <c r="V24" s="32"/>
      <c r="W24" s="32"/>
      <c r="X24" s="33"/>
      <c r="Y24" s="32"/>
      <c r="Z24" s="32"/>
      <c r="AA24" s="34"/>
      <c r="AB24" s="35"/>
      <c r="AC24" s="36"/>
      <c r="AD24" s="32"/>
      <c r="AE24" s="32"/>
    </row>
    <row r="25" spans="1:117" x14ac:dyDescent="0.25">
      <c r="V25" s="32"/>
      <c r="W25" s="32"/>
      <c r="X25" s="33"/>
      <c r="Y25" s="32"/>
      <c r="Z25" s="32"/>
      <c r="AA25" s="34"/>
      <c r="AB25" s="35"/>
      <c r="AC25" s="36"/>
      <c r="AD25" s="32"/>
      <c r="AE25" s="32"/>
    </row>
    <row r="26" spans="1:117" x14ac:dyDescent="0.25">
      <c r="V26" s="32"/>
      <c r="W26" s="32"/>
      <c r="X26" s="33"/>
      <c r="Y26" s="32"/>
      <c r="Z26" s="32"/>
      <c r="AA26" s="34"/>
      <c r="AB26" s="35"/>
      <c r="AC26" s="36"/>
      <c r="AD26" s="32"/>
      <c r="AE26" s="32"/>
    </row>
    <row r="27" spans="1:117" x14ac:dyDescent="0.25">
      <c r="V27" s="32"/>
      <c r="W27" s="32"/>
      <c r="X27" s="33"/>
      <c r="Y27" s="32"/>
      <c r="Z27" s="32"/>
      <c r="AA27" s="34"/>
      <c r="AB27" s="35"/>
      <c r="AC27" s="36"/>
      <c r="AD27" s="32"/>
      <c r="AE27" s="32"/>
    </row>
    <row r="28" spans="1:117" ht="19.5" x14ac:dyDescent="0.35">
      <c r="A28" s="83"/>
      <c r="B28" s="84"/>
      <c r="V28" s="32"/>
      <c r="W28" s="32"/>
      <c r="X28" s="33"/>
      <c r="Y28" s="32"/>
      <c r="Z28" s="32"/>
      <c r="AA28" s="34"/>
      <c r="AB28" s="35"/>
      <c r="AC28" s="36"/>
      <c r="AD28" s="32"/>
      <c r="AE28" s="32"/>
      <c r="DG28" s="51"/>
      <c r="DH28" s="51"/>
      <c r="DI28" s="51"/>
      <c r="DJ28" s="51"/>
      <c r="DK28" s="51"/>
      <c r="DL28" s="51"/>
      <c r="DM28" s="51"/>
    </row>
    <row r="29" spans="1:117" x14ac:dyDescent="0.25">
      <c r="V29" s="32"/>
      <c r="W29" s="32"/>
      <c r="X29" s="34"/>
      <c r="Y29" s="32"/>
      <c r="Z29" s="32"/>
      <c r="AA29" s="32"/>
      <c r="AB29" s="32"/>
      <c r="AC29" s="32"/>
      <c r="AD29" s="32"/>
      <c r="AE29" s="32"/>
    </row>
    <row r="30" spans="1:117" x14ac:dyDescent="0.25">
      <c r="V30" s="32"/>
      <c r="W30" s="32"/>
      <c r="X30" s="34"/>
      <c r="Y30" s="32"/>
      <c r="Z30" s="32"/>
      <c r="AA30" s="32"/>
      <c r="AB30" s="32"/>
      <c r="AC30" s="32"/>
      <c r="AD30" s="32"/>
      <c r="AE30" s="32"/>
    </row>
    <row r="31" spans="1:117" x14ac:dyDescent="0.25">
      <c r="V31" s="32"/>
      <c r="W31" s="79"/>
      <c r="X31" s="79"/>
      <c r="Y31" s="79"/>
      <c r="Z31" s="34"/>
      <c r="AA31" s="32"/>
      <c r="AB31" s="32"/>
      <c r="AC31" s="32"/>
      <c r="AD31" s="32"/>
      <c r="AE31" s="32"/>
    </row>
    <row r="32" spans="1:117" x14ac:dyDescent="0.25">
      <c r="V32" s="32"/>
      <c r="W32" s="79"/>
      <c r="X32" s="79"/>
      <c r="Y32" s="79"/>
      <c r="Z32" s="79"/>
      <c r="AA32" s="43"/>
      <c r="AB32" s="44"/>
      <c r="AC32" s="45"/>
      <c r="AD32" s="46"/>
      <c r="AE32" s="32"/>
    </row>
    <row r="33" spans="23:29" customFormat="1" x14ac:dyDescent="0.25">
      <c r="W33" s="32"/>
      <c r="X33" s="32"/>
      <c r="Y33" s="32"/>
      <c r="Z33" s="32"/>
      <c r="AA33" s="32"/>
      <c r="AB33" s="32"/>
      <c r="AC33" s="32"/>
    </row>
    <row r="34" spans="23:29" customFormat="1" x14ac:dyDescent="0.25">
      <c r="W34" s="32"/>
      <c r="X34" s="32"/>
      <c r="Y34" s="32"/>
      <c r="Z34" s="32"/>
      <c r="AA34" s="32"/>
      <c r="AB34" s="32"/>
      <c r="AC34" s="32"/>
    </row>
    <row r="35" spans="23:29" customFormat="1" x14ac:dyDescent="0.25">
      <c r="W35" s="32"/>
      <c r="X35" s="32"/>
      <c r="Y35" s="32"/>
      <c r="Z35" s="32"/>
      <c r="AA35" s="32"/>
      <c r="AB35" s="32"/>
      <c r="AC35" s="32"/>
    </row>
    <row r="36" spans="23:29" customFormat="1" x14ac:dyDescent="0.25">
      <c r="W36" s="32"/>
      <c r="X36" s="32"/>
      <c r="Y36" s="32"/>
      <c r="Z36" s="32"/>
      <c r="AA36" s="32"/>
      <c r="AB36" s="32"/>
      <c r="AC36" s="32"/>
    </row>
    <row r="37" spans="23:29" customFormat="1" x14ac:dyDescent="0.25">
      <c r="W37" s="37"/>
      <c r="X37" s="52"/>
      <c r="Y37" s="52"/>
      <c r="Z37" s="37"/>
      <c r="AA37" s="18"/>
      <c r="AB37" s="18"/>
      <c r="AC37" s="18"/>
    </row>
    <row r="38" spans="23:29" customFormat="1" x14ac:dyDescent="0.25">
      <c r="W38" s="37"/>
      <c r="X38" s="52"/>
      <c r="Y38" s="52"/>
      <c r="Z38" s="37"/>
      <c r="AA38" s="18"/>
      <c r="AB38" s="18"/>
      <c r="AC38" s="18"/>
    </row>
    <row r="39" spans="23:29" customFormat="1" x14ac:dyDescent="0.25">
      <c r="W39" s="37"/>
      <c r="X39" s="52"/>
      <c r="Y39" s="52"/>
      <c r="Z39" s="37"/>
      <c r="AA39" s="18"/>
      <c r="AB39" s="18"/>
      <c r="AC39" s="18"/>
    </row>
    <row r="40" spans="23:29" customFormat="1" x14ac:dyDescent="0.25">
      <c r="W40" s="37"/>
      <c r="X40" s="52"/>
      <c r="Y40" s="52"/>
      <c r="Z40" s="37"/>
      <c r="AA40" s="18"/>
      <c r="AB40" s="18"/>
      <c r="AC40" s="18"/>
    </row>
    <row r="41" spans="23:29" customFormat="1" x14ac:dyDescent="0.25">
      <c r="W41" s="37"/>
      <c r="X41" s="52"/>
      <c r="Y41" s="52"/>
      <c r="Z41" s="37"/>
      <c r="AA41" s="18"/>
      <c r="AB41" s="18"/>
      <c r="AC41" s="18"/>
    </row>
    <row r="42" spans="23:29" customFormat="1" x14ac:dyDescent="0.25">
      <c r="W42" s="37"/>
      <c r="X42" s="52"/>
      <c r="Y42" s="52"/>
      <c r="Z42" s="37"/>
      <c r="AA42" s="18"/>
      <c r="AB42" s="18"/>
      <c r="AC42" s="18"/>
    </row>
    <row r="43" spans="23:29" customFormat="1" x14ac:dyDescent="0.25">
      <c r="W43" s="37"/>
      <c r="X43" s="52"/>
      <c r="Y43" s="52"/>
      <c r="Z43" s="37"/>
      <c r="AA43" s="18"/>
      <c r="AB43" s="18"/>
      <c r="AC43" s="18"/>
    </row>
    <row r="44" spans="23:29" customFormat="1" x14ac:dyDescent="0.25">
      <c r="W44" s="37"/>
      <c r="X44" s="52"/>
      <c r="Y44" s="52"/>
      <c r="Z44" s="37"/>
      <c r="AA44" s="18"/>
      <c r="AB44" s="18"/>
      <c r="AC44" s="18"/>
    </row>
    <row r="45" spans="23:29" customFormat="1" x14ac:dyDescent="0.25">
      <c r="W45" s="37"/>
      <c r="X45" s="52"/>
      <c r="Y45" s="52"/>
      <c r="Z45" s="37"/>
      <c r="AA45" s="18"/>
      <c r="AB45" s="18"/>
      <c r="AC45" s="18"/>
    </row>
    <row r="46" spans="23:29" customFormat="1" x14ac:dyDescent="0.25">
      <c r="W46" s="37"/>
      <c r="X46" s="52"/>
      <c r="Y46" s="52"/>
      <c r="Z46" s="37"/>
      <c r="AA46" s="18"/>
      <c r="AB46" s="18"/>
      <c r="AC46" s="18"/>
    </row>
    <row r="47" spans="23:29" customFormat="1" x14ac:dyDescent="0.25">
      <c r="W47" s="37"/>
      <c r="X47" s="52"/>
      <c r="Y47" s="52"/>
      <c r="Z47" s="37"/>
      <c r="AA47" s="18"/>
      <c r="AB47" s="18"/>
      <c r="AC47" s="18"/>
    </row>
    <row r="48" spans="23:29" customFormat="1" x14ac:dyDescent="0.25">
      <c r="W48" s="37"/>
      <c r="X48" s="52"/>
      <c r="Y48" s="52"/>
      <c r="Z48" s="37"/>
      <c r="AA48" s="18"/>
      <c r="AB48" s="18"/>
      <c r="AC48" s="18"/>
    </row>
    <row r="49" spans="23:29" customFormat="1" x14ac:dyDescent="0.25">
      <c r="W49" s="37"/>
      <c r="X49" s="52"/>
      <c r="Y49" s="52"/>
      <c r="Z49" s="37"/>
      <c r="AA49" s="18"/>
      <c r="AB49" s="18"/>
      <c r="AC49" s="18"/>
    </row>
    <row r="50" spans="23:29" customFormat="1" x14ac:dyDescent="0.25">
      <c r="W50" s="37"/>
      <c r="X50" s="52"/>
      <c r="Y50" s="52"/>
      <c r="Z50" s="37"/>
      <c r="AA50" s="18"/>
      <c r="AB50" s="18"/>
      <c r="AC50" s="18"/>
    </row>
    <row r="51" spans="23:29" customFormat="1" x14ac:dyDescent="0.25">
      <c r="W51" s="37"/>
      <c r="X51" s="52"/>
      <c r="Y51" s="52"/>
      <c r="Z51" s="37"/>
      <c r="AA51" s="18"/>
      <c r="AB51" s="18"/>
      <c r="AC51" s="18"/>
    </row>
    <row r="52" spans="23:29" customFormat="1" x14ac:dyDescent="0.25">
      <c r="W52" s="37"/>
      <c r="X52" s="52"/>
      <c r="Y52" s="52"/>
      <c r="Z52" s="37"/>
      <c r="AA52" s="18"/>
      <c r="AB52" s="18"/>
      <c r="AC52" s="18"/>
    </row>
    <row r="53" spans="23:29" customFormat="1" x14ac:dyDescent="0.25">
      <c r="W53" s="37"/>
      <c r="X53" s="52"/>
      <c r="Y53" s="52"/>
      <c r="Z53" s="37"/>
      <c r="AA53" s="18"/>
      <c r="AB53" s="18"/>
      <c r="AC53" s="18"/>
    </row>
    <row r="54" spans="23:29" customFormat="1" x14ac:dyDescent="0.25">
      <c r="W54" s="37"/>
      <c r="X54" s="52"/>
      <c r="Y54" s="52"/>
      <c r="Z54" s="37"/>
      <c r="AA54" s="18"/>
      <c r="AB54" s="18"/>
      <c r="AC54" s="18"/>
    </row>
    <row r="55" spans="23:29" customFormat="1" x14ac:dyDescent="0.25">
      <c r="W55" s="37"/>
      <c r="X55" s="52"/>
      <c r="Y55" s="52"/>
      <c r="Z55" s="37"/>
      <c r="AA55" s="18"/>
      <c r="AB55" s="18"/>
      <c r="AC55" s="18"/>
    </row>
    <row r="56" spans="23:29" customFormat="1" x14ac:dyDescent="0.25">
      <c r="W56" s="37"/>
      <c r="X56" s="52"/>
      <c r="Y56" s="52"/>
      <c r="Z56" s="37"/>
      <c r="AA56" s="18"/>
      <c r="AB56" s="18"/>
      <c r="AC56" s="18"/>
    </row>
    <row r="57" spans="23:29" customFormat="1" x14ac:dyDescent="0.25">
      <c r="W57" s="37"/>
      <c r="X57" s="52"/>
      <c r="Y57" s="52"/>
      <c r="Z57" s="37"/>
      <c r="AA57" s="18"/>
      <c r="AB57" s="18"/>
      <c r="AC57" s="18"/>
    </row>
    <row r="58" spans="23:29" customFormat="1" x14ac:dyDescent="0.25">
      <c r="W58" s="37"/>
      <c r="X58" s="52"/>
      <c r="Y58" s="52"/>
      <c r="Z58" s="37"/>
      <c r="AA58" s="18"/>
      <c r="AB58" s="18"/>
      <c r="AC58" s="18"/>
    </row>
    <row r="59" spans="23:29" customFormat="1" x14ac:dyDescent="0.25">
      <c r="W59" s="37"/>
      <c r="X59" s="52"/>
      <c r="Y59" s="52"/>
      <c r="Z59" s="37"/>
      <c r="AA59" s="18"/>
      <c r="AB59" s="18"/>
      <c r="AC59" s="18"/>
    </row>
    <row r="60" spans="23:29" customFormat="1" x14ac:dyDescent="0.25">
      <c r="W60" s="37"/>
      <c r="X60" s="52"/>
      <c r="Y60" s="52"/>
      <c r="Z60" s="37"/>
      <c r="AA60" s="18"/>
      <c r="AB60" s="18"/>
      <c r="AC60" s="18"/>
    </row>
    <row r="61" spans="23:29" customFormat="1" x14ac:dyDescent="0.25">
      <c r="W61" s="37"/>
      <c r="X61" s="52"/>
      <c r="Y61" s="52"/>
      <c r="Z61" s="37"/>
      <c r="AA61" s="18"/>
      <c r="AB61" s="18"/>
      <c r="AC61" s="18"/>
    </row>
    <row r="62" spans="23:29" customFormat="1" x14ac:dyDescent="0.25">
      <c r="W62" s="37"/>
      <c r="X62" s="52"/>
      <c r="Y62" s="52"/>
      <c r="Z62" s="37"/>
      <c r="AA62" s="18"/>
      <c r="AB62" s="18"/>
      <c r="AC62" s="18"/>
    </row>
    <row r="63" spans="23:29" customFormat="1" x14ac:dyDescent="0.25">
      <c r="W63" s="37"/>
      <c r="X63" s="52"/>
      <c r="Y63" s="52"/>
      <c r="Z63" s="37"/>
      <c r="AA63" s="18"/>
      <c r="AB63" s="18"/>
      <c r="AC63" s="18"/>
    </row>
    <row r="64" spans="23:29" customFormat="1" x14ac:dyDescent="0.25">
      <c r="W64" s="37"/>
      <c r="X64" s="52"/>
      <c r="Y64" s="52"/>
      <c r="Z64" s="37"/>
      <c r="AA64" s="18"/>
      <c r="AB64" s="18"/>
      <c r="AC64" s="18"/>
    </row>
    <row r="65" spans="23:29" customFormat="1" x14ac:dyDescent="0.25">
      <c r="W65" s="37"/>
      <c r="X65" s="52"/>
      <c r="Y65" s="52"/>
      <c r="Z65" s="37"/>
      <c r="AA65" s="18"/>
      <c r="AB65" s="18"/>
      <c r="AC65" s="18"/>
    </row>
    <row r="66" spans="23:29" customFormat="1" x14ac:dyDescent="0.25">
      <c r="W66" s="37"/>
      <c r="X66" s="52"/>
      <c r="Y66" s="52"/>
      <c r="Z66" s="37"/>
      <c r="AA66" s="18"/>
      <c r="AB66" s="18"/>
      <c r="AC66" s="18"/>
    </row>
    <row r="67" spans="23:29" customFormat="1" x14ac:dyDescent="0.25">
      <c r="W67" s="37"/>
      <c r="X67" s="52"/>
      <c r="Y67" s="52"/>
      <c r="Z67" s="37"/>
      <c r="AA67" s="18"/>
      <c r="AB67" s="18"/>
      <c r="AC67" s="18"/>
    </row>
    <row r="68" spans="23:29" customFormat="1" x14ac:dyDescent="0.25">
      <c r="W68" s="37"/>
      <c r="X68" s="52"/>
      <c r="Y68" s="52"/>
      <c r="Z68" s="37"/>
      <c r="AA68" s="18"/>
      <c r="AB68" s="18"/>
      <c r="AC68" s="18"/>
    </row>
    <row r="69" spans="23:29" customFormat="1" x14ac:dyDescent="0.25">
      <c r="W69" s="37"/>
      <c r="X69" s="52"/>
      <c r="Y69" s="52"/>
      <c r="Z69" s="37"/>
      <c r="AA69" s="18"/>
      <c r="AB69" s="18"/>
      <c r="AC69" s="18"/>
    </row>
    <row r="70" spans="23:29" customFormat="1" x14ac:dyDescent="0.25">
      <c r="W70" s="37"/>
      <c r="X70" s="52"/>
      <c r="Y70" s="52"/>
      <c r="Z70" s="37"/>
      <c r="AA70" s="18"/>
      <c r="AB70" s="18"/>
      <c r="AC70" s="18"/>
    </row>
    <row r="71" spans="23:29" customFormat="1" x14ac:dyDescent="0.25">
      <c r="W71" s="37"/>
      <c r="X71" s="52"/>
      <c r="Y71" s="52"/>
      <c r="Z71" s="37"/>
      <c r="AA71" s="18"/>
      <c r="AB71" s="18"/>
      <c r="AC71" s="18"/>
    </row>
    <row r="72" spans="23:29" customFormat="1" x14ac:dyDescent="0.25">
      <c r="W72" s="37"/>
      <c r="X72" s="52"/>
      <c r="Y72" s="52"/>
      <c r="Z72" s="37"/>
      <c r="AA72" s="18"/>
      <c r="AB72" s="18"/>
      <c r="AC72" s="18"/>
    </row>
    <row r="73" spans="23:29" customFormat="1" x14ac:dyDescent="0.25">
      <c r="W73" s="37"/>
      <c r="X73" s="52"/>
      <c r="Y73" s="52"/>
      <c r="Z73" s="37"/>
      <c r="AA73" s="18"/>
      <c r="AB73" s="18"/>
      <c r="AC73" s="18"/>
    </row>
    <row r="74" spans="23:29" customFormat="1" x14ac:dyDescent="0.25">
      <c r="W74" s="37"/>
      <c r="X74" s="52"/>
      <c r="Y74" s="52"/>
      <c r="Z74" s="37"/>
      <c r="AA74" s="18"/>
      <c r="AB74" s="18"/>
      <c r="AC74" s="18"/>
    </row>
    <row r="75" spans="23:29" customFormat="1" x14ac:dyDescent="0.25">
      <c r="W75" s="37"/>
      <c r="X75" s="52"/>
      <c r="Y75" s="52"/>
      <c r="Z75" s="37"/>
      <c r="AA75" s="18"/>
      <c r="AB75" s="18"/>
      <c r="AC75" s="18"/>
    </row>
    <row r="76" spans="23:29" customFormat="1" x14ac:dyDescent="0.25">
      <c r="W76" s="37"/>
      <c r="X76" s="52"/>
      <c r="Y76" s="52"/>
      <c r="Z76" s="37"/>
      <c r="AA76" s="18"/>
      <c r="AB76" s="18"/>
      <c r="AC76" s="18"/>
    </row>
    <row r="77" spans="23:29" customFormat="1" x14ac:dyDescent="0.25">
      <c r="W77" s="37"/>
      <c r="X77" s="52"/>
      <c r="Y77" s="52"/>
      <c r="Z77" s="37"/>
      <c r="AA77" s="18"/>
      <c r="AB77" s="18"/>
      <c r="AC77" s="18"/>
    </row>
    <row r="78" spans="23:29" customFormat="1" x14ac:dyDescent="0.25">
      <c r="W78" s="37"/>
      <c r="X78" s="52"/>
      <c r="Y78" s="52"/>
      <c r="Z78" s="37"/>
      <c r="AA78" s="18"/>
      <c r="AB78" s="18"/>
      <c r="AC78" s="18"/>
    </row>
    <row r="79" spans="23:29" customFormat="1" x14ac:dyDescent="0.25">
      <c r="W79" s="37"/>
      <c r="X79" s="52"/>
      <c r="Y79" s="52"/>
      <c r="Z79" s="37"/>
      <c r="AA79" s="18"/>
      <c r="AB79" s="18"/>
      <c r="AC79" s="18"/>
    </row>
    <row r="80" spans="23:29" customFormat="1" x14ac:dyDescent="0.25">
      <c r="W80" s="37"/>
      <c r="X80" s="52"/>
      <c r="Y80" s="52"/>
      <c r="Z80" s="37"/>
      <c r="AA80" s="18"/>
      <c r="AB80" s="18"/>
      <c r="AC80" s="18"/>
    </row>
    <row r="81" spans="23:29" customFormat="1" x14ac:dyDescent="0.25">
      <c r="W81" s="37"/>
      <c r="X81" s="52"/>
      <c r="Y81" s="52"/>
      <c r="Z81" s="37"/>
      <c r="AA81" s="18"/>
      <c r="AB81" s="18"/>
      <c r="AC81" s="18"/>
    </row>
    <row r="82" spans="23:29" customFormat="1" x14ac:dyDescent="0.25">
      <c r="W82" s="37"/>
      <c r="X82" s="52"/>
      <c r="Y82" s="52"/>
      <c r="Z82" s="37"/>
      <c r="AA82" s="18"/>
      <c r="AB82" s="18"/>
      <c r="AC82" s="18"/>
    </row>
    <row r="83" spans="23:29" customFormat="1" x14ac:dyDescent="0.25">
      <c r="W83" s="37"/>
      <c r="X83" s="52"/>
      <c r="Y83" s="52"/>
      <c r="Z83" s="37"/>
      <c r="AA83" s="18"/>
      <c r="AB83" s="18"/>
      <c r="AC83" s="18"/>
    </row>
    <row r="84" spans="23:29" customFormat="1" x14ac:dyDescent="0.25">
      <c r="W84" s="37"/>
      <c r="X84" s="52"/>
      <c r="Y84" s="52"/>
      <c r="Z84" s="37"/>
      <c r="AA84" s="18"/>
      <c r="AB84" s="18"/>
      <c r="AC84" s="18"/>
    </row>
    <row r="85" spans="23:29" customFormat="1" x14ac:dyDescent="0.25">
      <c r="W85" s="37"/>
      <c r="X85" s="52"/>
      <c r="Y85" s="52"/>
      <c r="Z85" s="37"/>
      <c r="AA85" s="18"/>
      <c r="AB85" s="18"/>
      <c r="AC85" s="18"/>
    </row>
    <row r="86" spans="23:29" customFormat="1" x14ac:dyDescent="0.25">
      <c r="W86" s="37"/>
      <c r="X86" s="52"/>
      <c r="Y86" s="52"/>
      <c r="Z86" s="37"/>
      <c r="AA86" s="18"/>
      <c r="AB86" s="18"/>
      <c r="AC86" s="18"/>
    </row>
    <row r="87" spans="23:29" customFormat="1" x14ac:dyDescent="0.25">
      <c r="W87" s="37"/>
      <c r="X87" s="52"/>
      <c r="Y87" s="52"/>
      <c r="Z87" s="37"/>
      <c r="AA87" s="18"/>
      <c r="AB87" s="18"/>
      <c r="AC87" s="18"/>
    </row>
    <row r="88" spans="23:29" customFormat="1" x14ac:dyDescent="0.25">
      <c r="W88" s="37"/>
      <c r="X88" s="52"/>
      <c r="Y88" s="52"/>
      <c r="Z88" s="37"/>
      <c r="AA88" s="18"/>
      <c r="AB88" s="18"/>
      <c r="AC88" s="18"/>
    </row>
    <row r="89" spans="23:29" customFormat="1" x14ac:dyDescent="0.25">
      <c r="W89" s="37"/>
      <c r="X89" s="52"/>
      <c r="Y89" s="52"/>
      <c r="Z89" s="37"/>
      <c r="AA89" s="18"/>
      <c r="AB89" s="18"/>
      <c r="AC89" s="18"/>
    </row>
    <row r="90" spans="23:29" customFormat="1" x14ac:dyDescent="0.25">
      <c r="W90" s="37"/>
      <c r="X90" s="52"/>
      <c r="Y90" s="52"/>
      <c r="Z90" s="37"/>
      <c r="AA90" s="18"/>
      <c r="AB90" s="18"/>
      <c r="AC90" s="18"/>
    </row>
    <row r="91" spans="23:29" customFormat="1" x14ac:dyDescent="0.25">
      <c r="W91" s="37"/>
      <c r="X91" s="52"/>
      <c r="Y91" s="52"/>
      <c r="Z91" s="37"/>
      <c r="AA91" s="18"/>
      <c r="AB91" s="18"/>
      <c r="AC91" s="18"/>
    </row>
    <row r="92" spans="23:29" customFormat="1" x14ac:dyDescent="0.25">
      <c r="W92" s="37"/>
      <c r="X92" s="52"/>
      <c r="Y92" s="52"/>
      <c r="Z92" s="37"/>
      <c r="AA92" s="18"/>
      <c r="AB92" s="18"/>
      <c r="AC92" s="18"/>
    </row>
    <row r="93" spans="23:29" customFormat="1" x14ac:dyDescent="0.25">
      <c r="W93" s="37"/>
      <c r="X93" s="52"/>
      <c r="Y93" s="52"/>
      <c r="Z93" s="37"/>
      <c r="AA93" s="18"/>
      <c r="AB93" s="18"/>
      <c r="AC93" s="18"/>
    </row>
    <row r="94" spans="23:29" customFormat="1" x14ac:dyDescent="0.25">
      <c r="W94" s="37"/>
      <c r="X94" s="52"/>
      <c r="Y94" s="52"/>
      <c r="Z94" s="37"/>
      <c r="AA94" s="18"/>
      <c r="AB94" s="18"/>
      <c r="AC94" s="18"/>
    </row>
    <row r="95" spans="23:29" customFormat="1" x14ac:dyDescent="0.25">
      <c r="W95" s="37"/>
      <c r="X95" s="52"/>
      <c r="Y95" s="52"/>
      <c r="Z95" s="37"/>
      <c r="AA95" s="18"/>
      <c r="AB95" s="18"/>
      <c r="AC95" s="18"/>
    </row>
    <row r="96" spans="23:29" customFormat="1" x14ac:dyDescent="0.25">
      <c r="W96" s="37"/>
      <c r="X96" s="52"/>
      <c r="Y96" s="52"/>
      <c r="Z96" s="37"/>
      <c r="AA96" s="18"/>
      <c r="AB96" s="18"/>
      <c r="AC96" s="18"/>
    </row>
    <row r="97" spans="23:29" customFormat="1" x14ac:dyDescent="0.25">
      <c r="W97" s="37"/>
      <c r="X97" s="52"/>
      <c r="Y97" s="52"/>
      <c r="Z97" s="37"/>
      <c r="AA97" s="18"/>
      <c r="AB97" s="18"/>
      <c r="AC97" s="18"/>
    </row>
    <row r="98" spans="23:29" customFormat="1" x14ac:dyDescent="0.25">
      <c r="W98" s="37"/>
      <c r="X98" s="52"/>
      <c r="Y98" s="52"/>
      <c r="Z98" s="37"/>
      <c r="AA98" s="18"/>
      <c r="AB98" s="18"/>
      <c r="AC98" s="18"/>
    </row>
    <row r="99" spans="23:29" customFormat="1" x14ac:dyDescent="0.25">
      <c r="W99" s="37"/>
      <c r="X99" s="52"/>
      <c r="Y99" s="52"/>
      <c r="Z99" s="37"/>
      <c r="AA99" s="18"/>
      <c r="AB99" s="18"/>
      <c r="AC99" s="18"/>
    </row>
    <row r="100" spans="23:29" customFormat="1" x14ac:dyDescent="0.25">
      <c r="W100" s="37"/>
      <c r="X100" s="52"/>
      <c r="Y100" s="52"/>
      <c r="Z100" s="37"/>
      <c r="AA100" s="18"/>
      <c r="AB100" s="18"/>
      <c r="AC100" s="18"/>
    </row>
    <row r="101" spans="23:29" customFormat="1" x14ac:dyDescent="0.25">
      <c r="W101" s="37"/>
      <c r="X101" s="52"/>
      <c r="Y101" s="52"/>
      <c r="Z101" s="37"/>
      <c r="AA101" s="18"/>
      <c r="AB101" s="18"/>
      <c r="AC101" s="18"/>
    </row>
    <row r="102" spans="23:29" customFormat="1" x14ac:dyDescent="0.25">
      <c r="W102" s="37"/>
      <c r="X102" s="52"/>
      <c r="Y102" s="52"/>
      <c r="Z102" s="37"/>
      <c r="AA102" s="18"/>
      <c r="AB102" s="18"/>
      <c r="AC102" s="18"/>
    </row>
    <row r="103" spans="23:29" customFormat="1" x14ac:dyDescent="0.25">
      <c r="W103" s="37"/>
      <c r="X103" s="52"/>
      <c r="Y103" s="52"/>
      <c r="Z103" s="37"/>
      <c r="AA103" s="18"/>
      <c r="AB103" s="18"/>
      <c r="AC103" s="18"/>
    </row>
    <row r="104" spans="23:29" customFormat="1" x14ac:dyDescent="0.25">
      <c r="W104" s="37"/>
      <c r="X104" s="52"/>
      <c r="Y104" s="52"/>
      <c r="Z104" s="37"/>
      <c r="AA104" s="18"/>
      <c r="AB104" s="18"/>
      <c r="AC104" s="18"/>
    </row>
    <row r="105" spans="23:29" customFormat="1" x14ac:dyDescent="0.25">
      <c r="W105" s="37"/>
      <c r="X105" s="52"/>
      <c r="Y105" s="52"/>
      <c r="Z105" s="37"/>
      <c r="AA105" s="18"/>
      <c r="AB105" s="18"/>
      <c r="AC105" s="18"/>
    </row>
    <row r="106" spans="23:29" customFormat="1" x14ac:dyDescent="0.25">
      <c r="W106" s="37"/>
      <c r="X106" s="52"/>
      <c r="Y106" s="52"/>
      <c r="Z106" s="37"/>
      <c r="AA106" s="18"/>
      <c r="AB106" s="18"/>
      <c r="AC106" s="18"/>
    </row>
    <row r="107" spans="23:29" customFormat="1" x14ac:dyDescent="0.25">
      <c r="W107" s="37"/>
      <c r="X107" s="52"/>
      <c r="Y107" s="52"/>
      <c r="Z107" s="37"/>
      <c r="AA107" s="18"/>
      <c r="AB107" s="18"/>
      <c r="AC107" s="18"/>
    </row>
    <row r="108" spans="23:29" customFormat="1" x14ac:dyDescent="0.25">
      <c r="W108" s="37"/>
      <c r="X108" s="52"/>
      <c r="Y108" s="52"/>
      <c r="Z108" s="37"/>
      <c r="AA108" s="18"/>
      <c r="AB108" s="18"/>
      <c r="AC108" s="18"/>
    </row>
    <row r="109" spans="23:29" customFormat="1" x14ac:dyDescent="0.25">
      <c r="W109" s="37"/>
      <c r="X109" s="52"/>
      <c r="Y109" s="52"/>
      <c r="Z109" s="37"/>
      <c r="AA109" s="18"/>
      <c r="AB109" s="18"/>
      <c r="AC109" s="18"/>
    </row>
    <row r="110" spans="23:29" customFormat="1" x14ac:dyDescent="0.25">
      <c r="W110" s="37"/>
      <c r="X110" s="52"/>
      <c r="Y110" s="52"/>
      <c r="Z110" s="37"/>
      <c r="AA110" s="18"/>
      <c r="AB110" s="18"/>
      <c r="AC110" s="18"/>
    </row>
    <row r="111" spans="23:29" customFormat="1" x14ac:dyDescent="0.25">
      <c r="W111" s="37"/>
      <c r="X111" s="52"/>
      <c r="Y111" s="52"/>
      <c r="Z111" s="37"/>
      <c r="AA111" s="18"/>
      <c r="AB111" s="18"/>
      <c r="AC111" s="18"/>
    </row>
    <row r="112" spans="23:29" customFormat="1" x14ac:dyDescent="0.25">
      <c r="W112" s="37"/>
      <c r="X112" s="52"/>
      <c r="Y112" s="52"/>
      <c r="Z112" s="37"/>
      <c r="AA112" s="18"/>
      <c r="AB112" s="18"/>
      <c r="AC112" s="18"/>
    </row>
    <row r="113" spans="23:29" customFormat="1" x14ac:dyDescent="0.25">
      <c r="W113" s="37"/>
      <c r="X113" s="52"/>
      <c r="Y113" s="52"/>
      <c r="Z113" s="37"/>
      <c r="AA113" s="18"/>
      <c r="AB113" s="18"/>
      <c r="AC113" s="18"/>
    </row>
    <row r="114" spans="23:29" customFormat="1" x14ac:dyDescent="0.25">
      <c r="W114" s="37"/>
      <c r="X114" s="52"/>
      <c r="Y114" s="52"/>
      <c r="Z114" s="37"/>
      <c r="AA114" s="18"/>
      <c r="AB114" s="18"/>
      <c r="AC114" s="18"/>
    </row>
    <row r="115" spans="23:29" customFormat="1" x14ac:dyDescent="0.25">
      <c r="W115" s="37"/>
      <c r="X115" s="52"/>
      <c r="Y115" s="52"/>
      <c r="Z115" s="37"/>
      <c r="AA115" s="18"/>
      <c r="AB115" s="18"/>
      <c r="AC115" s="18"/>
    </row>
    <row r="116" spans="23:29" customFormat="1" x14ac:dyDescent="0.25">
      <c r="W116" s="37"/>
      <c r="X116" s="52"/>
      <c r="Y116" s="52"/>
      <c r="Z116" s="37"/>
      <c r="AA116" s="18"/>
      <c r="AB116" s="18"/>
      <c r="AC116" s="18"/>
    </row>
    <row r="117" spans="23:29" customFormat="1" x14ac:dyDescent="0.25">
      <c r="W117" s="37"/>
      <c r="X117" s="52"/>
      <c r="Y117" s="52"/>
      <c r="Z117" s="37"/>
      <c r="AA117" s="18"/>
      <c r="AB117" s="18"/>
      <c r="AC117" s="18"/>
    </row>
    <row r="118" spans="23:29" customFormat="1" x14ac:dyDescent="0.25">
      <c r="W118" s="37"/>
      <c r="X118" s="52"/>
      <c r="Y118" s="52"/>
      <c r="Z118" s="37"/>
      <c r="AA118" s="18"/>
      <c r="AB118" s="18"/>
      <c r="AC118" s="18"/>
    </row>
    <row r="119" spans="23:29" customFormat="1" x14ac:dyDescent="0.25">
      <c r="W119" s="37"/>
      <c r="X119" s="52"/>
      <c r="Y119" s="52"/>
      <c r="Z119" s="37"/>
      <c r="AA119" s="18"/>
      <c r="AB119" s="18"/>
      <c r="AC119" s="18"/>
    </row>
    <row r="120" spans="23:29" customFormat="1" x14ac:dyDescent="0.25">
      <c r="W120" s="37"/>
      <c r="X120" s="52"/>
      <c r="Y120" s="52"/>
      <c r="Z120" s="37"/>
      <c r="AA120" s="18"/>
      <c r="AB120" s="18"/>
      <c r="AC120" s="18"/>
    </row>
    <row r="121" spans="23:29" customFormat="1" x14ac:dyDescent="0.25">
      <c r="W121" s="37"/>
      <c r="X121" s="52"/>
      <c r="Y121" s="52"/>
      <c r="Z121" s="37"/>
      <c r="AA121" s="18"/>
      <c r="AB121" s="18"/>
      <c r="AC121" s="18"/>
    </row>
    <row r="122" spans="23:29" customFormat="1" x14ac:dyDescent="0.25">
      <c r="W122" s="37"/>
      <c r="X122" s="52"/>
      <c r="Y122" s="52"/>
      <c r="Z122" s="37"/>
      <c r="AA122" s="18"/>
      <c r="AB122" s="18"/>
      <c r="AC122" s="18"/>
    </row>
    <row r="123" spans="23:29" customFormat="1" x14ac:dyDescent="0.25">
      <c r="W123" s="37"/>
      <c r="X123" s="52"/>
      <c r="Y123" s="52"/>
      <c r="Z123" s="37"/>
      <c r="AA123" s="18"/>
      <c r="AB123" s="18"/>
      <c r="AC123" s="18"/>
    </row>
    <row r="124" spans="23:29" customFormat="1" x14ac:dyDescent="0.25">
      <c r="W124" s="37"/>
      <c r="X124" s="52"/>
      <c r="Y124" s="52"/>
      <c r="Z124" s="37"/>
      <c r="AA124" s="18"/>
      <c r="AB124" s="18"/>
      <c r="AC124" s="18"/>
    </row>
    <row r="125" spans="23:29" customFormat="1" x14ac:dyDescent="0.25">
      <c r="W125" s="37"/>
      <c r="X125" s="52"/>
      <c r="Y125" s="52"/>
      <c r="Z125" s="37"/>
      <c r="AA125" s="18"/>
      <c r="AB125" s="18"/>
      <c r="AC125" s="18"/>
    </row>
    <row r="126" spans="23:29" customFormat="1" x14ac:dyDescent="0.25">
      <c r="W126" s="37"/>
      <c r="X126" s="52"/>
      <c r="Y126" s="52"/>
      <c r="Z126" s="37"/>
      <c r="AA126" s="18"/>
      <c r="AB126" s="18"/>
      <c r="AC126" s="18"/>
    </row>
    <row r="127" spans="23:29" customFormat="1" x14ac:dyDescent="0.25">
      <c r="W127" s="37"/>
      <c r="X127" s="52"/>
      <c r="Y127" s="52"/>
      <c r="Z127" s="37"/>
      <c r="AA127" s="18"/>
      <c r="AB127" s="18"/>
      <c r="AC127" s="18"/>
    </row>
    <row r="128" spans="23:29" customFormat="1" x14ac:dyDescent="0.25">
      <c r="W128" s="37"/>
      <c r="X128" s="52"/>
      <c r="Y128" s="52"/>
      <c r="Z128" s="37"/>
      <c r="AA128" s="18"/>
      <c r="AB128" s="18"/>
      <c r="AC128" s="18"/>
    </row>
    <row r="129" spans="23:29" customFormat="1" x14ac:dyDescent="0.25">
      <c r="W129" s="37"/>
      <c r="X129" s="52"/>
      <c r="Y129" s="52"/>
      <c r="Z129" s="37"/>
      <c r="AA129" s="18"/>
      <c r="AB129" s="18"/>
      <c r="AC129" s="18"/>
    </row>
    <row r="130" spans="23:29" customFormat="1" x14ac:dyDescent="0.25">
      <c r="W130" s="37"/>
      <c r="X130" s="52"/>
      <c r="Y130" s="52"/>
      <c r="Z130" s="37"/>
      <c r="AA130" s="18"/>
      <c r="AB130" s="18"/>
      <c r="AC130" s="18"/>
    </row>
    <row r="131" spans="23:29" customFormat="1" x14ac:dyDescent="0.25">
      <c r="W131" s="37"/>
      <c r="X131" s="52"/>
      <c r="Y131" s="52"/>
      <c r="Z131" s="37"/>
      <c r="AA131" s="18"/>
      <c r="AB131" s="18"/>
      <c r="AC131" s="18"/>
    </row>
    <row r="132" spans="23:29" customFormat="1" x14ac:dyDescent="0.25">
      <c r="W132" s="37"/>
      <c r="X132" s="52"/>
      <c r="Y132" s="52"/>
      <c r="Z132" s="37"/>
      <c r="AA132" s="18"/>
      <c r="AB132" s="18"/>
      <c r="AC132" s="18"/>
    </row>
    <row r="133" spans="23:29" customFormat="1" x14ac:dyDescent="0.25">
      <c r="W133" s="37"/>
      <c r="X133" s="52"/>
      <c r="Y133" s="52"/>
      <c r="Z133" s="37"/>
      <c r="AA133" s="18"/>
      <c r="AB133" s="18"/>
      <c r="AC133" s="18"/>
    </row>
    <row r="134" spans="23:29" customFormat="1" x14ac:dyDescent="0.25">
      <c r="W134" s="37"/>
      <c r="X134" s="52"/>
      <c r="Y134" s="52"/>
      <c r="Z134" s="37"/>
      <c r="AA134" s="18"/>
      <c r="AB134" s="18"/>
      <c r="AC134" s="18"/>
    </row>
    <row r="135" spans="23:29" customFormat="1" x14ac:dyDescent="0.25">
      <c r="W135" s="37"/>
      <c r="X135" s="52"/>
      <c r="Y135" s="52"/>
      <c r="Z135" s="37"/>
      <c r="AA135" s="18"/>
      <c r="AB135" s="18"/>
      <c r="AC135" s="18"/>
    </row>
    <row r="136" spans="23:29" customFormat="1" x14ac:dyDescent="0.25">
      <c r="W136" s="37"/>
      <c r="X136" s="52"/>
      <c r="Y136" s="52"/>
      <c r="Z136" s="37"/>
      <c r="AA136" s="18"/>
      <c r="AB136" s="18"/>
      <c r="AC136" s="18"/>
    </row>
    <row r="137" spans="23:29" customFormat="1" x14ac:dyDescent="0.25">
      <c r="W137" s="37"/>
      <c r="X137" s="52"/>
      <c r="Y137" s="52"/>
      <c r="Z137" s="37"/>
      <c r="AA137" s="18"/>
      <c r="AB137" s="18"/>
      <c r="AC137" s="18"/>
    </row>
    <row r="138" spans="23:29" customFormat="1" x14ac:dyDescent="0.25">
      <c r="W138" s="37"/>
      <c r="X138" s="52"/>
      <c r="Y138" s="52"/>
      <c r="Z138" s="37"/>
      <c r="AA138" s="18"/>
      <c r="AB138" s="18"/>
      <c r="AC138" s="18"/>
    </row>
    <row r="139" spans="23:29" customFormat="1" x14ac:dyDescent="0.25">
      <c r="W139" s="37"/>
      <c r="X139" s="52"/>
      <c r="Y139" s="52"/>
      <c r="Z139" s="37"/>
      <c r="AA139" s="18"/>
      <c r="AB139" s="18"/>
      <c r="AC139" s="18"/>
    </row>
    <row r="140" spans="23:29" customFormat="1" x14ac:dyDescent="0.25">
      <c r="W140" s="37"/>
      <c r="X140" s="52"/>
      <c r="Y140" s="52"/>
      <c r="Z140" s="37"/>
      <c r="AA140" s="18"/>
      <c r="AB140" s="18"/>
      <c r="AC140" s="18"/>
    </row>
    <row r="141" spans="23:29" customFormat="1" x14ac:dyDescent="0.25">
      <c r="W141" s="37"/>
      <c r="X141" s="52"/>
      <c r="Y141" s="52"/>
      <c r="Z141" s="37"/>
      <c r="AA141" s="18"/>
      <c r="AB141" s="18"/>
      <c r="AC141" s="18"/>
    </row>
    <row r="142" spans="23:29" customFormat="1" x14ac:dyDescent="0.25">
      <c r="W142" s="37"/>
      <c r="X142" s="52"/>
      <c r="Y142" s="52"/>
      <c r="Z142" s="37"/>
      <c r="AA142" s="18"/>
      <c r="AB142" s="18"/>
      <c r="AC142" s="18"/>
    </row>
    <row r="143" spans="23:29" customFormat="1" x14ac:dyDescent="0.25">
      <c r="W143" s="37"/>
      <c r="X143" s="52"/>
      <c r="Y143" s="52"/>
      <c r="Z143" s="37"/>
      <c r="AA143" s="18"/>
      <c r="AB143" s="18"/>
      <c r="AC143" s="18"/>
    </row>
    <row r="144" spans="23:29" customFormat="1" x14ac:dyDescent="0.25">
      <c r="W144" s="37"/>
      <c r="X144" s="52"/>
      <c r="Y144" s="52"/>
      <c r="Z144" s="37"/>
      <c r="AA144" s="18"/>
      <c r="AB144" s="18"/>
      <c r="AC144" s="18"/>
    </row>
    <row r="145" spans="23:29" customFormat="1" x14ac:dyDescent="0.25">
      <c r="W145" s="37"/>
      <c r="X145" s="52"/>
      <c r="Y145" s="52"/>
      <c r="Z145" s="37"/>
      <c r="AA145" s="18"/>
      <c r="AB145" s="18"/>
      <c r="AC145" s="18"/>
    </row>
    <row r="146" spans="23:29" customFormat="1" x14ac:dyDescent="0.25">
      <c r="W146" s="37"/>
      <c r="X146" s="52"/>
      <c r="Y146" s="52"/>
      <c r="Z146" s="37"/>
      <c r="AA146" s="18"/>
      <c r="AB146" s="18"/>
      <c r="AC146" s="18"/>
    </row>
    <row r="147" spans="23:29" customFormat="1" x14ac:dyDescent="0.25">
      <c r="W147" s="37"/>
      <c r="X147" s="52"/>
      <c r="Y147" s="52"/>
      <c r="Z147" s="37"/>
      <c r="AA147" s="18"/>
      <c r="AB147" s="18"/>
      <c r="AC147" s="18"/>
    </row>
    <row r="148" spans="23:29" customFormat="1" x14ac:dyDescent="0.25">
      <c r="W148" s="37"/>
      <c r="X148" s="52"/>
      <c r="Y148" s="52"/>
      <c r="Z148" s="37"/>
      <c r="AA148" s="18"/>
      <c r="AB148" s="18"/>
      <c r="AC148" s="18"/>
    </row>
    <row r="149" spans="23:29" customFormat="1" x14ac:dyDescent="0.25">
      <c r="W149" s="37"/>
      <c r="X149" s="52"/>
      <c r="Y149" s="52"/>
      <c r="Z149" s="37"/>
      <c r="AA149" s="18"/>
      <c r="AB149" s="18"/>
      <c r="AC149" s="18"/>
    </row>
    <row r="150" spans="23:29" customFormat="1" x14ac:dyDescent="0.25">
      <c r="W150" s="37"/>
      <c r="X150" s="52"/>
      <c r="Y150" s="52"/>
      <c r="Z150" s="37"/>
      <c r="AA150" s="18"/>
      <c r="AB150" s="18"/>
      <c r="AC150" s="18"/>
    </row>
    <row r="151" spans="23:29" customFormat="1" x14ac:dyDescent="0.25">
      <c r="W151" s="37"/>
      <c r="X151" s="52"/>
      <c r="Y151" s="52"/>
      <c r="Z151" s="37"/>
      <c r="AA151" s="18"/>
      <c r="AB151" s="18"/>
      <c r="AC151" s="18"/>
    </row>
    <row r="152" spans="23:29" customFormat="1" x14ac:dyDescent="0.25">
      <c r="W152" s="37"/>
      <c r="X152" s="52"/>
      <c r="Y152" s="52"/>
      <c r="Z152" s="37"/>
      <c r="AA152" s="18"/>
      <c r="AB152" s="18"/>
      <c r="AC152" s="18"/>
    </row>
    <row r="153" spans="23:29" customFormat="1" x14ac:dyDescent="0.25">
      <c r="W153" s="37"/>
      <c r="X153" s="52"/>
      <c r="Y153" s="52"/>
      <c r="Z153" s="37"/>
      <c r="AA153" s="18"/>
      <c r="AB153" s="18"/>
      <c r="AC153" s="18"/>
    </row>
    <row r="154" spans="23:29" customFormat="1" x14ac:dyDescent="0.25">
      <c r="W154" s="37"/>
      <c r="X154" s="52"/>
      <c r="Y154" s="52"/>
      <c r="Z154" s="37"/>
      <c r="AA154" s="18"/>
      <c r="AB154" s="18"/>
      <c r="AC154" s="18"/>
    </row>
    <row r="155" spans="23:29" customFormat="1" x14ac:dyDescent="0.25">
      <c r="W155" s="37"/>
      <c r="X155" s="52"/>
      <c r="Y155" s="52"/>
      <c r="Z155" s="37"/>
      <c r="AA155" s="18"/>
      <c r="AB155" s="18"/>
      <c r="AC155" s="18"/>
    </row>
    <row r="156" spans="23:29" customFormat="1" x14ac:dyDescent="0.25">
      <c r="W156" s="37"/>
      <c r="X156" s="52"/>
      <c r="Y156" s="52"/>
      <c r="Z156" s="37"/>
      <c r="AA156" s="18"/>
      <c r="AB156" s="18"/>
      <c r="AC156" s="18"/>
    </row>
    <row r="157" spans="23:29" customFormat="1" x14ac:dyDescent="0.25">
      <c r="W157" s="37"/>
      <c r="X157" s="52"/>
      <c r="Y157" s="52"/>
      <c r="Z157" s="37"/>
      <c r="AA157" s="18"/>
      <c r="AB157" s="18"/>
      <c r="AC157" s="18"/>
    </row>
    <row r="158" spans="23:29" customFormat="1" x14ac:dyDescent="0.25">
      <c r="W158" s="37"/>
      <c r="X158" s="52"/>
      <c r="Y158" s="52"/>
      <c r="Z158" s="37"/>
      <c r="AA158" s="18"/>
      <c r="AB158" s="18"/>
      <c r="AC158" s="18"/>
    </row>
    <row r="159" spans="23:29" customFormat="1" x14ac:dyDescent="0.25">
      <c r="W159" s="37"/>
      <c r="X159" s="52"/>
      <c r="Y159" s="52"/>
      <c r="Z159" s="37"/>
      <c r="AA159" s="18"/>
      <c r="AB159" s="18"/>
      <c r="AC159" s="18"/>
    </row>
    <row r="160" spans="23:29" customFormat="1" x14ac:dyDescent="0.25">
      <c r="W160" s="37"/>
      <c r="X160" s="52"/>
      <c r="Y160" s="52"/>
      <c r="Z160" s="37"/>
      <c r="AA160" s="18"/>
      <c r="AB160" s="18"/>
      <c r="AC160" s="18"/>
    </row>
    <row r="161" spans="23:29" customFormat="1" x14ac:dyDescent="0.25">
      <c r="W161" s="37"/>
      <c r="X161" s="52"/>
      <c r="Y161" s="52"/>
      <c r="Z161" s="37"/>
      <c r="AA161" s="18"/>
      <c r="AB161" s="18"/>
      <c r="AC161" s="18"/>
    </row>
    <row r="162" spans="23:29" customFormat="1" x14ac:dyDescent="0.25">
      <c r="W162" s="37"/>
      <c r="X162" s="52"/>
      <c r="Y162" s="52"/>
      <c r="Z162" s="37"/>
      <c r="AA162" s="18"/>
      <c r="AB162" s="18"/>
      <c r="AC162" s="18"/>
    </row>
    <row r="163" spans="23:29" customFormat="1" x14ac:dyDescent="0.25">
      <c r="W163" s="37"/>
      <c r="X163" s="52"/>
      <c r="Y163" s="52"/>
      <c r="Z163" s="37"/>
      <c r="AA163" s="18"/>
      <c r="AB163" s="18"/>
      <c r="AC163" s="18"/>
    </row>
    <row r="164" spans="23:29" customFormat="1" x14ac:dyDescent="0.25">
      <c r="W164" s="37"/>
      <c r="X164" s="52"/>
      <c r="Y164" s="52"/>
      <c r="Z164" s="37"/>
      <c r="AA164" s="18"/>
      <c r="AB164" s="18"/>
      <c r="AC164" s="18"/>
    </row>
    <row r="165" spans="23:29" customFormat="1" x14ac:dyDescent="0.25">
      <c r="W165" s="37"/>
      <c r="X165" s="52"/>
      <c r="Y165" s="52"/>
      <c r="Z165" s="37"/>
      <c r="AA165" s="18"/>
      <c r="AB165" s="18"/>
      <c r="AC165" s="18"/>
    </row>
    <row r="166" spans="23:29" customFormat="1" x14ac:dyDescent="0.25">
      <c r="W166" s="37"/>
      <c r="X166" s="52"/>
      <c r="Y166" s="52"/>
      <c r="Z166" s="37"/>
      <c r="AA166" s="18"/>
      <c r="AB166" s="18"/>
      <c r="AC166" s="18"/>
    </row>
    <row r="167" spans="23:29" customFormat="1" x14ac:dyDescent="0.25">
      <c r="W167" s="37"/>
      <c r="X167" s="52"/>
      <c r="Y167" s="52"/>
      <c r="Z167" s="37"/>
      <c r="AA167" s="18"/>
      <c r="AB167" s="18"/>
      <c r="AC167" s="18"/>
    </row>
    <row r="168" spans="23:29" customFormat="1" x14ac:dyDescent="0.25">
      <c r="W168" s="37"/>
      <c r="X168" s="52"/>
      <c r="Y168" s="52"/>
      <c r="Z168" s="37"/>
      <c r="AA168" s="18"/>
      <c r="AB168" s="18"/>
      <c r="AC168" s="18"/>
    </row>
    <row r="169" spans="23:29" customFormat="1" x14ac:dyDescent="0.25">
      <c r="W169" s="37"/>
      <c r="X169" s="52"/>
      <c r="Y169" s="52"/>
      <c r="Z169" s="37"/>
      <c r="AA169" s="18"/>
      <c r="AB169" s="18"/>
      <c r="AC169" s="18"/>
    </row>
    <row r="170" spans="23:29" customFormat="1" x14ac:dyDescent="0.25">
      <c r="W170" s="37"/>
      <c r="X170" s="52"/>
      <c r="Y170" s="52"/>
      <c r="Z170" s="37"/>
      <c r="AA170" s="18"/>
      <c r="AB170" s="18"/>
      <c r="AC170" s="18"/>
    </row>
    <row r="171" spans="23:29" customFormat="1" x14ac:dyDescent="0.25">
      <c r="W171" s="37"/>
      <c r="X171" s="52"/>
      <c r="Y171" s="52"/>
      <c r="Z171" s="37"/>
      <c r="AA171" s="18"/>
      <c r="AB171" s="18"/>
      <c r="AC171" s="18"/>
    </row>
    <row r="172" spans="23:29" customFormat="1" x14ac:dyDescent="0.25">
      <c r="W172" s="37"/>
      <c r="X172" s="52"/>
      <c r="Y172" s="52"/>
      <c r="Z172" s="37"/>
      <c r="AA172" s="18"/>
      <c r="AB172" s="18"/>
      <c r="AC172" s="18"/>
    </row>
    <row r="173" spans="23:29" customFormat="1" x14ac:dyDescent="0.25">
      <c r="W173" s="37"/>
      <c r="X173" s="52"/>
      <c r="Y173" s="52"/>
      <c r="Z173" s="37"/>
      <c r="AA173" s="18"/>
      <c r="AB173" s="18"/>
      <c r="AC173" s="18"/>
    </row>
    <row r="174" spans="23:29" customFormat="1" x14ac:dyDescent="0.25">
      <c r="W174" s="37"/>
      <c r="X174" s="52"/>
      <c r="Y174" s="52"/>
      <c r="Z174" s="37"/>
      <c r="AA174" s="18"/>
      <c r="AB174" s="18"/>
      <c r="AC174" s="18"/>
    </row>
    <row r="175" spans="23:29" customFormat="1" x14ac:dyDescent="0.25">
      <c r="W175" s="37"/>
      <c r="X175" s="52"/>
      <c r="Y175" s="52"/>
      <c r="Z175" s="37"/>
      <c r="AA175" s="18"/>
      <c r="AB175" s="18"/>
      <c r="AC175" s="18"/>
    </row>
    <row r="176" spans="23:29" customFormat="1" x14ac:dyDescent="0.25">
      <c r="W176" s="37"/>
      <c r="X176" s="52"/>
      <c r="Y176" s="52"/>
      <c r="Z176" s="37"/>
      <c r="AA176" s="18"/>
      <c r="AB176" s="18"/>
      <c r="AC176" s="18"/>
    </row>
    <row r="177" spans="23:29" customFormat="1" x14ac:dyDescent="0.25">
      <c r="W177" s="37"/>
      <c r="X177" s="52"/>
      <c r="Y177" s="52"/>
      <c r="Z177" s="37"/>
      <c r="AA177" s="18"/>
      <c r="AB177" s="18"/>
      <c r="AC177" s="18"/>
    </row>
    <row r="178" spans="23:29" customFormat="1" x14ac:dyDescent="0.25">
      <c r="W178" s="37"/>
      <c r="X178" s="52"/>
      <c r="Y178" s="52"/>
      <c r="Z178" s="37"/>
      <c r="AA178" s="18"/>
      <c r="AB178" s="18"/>
      <c r="AC178" s="18"/>
    </row>
    <row r="179" spans="23:29" customFormat="1" x14ac:dyDescent="0.25">
      <c r="W179" s="37"/>
      <c r="X179" s="52"/>
      <c r="Y179" s="52"/>
      <c r="Z179" s="37"/>
      <c r="AA179" s="18"/>
      <c r="AB179" s="18"/>
      <c r="AC179" s="18"/>
    </row>
    <row r="180" spans="23:29" customFormat="1" x14ac:dyDescent="0.25">
      <c r="W180" s="37"/>
      <c r="X180" s="52"/>
      <c r="Y180" s="52"/>
      <c r="Z180" s="37"/>
      <c r="AA180" s="18"/>
      <c r="AB180" s="18"/>
      <c r="AC180" s="18"/>
    </row>
    <row r="181" spans="23:29" customFormat="1" x14ac:dyDescent="0.25">
      <c r="W181" s="37"/>
      <c r="X181" s="52"/>
      <c r="Y181" s="52"/>
      <c r="Z181" s="37"/>
      <c r="AA181" s="18"/>
      <c r="AB181" s="18"/>
      <c r="AC181" s="18"/>
    </row>
    <row r="182" spans="23:29" customFormat="1" x14ac:dyDescent="0.25">
      <c r="W182" s="37"/>
      <c r="X182" s="52"/>
      <c r="Y182" s="52"/>
      <c r="Z182" s="37"/>
      <c r="AA182" s="18"/>
      <c r="AB182" s="18"/>
      <c r="AC182" s="18"/>
    </row>
    <row r="183" spans="23:29" customFormat="1" x14ac:dyDescent="0.25">
      <c r="W183" s="37"/>
      <c r="X183" s="52"/>
      <c r="Y183" s="52"/>
      <c r="Z183" s="37"/>
      <c r="AA183" s="18"/>
      <c r="AB183" s="18"/>
      <c r="AC183" s="18"/>
    </row>
    <row r="184" spans="23:29" customFormat="1" x14ac:dyDescent="0.25">
      <c r="W184" s="37"/>
      <c r="X184" s="52"/>
      <c r="Y184" s="52"/>
      <c r="Z184" s="37"/>
      <c r="AA184" s="18"/>
      <c r="AB184" s="18"/>
      <c r="AC184" s="18"/>
    </row>
    <row r="185" spans="23:29" customFormat="1" x14ac:dyDescent="0.25">
      <c r="W185" s="37"/>
      <c r="X185" s="52"/>
      <c r="Y185" s="52"/>
      <c r="Z185" s="37"/>
      <c r="AA185" s="18"/>
      <c r="AB185" s="18"/>
      <c r="AC185" s="18"/>
    </row>
    <row r="186" spans="23:29" customFormat="1" x14ac:dyDescent="0.25">
      <c r="W186" s="37"/>
      <c r="X186" s="52"/>
      <c r="Y186" s="52"/>
      <c r="Z186" s="37"/>
      <c r="AA186" s="18"/>
      <c r="AB186" s="18"/>
      <c r="AC186" s="18"/>
    </row>
    <row r="187" spans="23:29" customFormat="1" x14ac:dyDescent="0.25">
      <c r="W187" s="37"/>
      <c r="X187" s="52"/>
      <c r="Y187" s="52"/>
      <c r="Z187" s="37"/>
      <c r="AA187" s="18"/>
      <c r="AB187" s="18"/>
      <c r="AC187" s="18"/>
    </row>
    <row r="188" spans="23:29" customFormat="1" x14ac:dyDescent="0.25">
      <c r="W188" s="37"/>
      <c r="X188" s="52"/>
      <c r="Y188" s="52"/>
      <c r="Z188" s="37"/>
      <c r="AA188" s="18"/>
      <c r="AB188" s="18"/>
      <c r="AC188" s="18"/>
    </row>
    <row r="189" spans="23:29" customFormat="1" x14ac:dyDescent="0.25">
      <c r="W189" s="37"/>
      <c r="X189" s="52"/>
      <c r="Y189" s="52"/>
      <c r="Z189" s="37"/>
      <c r="AA189" s="18"/>
      <c r="AB189" s="18"/>
      <c r="AC189" s="18"/>
    </row>
    <row r="190" spans="23:29" customFormat="1" x14ac:dyDescent="0.25">
      <c r="W190" s="37"/>
      <c r="X190" s="52"/>
      <c r="Y190" s="52"/>
      <c r="Z190" s="37"/>
      <c r="AA190" s="18"/>
      <c r="AB190" s="18"/>
      <c r="AC190" s="18"/>
    </row>
    <row r="191" spans="23:29" customFormat="1" x14ac:dyDescent="0.25">
      <c r="W191" s="37"/>
      <c r="X191" s="52"/>
      <c r="Y191" s="52"/>
      <c r="Z191" s="37"/>
      <c r="AA191" s="18"/>
      <c r="AB191" s="18"/>
      <c r="AC191" s="18"/>
    </row>
    <row r="192" spans="23:29" customFormat="1" x14ac:dyDescent="0.25">
      <c r="W192" s="37"/>
      <c r="X192" s="52"/>
      <c r="Y192" s="52"/>
      <c r="Z192" s="37"/>
      <c r="AA192" s="18"/>
      <c r="AB192" s="18"/>
      <c r="AC192" s="18"/>
    </row>
    <row r="193" spans="23:29" customFormat="1" x14ac:dyDescent="0.25">
      <c r="W193" s="37"/>
      <c r="X193" s="52"/>
      <c r="Y193" s="52"/>
      <c r="Z193" s="37"/>
      <c r="AA193" s="18"/>
      <c r="AB193" s="18"/>
      <c r="AC193" s="18"/>
    </row>
    <row r="194" spans="23:29" customFormat="1" x14ac:dyDescent="0.25">
      <c r="W194" s="37"/>
      <c r="X194" s="52"/>
      <c r="Y194" s="52"/>
      <c r="Z194" s="37"/>
      <c r="AA194" s="18"/>
      <c r="AB194" s="18"/>
      <c r="AC194" s="18"/>
    </row>
    <row r="195" spans="23:29" customFormat="1" x14ac:dyDescent="0.25">
      <c r="W195" s="37"/>
      <c r="X195" s="52"/>
      <c r="Y195" s="52"/>
      <c r="Z195" s="37"/>
      <c r="AA195" s="18"/>
      <c r="AB195" s="18"/>
      <c r="AC195" s="18"/>
    </row>
    <row r="196" spans="23:29" customFormat="1" x14ac:dyDescent="0.25">
      <c r="W196" s="37"/>
      <c r="X196" s="52"/>
      <c r="Y196" s="52"/>
      <c r="Z196" s="37"/>
      <c r="AA196" s="18"/>
      <c r="AB196" s="18"/>
      <c r="AC196" s="18"/>
    </row>
    <row r="197" spans="23:29" customFormat="1" x14ac:dyDescent="0.25">
      <c r="W197" s="37"/>
      <c r="X197" s="52"/>
      <c r="Y197" s="52"/>
      <c r="Z197" s="37"/>
      <c r="AA197" s="18"/>
      <c r="AB197" s="18"/>
      <c r="AC197" s="18"/>
    </row>
    <row r="198" spans="23:29" customFormat="1" x14ac:dyDescent="0.25">
      <c r="W198" s="37"/>
      <c r="X198" s="52"/>
      <c r="Y198" s="52"/>
      <c r="Z198" s="37"/>
      <c r="AA198" s="18"/>
      <c r="AB198" s="18"/>
      <c r="AC198" s="18"/>
    </row>
    <row r="199" spans="23:29" customFormat="1" x14ac:dyDescent="0.25">
      <c r="W199" s="37"/>
      <c r="X199" s="52"/>
      <c r="Y199" s="52"/>
      <c r="Z199" s="37"/>
      <c r="AA199" s="18"/>
      <c r="AB199" s="18"/>
      <c r="AC199" s="18"/>
    </row>
    <row r="200" spans="23:29" customFormat="1" x14ac:dyDescent="0.25">
      <c r="W200" s="37"/>
      <c r="X200" s="52"/>
      <c r="Y200" s="52"/>
      <c r="Z200" s="37"/>
      <c r="AA200" s="18"/>
      <c r="AB200" s="18"/>
      <c r="AC200" s="18"/>
    </row>
    <row r="201" spans="23:29" customFormat="1" x14ac:dyDescent="0.25">
      <c r="W201" s="37"/>
      <c r="X201" s="52"/>
      <c r="Y201" s="52"/>
      <c r="Z201" s="37"/>
      <c r="AA201" s="18"/>
      <c r="AB201" s="18"/>
      <c r="AC201" s="18"/>
    </row>
    <row r="202" spans="23:29" customFormat="1" x14ac:dyDescent="0.25">
      <c r="W202" s="37"/>
      <c r="X202" s="52"/>
      <c r="Y202" s="52"/>
      <c r="Z202" s="37"/>
      <c r="AA202" s="18"/>
      <c r="AB202" s="18"/>
      <c r="AC202" s="18"/>
    </row>
    <row r="203" spans="23:29" customFormat="1" x14ac:dyDescent="0.25">
      <c r="W203" s="37"/>
      <c r="X203" s="52"/>
      <c r="Y203" s="52"/>
      <c r="Z203" s="37"/>
      <c r="AA203" s="18"/>
      <c r="AB203" s="18"/>
      <c r="AC203" s="18"/>
    </row>
    <row r="204" spans="23:29" customFormat="1" x14ac:dyDescent="0.25">
      <c r="W204" s="37"/>
      <c r="X204" s="52"/>
      <c r="Y204" s="52"/>
      <c r="Z204" s="37"/>
      <c r="AA204" s="18"/>
      <c r="AB204" s="18"/>
      <c r="AC204" s="18"/>
    </row>
    <row r="205" spans="23:29" customFormat="1" x14ac:dyDescent="0.25">
      <c r="W205" s="37"/>
      <c r="X205" s="52"/>
      <c r="Y205" s="52"/>
      <c r="Z205" s="37"/>
      <c r="AA205" s="18"/>
      <c r="AB205" s="18"/>
      <c r="AC205" s="18"/>
    </row>
    <row r="206" spans="23:29" customFormat="1" x14ac:dyDescent="0.25">
      <c r="W206" s="37"/>
      <c r="X206" s="52"/>
      <c r="Y206" s="52"/>
      <c r="Z206" s="37"/>
      <c r="AA206" s="18"/>
      <c r="AB206" s="18"/>
      <c r="AC206" s="18"/>
    </row>
    <row r="207" spans="23:29" customFormat="1" x14ac:dyDescent="0.25">
      <c r="W207" s="37"/>
      <c r="X207" s="52"/>
      <c r="Y207" s="52"/>
      <c r="Z207" s="37"/>
      <c r="AA207" s="18"/>
      <c r="AB207" s="18"/>
      <c r="AC207" s="18"/>
    </row>
    <row r="208" spans="23:29" customFormat="1" x14ac:dyDescent="0.25">
      <c r="W208" s="37"/>
      <c r="X208" s="52"/>
      <c r="Y208" s="52"/>
      <c r="Z208" s="37"/>
      <c r="AA208" s="18"/>
      <c r="AB208" s="18"/>
      <c r="AC208" s="18"/>
    </row>
    <row r="209" spans="23:29" customFormat="1" x14ac:dyDescent="0.25">
      <c r="W209" s="37"/>
      <c r="X209" s="52"/>
      <c r="Y209" s="52"/>
      <c r="Z209" s="37"/>
      <c r="AA209" s="18"/>
      <c r="AB209" s="18"/>
      <c r="AC209" s="18"/>
    </row>
    <row r="210" spans="23:29" customFormat="1" x14ac:dyDescent="0.25">
      <c r="W210" s="37"/>
      <c r="X210" s="52"/>
      <c r="Y210" s="52"/>
      <c r="Z210" s="37"/>
      <c r="AA210" s="18"/>
      <c r="AB210" s="18"/>
      <c r="AC210" s="18"/>
    </row>
    <row r="211" spans="23:29" customFormat="1" x14ac:dyDescent="0.25">
      <c r="W211" s="37"/>
      <c r="X211" s="52"/>
      <c r="Y211" s="52"/>
      <c r="Z211" s="37"/>
      <c r="AA211" s="18"/>
      <c r="AB211" s="18"/>
      <c r="AC211" s="18"/>
    </row>
    <row r="212" spans="23:29" customFormat="1" x14ac:dyDescent="0.25">
      <c r="W212" s="37"/>
      <c r="X212" s="52"/>
      <c r="Y212" s="52"/>
      <c r="Z212" s="37"/>
      <c r="AA212" s="18"/>
      <c r="AB212" s="18"/>
      <c r="AC212" s="18"/>
    </row>
    <row r="213" spans="23:29" customFormat="1" x14ac:dyDescent="0.25">
      <c r="W213" s="37"/>
      <c r="X213" s="52"/>
      <c r="Y213" s="52"/>
      <c r="Z213" s="37"/>
      <c r="AA213" s="18"/>
      <c r="AB213" s="18"/>
      <c r="AC213" s="18"/>
    </row>
    <row r="214" spans="23:29" customFormat="1" x14ac:dyDescent="0.25">
      <c r="W214" s="37"/>
      <c r="X214" s="52"/>
      <c r="Y214" s="52"/>
      <c r="Z214" s="37"/>
      <c r="AA214" s="18"/>
      <c r="AB214" s="18"/>
      <c r="AC214" s="18"/>
    </row>
    <row r="215" spans="23:29" customFormat="1" x14ac:dyDescent="0.25">
      <c r="W215" s="37"/>
      <c r="X215" s="52"/>
      <c r="Y215" s="52"/>
      <c r="Z215" s="37"/>
      <c r="AA215" s="18"/>
      <c r="AB215" s="18"/>
      <c r="AC215" s="18"/>
    </row>
    <row r="216" spans="23:29" customFormat="1" x14ac:dyDescent="0.25">
      <c r="W216" s="37"/>
      <c r="X216" s="52"/>
      <c r="Y216" s="52"/>
      <c r="Z216" s="37"/>
      <c r="AA216" s="18"/>
      <c r="AB216" s="18"/>
      <c r="AC216" s="18"/>
    </row>
    <row r="217" spans="23:29" customFormat="1" x14ac:dyDescent="0.25">
      <c r="W217" s="37"/>
      <c r="X217" s="52"/>
      <c r="Y217" s="52"/>
      <c r="Z217" s="37"/>
      <c r="AA217" s="18"/>
      <c r="AB217" s="18"/>
      <c r="AC217" s="18"/>
    </row>
    <row r="218" spans="23:29" customFormat="1" x14ac:dyDescent="0.25">
      <c r="W218" s="37"/>
      <c r="X218" s="52"/>
      <c r="Y218" s="52"/>
      <c r="Z218" s="37"/>
      <c r="AA218" s="18"/>
      <c r="AB218" s="18"/>
      <c r="AC218" s="18"/>
    </row>
    <row r="219" spans="23:29" customFormat="1" x14ac:dyDescent="0.25">
      <c r="W219" s="37"/>
      <c r="X219" s="52"/>
      <c r="Y219" s="52"/>
      <c r="Z219" s="37"/>
      <c r="AA219" s="18"/>
      <c r="AB219" s="18"/>
      <c r="AC219" s="18"/>
    </row>
    <row r="220" spans="23:29" customFormat="1" x14ac:dyDescent="0.25">
      <c r="W220" s="37"/>
      <c r="X220" s="52"/>
      <c r="Y220" s="52"/>
      <c r="Z220" s="37"/>
      <c r="AA220" s="18"/>
      <c r="AB220" s="18"/>
      <c r="AC220" s="18"/>
    </row>
    <row r="221" spans="23:29" customFormat="1" x14ac:dyDescent="0.25">
      <c r="W221" s="37"/>
      <c r="X221" s="52"/>
      <c r="Y221" s="52"/>
      <c r="Z221" s="37"/>
      <c r="AA221" s="18"/>
      <c r="AB221" s="18"/>
      <c r="AC221" s="18"/>
    </row>
    <row r="222" spans="23:29" customFormat="1" x14ac:dyDescent="0.25">
      <c r="W222" s="37"/>
      <c r="X222" s="52"/>
      <c r="Y222" s="52"/>
      <c r="Z222" s="37"/>
      <c r="AA222" s="18"/>
      <c r="AB222" s="18"/>
      <c r="AC222" s="18"/>
    </row>
    <row r="223" spans="23:29" customFormat="1" x14ac:dyDescent="0.25">
      <c r="W223" s="37"/>
      <c r="X223" s="52"/>
      <c r="Y223" s="52"/>
      <c r="Z223" s="37"/>
      <c r="AA223" s="18"/>
      <c r="AB223" s="18"/>
      <c r="AC223" s="18"/>
    </row>
    <row r="224" spans="23:29" customFormat="1" x14ac:dyDescent="0.25">
      <c r="W224" s="37"/>
      <c r="X224" s="52"/>
      <c r="Y224" s="52"/>
      <c r="Z224" s="37"/>
      <c r="AA224" s="18"/>
      <c r="AB224" s="18"/>
      <c r="AC224" s="18"/>
    </row>
    <row r="225" spans="23:29" customFormat="1" x14ac:dyDescent="0.25">
      <c r="W225" s="37"/>
      <c r="X225" s="52"/>
      <c r="Y225" s="52"/>
      <c r="Z225" s="37"/>
      <c r="AA225" s="18"/>
      <c r="AB225" s="18"/>
      <c r="AC225" s="18"/>
    </row>
    <row r="226" spans="23:29" customFormat="1" x14ac:dyDescent="0.25">
      <c r="W226" s="37"/>
      <c r="X226" s="52"/>
      <c r="Y226" s="52"/>
      <c r="Z226" s="37"/>
      <c r="AA226" s="18"/>
      <c r="AB226" s="18"/>
      <c r="AC226" s="18"/>
    </row>
    <row r="227" spans="23:29" customFormat="1" x14ac:dyDescent="0.25">
      <c r="W227" s="37"/>
      <c r="X227" s="52"/>
      <c r="Y227" s="52"/>
      <c r="Z227" s="37"/>
      <c r="AA227" s="18"/>
      <c r="AB227" s="18"/>
      <c r="AC227" s="18"/>
    </row>
    <row r="228" spans="23:29" customFormat="1" x14ac:dyDescent="0.25">
      <c r="W228" s="37"/>
      <c r="X228" s="52"/>
      <c r="Y228" s="52"/>
      <c r="Z228" s="37"/>
      <c r="AA228" s="18"/>
      <c r="AB228" s="18"/>
      <c r="AC228" s="18"/>
    </row>
    <row r="229" spans="23:29" customFormat="1" x14ac:dyDescent="0.25">
      <c r="W229" s="37"/>
      <c r="X229" s="52"/>
      <c r="Y229" s="52"/>
      <c r="Z229" s="37"/>
      <c r="AA229" s="18"/>
      <c r="AB229" s="18"/>
      <c r="AC229" s="18"/>
    </row>
    <row r="230" spans="23:29" customFormat="1" x14ac:dyDescent="0.25">
      <c r="W230" s="37"/>
      <c r="X230" s="52"/>
      <c r="Y230" s="52"/>
      <c r="Z230" s="37"/>
      <c r="AA230" s="18"/>
      <c r="AB230" s="18"/>
      <c r="AC230" s="18"/>
    </row>
    <row r="231" spans="23:29" customFormat="1" x14ac:dyDescent="0.25">
      <c r="W231" s="37"/>
      <c r="X231" s="52"/>
      <c r="Y231" s="52"/>
      <c r="Z231" s="37"/>
      <c r="AA231" s="18"/>
      <c r="AB231" s="18"/>
      <c r="AC231" s="18"/>
    </row>
    <row r="232" spans="23:29" customFormat="1" x14ac:dyDescent="0.25">
      <c r="W232" s="37"/>
      <c r="X232" s="52"/>
      <c r="Y232" s="52"/>
      <c r="Z232" s="37"/>
      <c r="AA232" s="18"/>
      <c r="AB232" s="18"/>
      <c r="AC232" s="18"/>
    </row>
    <row r="233" spans="23:29" customFormat="1" x14ac:dyDescent="0.25">
      <c r="W233" s="37"/>
      <c r="X233" s="52"/>
      <c r="Y233" s="52"/>
      <c r="Z233" s="37"/>
      <c r="AA233" s="18"/>
      <c r="AB233" s="18"/>
      <c r="AC233" s="18"/>
    </row>
    <row r="234" spans="23:29" customFormat="1" x14ac:dyDescent="0.25">
      <c r="W234" s="37"/>
      <c r="X234" s="52"/>
      <c r="Y234" s="52"/>
      <c r="Z234" s="37"/>
      <c r="AA234" s="18"/>
      <c r="AB234" s="18"/>
      <c r="AC234" s="18"/>
    </row>
    <row r="235" spans="23:29" customFormat="1" x14ac:dyDescent="0.25">
      <c r="W235" s="37"/>
      <c r="X235" s="52"/>
      <c r="Y235" s="52"/>
      <c r="Z235" s="37"/>
      <c r="AA235" s="18"/>
      <c r="AB235" s="18"/>
      <c r="AC235" s="18"/>
    </row>
    <row r="236" spans="23:29" customFormat="1" x14ac:dyDescent="0.25">
      <c r="W236" s="37"/>
      <c r="X236" s="52"/>
      <c r="Y236" s="52"/>
      <c r="Z236" s="37"/>
      <c r="AA236" s="18"/>
      <c r="AB236" s="18"/>
      <c r="AC236" s="18"/>
    </row>
    <row r="237" spans="23:29" customFormat="1" x14ac:dyDescent="0.25">
      <c r="W237" s="37"/>
      <c r="X237" s="52"/>
      <c r="Y237" s="52"/>
      <c r="Z237" s="37"/>
      <c r="AA237" s="18"/>
      <c r="AB237" s="18"/>
      <c r="AC237" s="18"/>
    </row>
    <row r="238" spans="23:29" customFormat="1" x14ac:dyDescent="0.25">
      <c r="W238" s="37"/>
      <c r="X238" s="52"/>
      <c r="Y238" s="52"/>
      <c r="Z238" s="37"/>
      <c r="AA238" s="18"/>
      <c r="AB238" s="18"/>
      <c r="AC238" s="18"/>
    </row>
    <row r="239" spans="23:29" customFormat="1" x14ac:dyDescent="0.25">
      <c r="W239" s="37"/>
      <c r="X239" s="52"/>
      <c r="Y239" s="52"/>
      <c r="Z239" s="37"/>
      <c r="AA239" s="18"/>
      <c r="AB239" s="18"/>
      <c r="AC239" s="18"/>
    </row>
    <row r="240" spans="23:29" customFormat="1" x14ac:dyDescent="0.25">
      <c r="W240" s="37"/>
      <c r="X240" s="52"/>
      <c r="Y240" s="52"/>
      <c r="Z240" s="37"/>
      <c r="AA240" s="18"/>
      <c r="AB240" s="18"/>
      <c r="AC240" s="18"/>
    </row>
    <row r="241" spans="23:29" customFormat="1" x14ac:dyDescent="0.25">
      <c r="W241" s="37"/>
      <c r="X241" s="52"/>
      <c r="Y241" s="52"/>
      <c r="Z241" s="37"/>
      <c r="AA241" s="18"/>
      <c r="AB241" s="18"/>
      <c r="AC241" s="18"/>
    </row>
    <row r="242" spans="23:29" customFormat="1" x14ac:dyDescent="0.25">
      <c r="W242" s="37"/>
      <c r="X242" s="52"/>
      <c r="Y242" s="52"/>
      <c r="Z242" s="37"/>
      <c r="AA242" s="18"/>
      <c r="AB242" s="18"/>
      <c r="AC242" s="18"/>
    </row>
    <row r="243" spans="23:29" customFormat="1" x14ac:dyDescent="0.25">
      <c r="W243" s="37"/>
      <c r="X243" s="52"/>
      <c r="Y243" s="52"/>
      <c r="Z243" s="37"/>
      <c r="AA243" s="18"/>
      <c r="AB243" s="18"/>
      <c r="AC243" s="18"/>
    </row>
    <row r="244" spans="23:29" customFormat="1" x14ac:dyDescent="0.25">
      <c r="W244" s="37"/>
      <c r="X244" s="52"/>
      <c r="Y244" s="52"/>
      <c r="Z244" s="37"/>
      <c r="AA244" s="18"/>
      <c r="AB244" s="18"/>
      <c r="AC244" s="18"/>
    </row>
    <row r="245" spans="23:29" customFormat="1" x14ac:dyDescent="0.25">
      <c r="W245" s="37"/>
      <c r="X245" s="52"/>
      <c r="Y245" s="52"/>
      <c r="Z245" s="37"/>
      <c r="AA245" s="18"/>
      <c r="AB245" s="18"/>
      <c r="AC245" s="18"/>
    </row>
    <row r="246" spans="23:29" customFormat="1" x14ac:dyDescent="0.25">
      <c r="W246" s="37"/>
      <c r="X246" s="52"/>
      <c r="Y246" s="52"/>
      <c r="Z246" s="37"/>
      <c r="AA246" s="18"/>
      <c r="AB246" s="18"/>
      <c r="AC246" s="18"/>
    </row>
    <row r="247" spans="23:29" customFormat="1" x14ac:dyDescent="0.25">
      <c r="W247" s="37"/>
      <c r="X247" s="52"/>
      <c r="Y247" s="52"/>
      <c r="Z247" s="37"/>
      <c r="AA247" s="18"/>
      <c r="AB247" s="18"/>
      <c r="AC247" s="18"/>
    </row>
    <row r="248" spans="23:29" customFormat="1" x14ac:dyDescent="0.25">
      <c r="W248" s="37"/>
      <c r="X248" s="52"/>
      <c r="Y248" s="52"/>
      <c r="Z248" s="37"/>
      <c r="AA248" s="18"/>
      <c r="AB248" s="18"/>
      <c r="AC248" s="18"/>
    </row>
    <row r="249" spans="23:29" customFormat="1" x14ac:dyDescent="0.25">
      <c r="W249" s="37"/>
      <c r="X249" s="52"/>
      <c r="Y249" s="52"/>
      <c r="Z249" s="37"/>
      <c r="AA249" s="18"/>
      <c r="AB249" s="18"/>
      <c r="AC249" s="18"/>
    </row>
    <row r="250" spans="23:29" customFormat="1" x14ac:dyDescent="0.25">
      <c r="W250" s="37"/>
      <c r="X250" s="52"/>
      <c r="Y250" s="52"/>
      <c r="Z250" s="37"/>
      <c r="AA250" s="18"/>
      <c r="AB250" s="18"/>
      <c r="AC250" s="18"/>
    </row>
    <row r="251" spans="23:29" customFormat="1" x14ac:dyDescent="0.25">
      <c r="W251" s="37"/>
      <c r="X251" s="52"/>
      <c r="Y251" s="52"/>
      <c r="Z251" s="37"/>
      <c r="AA251" s="18"/>
      <c r="AB251" s="18"/>
      <c r="AC251" s="18"/>
    </row>
    <row r="252" spans="23:29" customFormat="1" x14ac:dyDescent="0.25">
      <c r="W252" s="37"/>
      <c r="X252" s="52"/>
      <c r="Y252" s="52"/>
      <c r="Z252" s="37"/>
      <c r="AA252" s="18"/>
      <c r="AB252" s="18"/>
      <c r="AC252" s="18"/>
    </row>
    <row r="253" spans="23:29" customFormat="1" x14ac:dyDescent="0.25">
      <c r="W253" s="37"/>
      <c r="X253" s="52"/>
      <c r="Y253" s="52"/>
      <c r="Z253" s="37"/>
      <c r="AA253" s="18"/>
      <c r="AB253" s="18"/>
      <c r="AC253" s="18"/>
    </row>
    <row r="254" spans="23:29" customFormat="1" x14ac:dyDescent="0.25">
      <c r="W254" s="37"/>
      <c r="X254" s="52"/>
      <c r="Y254" s="52"/>
      <c r="Z254" s="37"/>
      <c r="AA254" s="18"/>
      <c r="AB254" s="18"/>
      <c r="AC254" s="18"/>
    </row>
    <row r="255" spans="23:29" customFormat="1" x14ac:dyDescent="0.25">
      <c r="W255" s="37"/>
      <c r="X255" s="52"/>
      <c r="Y255" s="52"/>
      <c r="Z255" s="37"/>
      <c r="AA255" s="18"/>
      <c r="AB255" s="18"/>
      <c r="AC255" s="18"/>
    </row>
    <row r="256" spans="23:29" customFormat="1" x14ac:dyDescent="0.25">
      <c r="W256" s="37"/>
      <c r="X256" s="52"/>
      <c r="Y256" s="52"/>
      <c r="Z256" s="37"/>
      <c r="AA256" s="18"/>
      <c r="AB256" s="18"/>
      <c r="AC256" s="18"/>
    </row>
    <row r="257" spans="23:29" customFormat="1" x14ac:dyDescent="0.25">
      <c r="W257" s="37"/>
      <c r="X257" s="52"/>
      <c r="Y257" s="52"/>
      <c r="Z257" s="37"/>
      <c r="AA257" s="18"/>
      <c r="AB257" s="18"/>
      <c r="AC257" s="18"/>
    </row>
    <row r="258" spans="23:29" customFormat="1" x14ac:dyDescent="0.25">
      <c r="W258" s="37"/>
      <c r="X258" s="52"/>
      <c r="Y258" s="52"/>
      <c r="Z258" s="37"/>
      <c r="AA258" s="18"/>
      <c r="AB258" s="18"/>
      <c r="AC258" s="18"/>
    </row>
    <row r="259" spans="23:29" customFormat="1" x14ac:dyDescent="0.25">
      <c r="W259" s="37"/>
      <c r="X259" s="52"/>
      <c r="Y259" s="52"/>
      <c r="Z259" s="37"/>
      <c r="AA259" s="18"/>
      <c r="AB259" s="18"/>
      <c r="AC259" s="18"/>
    </row>
    <row r="260" spans="23:29" customFormat="1" x14ac:dyDescent="0.25">
      <c r="W260" s="37"/>
      <c r="X260" s="52"/>
      <c r="Y260" s="52"/>
      <c r="Z260" s="37"/>
      <c r="AA260" s="18"/>
      <c r="AB260" s="18"/>
      <c r="AC260" s="18"/>
    </row>
    <row r="261" spans="23:29" customFormat="1" x14ac:dyDescent="0.25">
      <c r="W261" s="37"/>
      <c r="X261" s="52"/>
      <c r="Y261" s="52"/>
      <c r="Z261" s="37"/>
      <c r="AA261" s="18"/>
      <c r="AB261" s="18"/>
      <c r="AC261" s="18"/>
    </row>
    <row r="262" spans="23:29" customFormat="1" x14ac:dyDescent="0.25">
      <c r="W262" s="37"/>
      <c r="X262" s="52"/>
      <c r="Y262" s="52"/>
      <c r="Z262" s="37"/>
      <c r="AA262" s="18"/>
      <c r="AB262" s="18"/>
      <c r="AC262" s="18"/>
    </row>
    <row r="263" spans="23:29" customFormat="1" x14ac:dyDescent="0.25">
      <c r="W263" s="37"/>
      <c r="X263" s="52"/>
      <c r="Y263" s="52"/>
      <c r="Z263" s="37"/>
      <c r="AA263" s="18"/>
      <c r="AB263" s="18"/>
      <c r="AC263" s="18"/>
    </row>
    <row r="264" spans="23:29" customFormat="1" x14ac:dyDescent="0.25">
      <c r="W264" s="37"/>
      <c r="X264" s="52"/>
      <c r="Y264" s="52"/>
      <c r="Z264" s="37"/>
      <c r="AA264" s="18"/>
      <c r="AB264" s="18"/>
      <c r="AC264" s="18"/>
    </row>
    <row r="265" spans="23:29" customFormat="1" x14ac:dyDescent="0.25">
      <c r="W265" s="37"/>
      <c r="X265" s="52"/>
      <c r="Y265" s="52"/>
      <c r="Z265" s="37"/>
      <c r="AA265" s="18"/>
      <c r="AB265" s="18"/>
      <c r="AC265" s="18"/>
    </row>
    <row r="266" spans="23:29" customFormat="1" x14ac:dyDescent="0.25">
      <c r="W266" s="37"/>
      <c r="X266" s="52"/>
      <c r="Y266" s="52"/>
      <c r="Z266" s="37"/>
      <c r="AA266" s="18"/>
      <c r="AB266" s="18"/>
      <c r="AC266" s="18"/>
    </row>
    <row r="267" spans="23:29" customFormat="1" x14ac:dyDescent="0.25">
      <c r="W267" s="37"/>
      <c r="X267" s="52"/>
      <c r="Y267" s="52"/>
      <c r="Z267" s="37"/>
      <c r="AA267" s="18"/>
      <c r="AB267" s="18"/>
      <c r="AC267" s="18"/>
    </row>
    <row r="268" spans="23:29" customFormat="1" x14ac:dyDescent="0.25">
      <c r="W268" s="37"/>
      <c r="X268" s="52"/>
      <c r="Y268" s="52"/>
      <c r="Z268" s="37"/>
      <c r="AA268" s="18"/>
      <c r="AB268" s="18"/>
      <c r="AC268" s="18"/>
    </row>
    <row r="269" spans="23:29" customFormat="1" x14ac:dyDescent="0.25">
      <c r="W269" s="37"/>
      <c r="X269" s="52"/>
      <c r="Y269" s="52"/>
      <c r="Z269" s="37"/>
      <c r="AA269" s="18"/>
      <c r="AB269" s="18"/>
      <c r="AC269" s="18"/>
    </row>
    <row r="270" spans="23:29" customFormat="1" x14ac:dyDescent="0.25">
      <c r="W270" s="37"/>
      <c r="X270" s="52"/>
      <c r="Y270" s="52"/>
      <c r="Z270" s="37"/>
      <c r="AA270" s="18"/>
      <c r="AB270" s="18"/>
      <c r="AC270" s="18"/>
    </row>
    <row r="271" spans="23:29" customFormat="1" x14ac:dyDescent="0.25">
      <c r="W271" s="37"/>
      <c r="X271" s="52"/>
      <c r="Y271" s="52"/>
      <c r="Z271" s="37"/>
      <c r="AA271" s="18"/>
      <c r="AB271" s="18"/>
      <c r="AC271" s="18"/>
    </row>
    <row r="272" spans="23:29" customFormat="1" x14ac:dyDescent="0.25">
      <c r="W272" s="37"/>
      <c r="X272" s="52"/>
      <c r="Y272" s="52"/>
      <c r="Z272" s="37"/>
      <c r="AA272" s="18"/>
      <c r="AB272" s="18"/>
      <c r="AC272" s="18"/>
    </row>
    <row r="273" spans="23:29" customFormat="1" x14ac:dyDescent="0.25">
      <c r="W273" s="37"/>
      <c r="X273" s="52"/>
      <c r="Y273" s="52"/>
      <c r="Z273" s="37"/>
      <c r="AA273" s="18"/>
      <c r="AB273" s="18"/>
      <c r="AC273" s="18"/>
    </row>
    <row r="274" spans="23:29" customFormat="1" x14ac:dyDescent="0.25">
      <c r="W274" s="37"/>
      <c r="X274" s="52"/>
      <c r="Y274" s="52"/>
      <c r="Z274" s="37"/>
      <c r="AA274" s="18"/>
      <c r="AB274" s="18"/>
      <c r="AC274" s="18"/>
    </row>
    <row r="275" spans="23:29" customFormat="1" x14ac:dyDescent="0.25">
      <c r="W275" s="37"/>
      <c r="X275" s="52"/>
      <c r="Y275" s="52"/>
      <c r="Z275" s="37"/>
      <c r="AA275" s="18"/>
      <c r="AB275" s="18"/>
      <c r="AC275" s="18"/>
    </row>
    <row r="276" spans="23:29" customFormat="1" x14ac:dyDescent="0.25">
      <c r="W276" s="37"/>
      <c r="X276" s="52"/>
      <c r="Y276" s="52"/>
      <c r="Z276" s="37"/>
      <c r="AA276" s="18"/>
      <c r="AB276" s="18"/>
      <c r="AC276" s="18"/>
    </row>
    <row r="277" spans="23:29" customFormat="1" x14ac:dyDescent="0.25">
      <c r="W277" s="37"/>
      <c r="X277" s="52"/>
      <c r="Y277" s="52"/>
      <c r="Z277" s="37"/>
      <c r="AA277" s="18"/>
      <c r="AB277" s="18"/>
      <c r="AC277" s="18"/>
    </row>
    <row r="278" spans="23:29" customFormat="1" x14ac:dyDescent="0.25">
      <c r="W278" s="37"/>
      <c r="X278" s="52"/>
      <c r="Y278" s="52"/>
      <c r="Z278" s="37"/>
      <c r="AA278" s="18"/>
      <c r="AB278" s="18"/>
      <c r="AC278" s="18"/>
    </row>
    <row r="279" spans="23:29" customFormat="1" x14ac:dyDescent="0.25">
      <c r="W279" s="37"/>
      <c r="X279" s="52"/>
      <c r="Y279" s="52"/>
      <c r="Z279" s="37"/>
      <c r="AA279" s="18"/>
      <c r="AB279" s="18"/>
      <c r="AC279" s="18"/>
    </row>
    <row r="280" spans="23:29" customFormat="1" x14ac:dyDescent="0.25">
      <c r="W280" s="37"/>
      <c r="X280" s="52"/>
      <c r="Y280" s="52"/>
      <c r="Z280" s="37"/>
      <c r="AA280" s="18"/>
      <c r="AB280" s="18"/>
      <c r="AC280" s="18"/>
    </row>
    <row r="281" spans="23:29" customFormat="1" x14ac:dyDescent="0.25">
      <c r="W281" s="37"/>
      <c r="X281" s="52"/>
      <c r="Y281" s="52"/>
      <c r="Z281" s="37"/>
      <c r="AA281" s="18"/>
      <c r="AB281" s="18"/>
      <c r="AC281" s="18"/>
    </row>
    <row r="282" spans="23:29" customFormat="1" x14ac:dyDescent="0.25">
      <c r="W282" s="37"/>
      <c r="X282" s="52"/>
      <c r="Y282" s="52"/>
      <c r="Z282" s="37"/>
      <c r="AA282" s="18"/>
      <c r="AB282" s="18"/>
      <c r="AC282" s="18"/>
    </row>
    <row r="283" spans="23:29" customFormat="1" x14ac:dyDescent="0.25">
      <c r="W283" s="37"/>
      <c r="X283" s="52"/>
      <c r="Y283" s="52"/>
      <c r="Z283" s="37"/>
      <c r="AA283" s="18"/>
      <c r="AB283" s="18"/>
      <c r="AC283" s="18"/>
    </row>
    <row r="284" spans="23:29" customFormat="1" x14ac:dyDescent="0.25">
      <c r="W284" s="37"/>
      <c r="X284" s="52"/>
      <c r="Y284" s="52"/>
      <c r="Z284" s="37"/>
      <c r="AA284" s="18"/>
      <c r="AB284" s="18"/>
      <c r="AC284" s="18"/>
    </row>
    <row r="285" spans="23:29" customFormat="1" x14ac:dyDescent="0.25">
      <c r="W285" s="37"/>
      <c r="X285" s="52"/>
      <c r="Y285" s="52"/>
      <c r="Z285" s="37"/>
      <c r="AA285" s="18"/>
      <c r="AB285" s="18"/>
      <c r="AC285" s="18"/>
    </row>
    <row r="286" spans="23:29" customFormat="1" x14ac:dyDescent="0.25">
      <c r="W286" s="37"/>
      <c r="X286" s="52"/>
      <c r="Y286" s="52"/>
      <c r="Z286" s="37"/>
      <c r="AA286" s="18"/>
      <c r="AB286" s="18"/>
      <c r="AC286" s="18"/>
    </row>
    <row r="287" spans="23:29" customFormat="1" x14ac:dyDescent="0.25">
      <c r="W287" s="37"/>
      <c r="X287" s="52"/>
      <c r="Y287" s="52"/>
      <c r="Z287" s="37"/>
      <c r="AA287" s="18"/>
      <c r="AB287" s="18"/>
      <c r="AC287" s="18"/>
    </row>
    <row r="288" spans="23:29" customFormat="1" x14ac:dyDescent="0.25">
      <c r="W288" s="37"/>
      <c r="X288" s="52"/>
      <c r="Y288" s="52"/>
      <c r="Z288" s="37"/>
      <c r="AA288" s="18"/>
      <c r="AB288" s="18"/>
      <c r="AC288" s="18"/>
    </row>
    <row r="289" spans="23:29" customFormat="1" x14ac:dyDescent="0.25">
      <c r="W289" s="37"/>
      <c r="X289" s="52"/>
      <c r="Y289" s="52"/>
      <c r="Z289" s="37"/>
      <c r="AA289" s="18"/>
      <c r="AB289" s="18"/>
      <c r="AC289" s="18"/>
    </row>
    <row r="290" spans="23:29" customFormat="1" x14ac:dyDescent="0.25">
      <c r="W290" s="37"/>
      <c r="X290" s="52"/>
      <c r="Y290" s="52"/>
      <c r="Z290" s="37"/>
      <c r="AA290" s="18"/>
      <c r="AB290" s="18"/>
      <c r="AC290" s="18"/>
    </row>
    <row r="291" spans="23:29" customFormat="1" x14ac:dyDescent="0.25">
      <c r="W291" s="37"/>
      <c r="X291" s="52"/>
      <c r="Y291" s="52"/>
      <c r="Z291" s="37"/>
      <c r="AA291" s="18"/>
      <c r="AB291" s="18"/>
      <c r="AC291" s="18"/>
    </row>
    <row r="292" spans="23:29" customFormat="1" x14ac:dyDescent="0.25">
      <c r="W292" s="37"/>
      <c r="X292" s="52"/>
      <c r="Y292" s="52"/>
      <c r="Z292" s="37"/>
      <c r="AA292" s="18"/>
      <c r="AB292" s="18"/>
      <c r="AC292" s="18"/>
    </row>
    <row r="293" spans="23:29" customFormat="1" x14ac:dyDescent="0.25">
      <c r="W293" s="37"/>
      <c r="X293" s="52"/>
      <c r="Y293" s="52"/>
      <c r="Z293" s="37"/>
      <c r="AA293" s="18"/>
      <c r="AB293" s="18"/>
      <c r="AC293" s="18"/>
    </row>
    <row r="294" spans="23:29" customFormat="1" x14ac:dyDescent="0.25">
      <c r="W294" s="37"/>
      <c r="X294" s="52"/>
      <c r="Y294" s="52"/>
      <c r="Z294" s="37"/>
      <c r="AA294" s="18"/>
      <c r="AB294" s="18"/>
      <c r="AC294" s="18"/>
    </row>
    <row r="295" spans="23:29" customFormat="1" x14ac:dyDescent="0.25">
      <c r="W295" s="37"/>
      <c r="X295" s="52"/>
      <c r="Y295" s="52"/>
      <c r="Z295" s="37"/>
      <c r="AA295" s="18"/>
      <c r="AB295" s="18"/>
      <c r="AC295" s="18"/>
    </row>
    <row r="296" spans="23:29" customFormat="1" x14ac:dyDescent="0.25">
      <c r="W296" s="37"/>
      <c r="X296" s="52"/>
      <c r="Y296" s="52"/>
      <c r="Z296" s="37"/>
      <c r="AA296" s="18"/>
      <c r="AB296" s="18"/>
      <c r="AC296" s="18"/>
    </row>
    <row r="297" spans="23:29" customFormat="1" x14ac:dyDescent="0.25">
      <c r="W297" s="37"/>
      <c r="X297" s="52"/>
      <c r="Y297" s="52"/>
      <c r="Z297" s="37"/>
      <c r="AA297" s="18"/>
      <c r="AB297" s="18"/>
      <c r="AC297" s="18"/>
    </row>
    <row r="298" spans="23:29" customFormat="1" x14ac:dyDescent="0.25">
      <c r="W298" s="37"/>
      <c r="X298" s="52"/>
      <c r="Y298" s="52"/>
      <c r="Z298" s="37"/>
      <c r="AA298" s="18"/>
      <c r="AB298" s="18"/>
      <c r="AC298" s="18"/>
    </row>
    <row r="299" spans="23:29" customFormat="1" x14ac:dyDescent="0.25">
      <c r="W299" s="37"/>
      <c r="X299" s="52"/>
      <c r="Y299" s="52"/>
      <c r="Z299" s="37"/>
      <c r="AA299" s="18"/>
      <c r="AB299" s="18"/>
      <c r="AC299" s="18"/>
    </row>
    <row r="300" spans="23:29" customFormat="1" x14ac:dyDescent="0.25">
      <c r="W300" s="37"/>
      <c r="X300" s="52"/>
      <c r="Y300" s="52"/>
      <c r="Z300" s="37"/>
      <c r="AA300" s="18"/>
      <c r="AB300" s="18"/>
      <c r="AC300" s="18"/>
    </row>
    <row r="301" spans="23:29" customFormat="1" x14ac:dyDescent="0.25">
      <c r="W301" s="37"/>
      <c r="X301" s="52"/>
      <c r="Y301" s="52"/>
      <c r="Z301" s="37"/>
      <c r="AA301" s="18"/>
      <c r="AB301" s="18"/>
      <c r="AC301" s="18"/>
    </row>
    <row r="302" spans="23:29" customFormat="1" x14ac:dyDescent="0.25">
      <c r="W302" s="37"/>
      <c r="X302" s="52"/>
      <c r="Y302" s="52"/>
      <c r="Z302" s="37"/>
      <c r="AA302" s="18"/>
      <c r="AB302" s="18"/>
      <c r="AC302" s="18"/>
    </row>
    <row r="303" spans="23:29" customFormat="1" x14ac:dyDescent="0.25">
      <c r="W303" s="37"/>
      <c r="X303" s="52"/>
      <c r="Y303" s="52"/>
      <c r="Z303" s="37"/>
      <c r="AA303" s="18"/>
      <c r="AB303" s="18"/>
      <c r="AC303" s="18"/>
    </row>
    <row r="304" spans="23:29" customFormat="1" x14ac:dyDescent="0.25">
      <c r="W304" s="37"/>
      <c r="X304" s="52"/>
      <c r="Y304" s="52"/>
      <c r="Z304" s="37"/>
      <c r="AA304" s="18"/>
      <c r="AB304" s="18"/>
      <c r="AC304" s="18"/>
    </row>
    <row r="305" spans="23:29" customFormat="1" x14ac:dyDescent="0.25">
      <c r="W305" s="37"/>
      <c r="X305" s="52"/>
      <c r="Y305" s="52"/>
      <c r="Z305" s="37"/>
      <c r="AA305" s="18"/>
      <c r="AB305" s="18"/>
      <c r="AC305" s="18"/>
    </row>
    <row r="306" spans="23:29" customFormat="1" x14ac:dyDescent="0.25">
      <c r="W306" s="37"/>
      <c r="X306" s="52"/>
      <c r="Y306" s="52"/>
      <c r="Z306" s="37"/>
      <c r="AA306" s="18"/>
      <c r="AB306" s="18"/>
      <c r="AC306" s="18"/>
    </row>
    <row r="307" spans="23:29" customFormat="1" x14ac:dyDescent="0.25">
      <c r="W307" s="37"/>
      <c r="X307" s="52"/>
      <c r="Y307" s="52"/>
      <c r="Z307" s="37"/>
      <c r="AA307" s="18"/>
      <c r="AB307" s="18"/>
      <c r="AC307" s="18"/>
    </row>
    <row r="308" spans="23:29" customFormat="1" x14ac:dyDescent="0.25">
      <c r="W308" s="37"/>
      <c r="X308" s="52"/>
      <c r="Y308" s="52"/>
      <c r="Z308" s="37"/>
      <c r="AA308" s="18"/>
      <c r="AB308" s="18"/>
      <c r="AC308" s="18"/>
    </row>
    <row r="309" spans="23:29" customFormat="1" x14ac:dyDescent="0.25">
      <c r="W309" s="37"/>
      <c r="X309" s="52"/>
      <c r="Y309" s="52"/>
      <c r="Z309" s="37"/>
      <c r="AA309" s="18"/>
      <c r="AB309" s="18"/>
      <c r="AC309" s="18"/>
    </row>
    <row r="310" spans="23:29" customFormat="1" x14ac:dyDescent="0.25">
      <c r="W310" s="37"/>
      <c r="X310" s="52"/>
      <c r="Y310" s="52"/>
      <c r="Z310" s="37"/>
      <c r="AA310" s="18"/>
      <c r="AB310" s="18"/>
      <c r="AC310" s="18"/>
    </row>
    <row r="311" spans="23:29" customFormat="1" x14ac:dyDescent="0.25">
      <c r="W311" s="37"/>
      <c r="X311" s="52"/>
      <c r="Y311" s="52"/>
      <c r="Z311" s="37"/>
      <c r="AA311" s="18"/>
      <c r="AB311" s="18"/>
      <c r="AC311" s="18"/>
    </row>
    <row r="312" spans="23:29" customFormat="1" x14ac:dyDescent="0.25">
      <c r="W312" s="37"/>
      <c r="X312" s="52"/>
      <c r="Y312" s="52"/>
      <c r="Z312" s="37"/>
      <c r="AA312" s="18"/>
      <c r="AB312" s="18"/>
      <c r="AC312" s="18"/>
    </row>
    <row r="313" spans="23:29" customFormat="1" x14ac:dyDescent="0.25">
      <c r="W313" s="37"/>
      <c r="X313" s="52"/>
      <c r="Y313" s="52"/>
      <c r="Z313" s="37"/>
      <c r="AA313" s="18"/>
      <c r="AB313" s="18"/>
      <c r="AC313" s="18"/>
    </row>
    <row r="314" spans="23:29" customFormat="1" x14ac:dyDescent="0.25">
      <c r="W314" s="37"/>
      <c r="X314" s="52"/>
      <c r="Y314" s="52"/>
      <c r="Z314" s="37"/>
      <c r="AA314" s="18"/>
      <c r="AB314" s="18"/>
      <c r="AC314" s="18"/>
    </row>
    <row r="315" spans="23:29" customFormat="1" x14ac:dyDescent="0.25">
      <c r="W315" s="37"/>
      <c r="X315" s="52"/>
      <c r="Y315" s="52"/>
      <c r="Z315" s="37"/>
      <c r="AA315" s="18"/>
      <c r="AB315" s="18"/>
      <c r="AC315" s="18"/>
    </row>
    <row r="316" spans="23:29" customFormat="1" x14ac:dyDescent="0.25">
      <c r="W316" s="37"/>
      <c r="X316" s="52"/>
      <c r="Y316" s="52"/>
      <c r="Z316" s="37"/>
      <c r="AA316" s="18"/>
      <c r="AB316" s="18"/>
      <c r="AC316" s="18"/>
    </row>
    <row r="317" spans="23:29" customFormat="1" x14ac:dyDescent="0.25">
      <c r="W317" s="37"/>
      <c r="X317" s="52"/>
      <c r="Y317" s="52"/>
      <c r="Z317" s="37"/>
      <c r="AA317" s="18"/>
      <c r="AB317" s="18"/>
      <c r="AC317" s="18"/>
    </row>
    <row r="318" spans="23:29" customFormat="1" x14ac:dyDescent="0.25">
      <c r="W318" s="37"/>
      <c r="X318" s="52"/>
      <c r="Y318" s="52"/>
      <c r="Z318" s="37"/>
      <c r="AA318" s="18"/>
      <c r="AB318" s="18"/>
      <c r="AC318" s="18"/>
    </row>
    <row r="319" spans="23:29" customFormat="1" x14ac:dyDescent="0.25">
      <c r="W319" s="37"/>
      <c r="X319" s="52"/>
      <c r="Y319" s="52"/>
      <c r="Z319" s="37"/>
      <c r="AA319" s="18"/>
      <c r="AB319" s="18"/>
      <c r="AC319" s="18"/>
    </row>
    <row r="320" spans="23:29" customFormat="1" x14ac:dyDescent="0.25">
      <c r="W320" s="37"/>
      <c r="X320" s="52"/>
      <c r="Y320" s="52"/>
      <c r="Z320" s="37"/>
      <c r="AA320" s="18"/>
      <c r="AB320" s="18"/>
      <c r="AC320" s="18"/>
    </row>
    <row r="321" spans="23:29" customFormat="1" x14ac:dyDescent="0.25">
      <c r="W321" s="37"/>
      <c r="X321" s="52"/>
      <c r="Y321" s="52"/>
      <c r="Z321" s="37"/>
      <c r="AA321" s="18"/>
      <c r="AB321" s="18"/>
      <c r="AC321" s="18"/>
    </row>
    <row r="322" spans="23:29" customFormat="1" x14ac:dyDescent="0.25">
      <c r="W322" s="37"/>
      <c r="X322" s="52"/>
      <c r="Y322" s="52"/>
      <c r="Z322" s="37"/>
      <c r="AA322" s="18"/>
      <c r="AB322" s="18"/>
      <c r="AC322" s="18"/>
    </row>
    <row r="323" spans="23:29" customFormat="1" x14ac:dyDescent="0.25">
      <c r="W323" s="37"/>
      <c r="X323" s="52"/>
      <c r="Y323" s="52"/>
      <c r="Z323" s="37"/>
      <c r="AA323" s="18"/>
      <c r="AB323" s="18"/>
      <c r="AC323" s="18"/>
    </row>
    <row r="324" spans="23:29" customFormat="1" x14ac:dyDescent="0.25">
      <c r="W324" s="37"/>
      <c r="X324" s="52"/>
      <c r="Y324" s="52"/>
      <c r="Z324" s="37"/>
      <c r="AA324" s="18"/>
      <c r="AB324" s="18"/>
      <c r="AC324" s="18"/>
    </row>
    <row r="325" spans="23:29" customFormat="1" x14ac:dyDescent="0.25">
      <c r="W325" s="37"/>
      <c r="X325" s="52"/>
      <c r="Y325" s="52"/>
      <c r="Z325" s="37"/>
      <c r="AA325" s="18"/>
      <c r="AB325" s="18"/>
      <c r="AC325" s="18"/>
    </row>
    <row r="326" spans="23:29" customFormat="1" x14ac:dyDescent="0.25">
      <c r="W326" s="37"/>
      <c r="X326" s="52"/>
      <c r="Y326" s="52"/>
      <c r="Z326" s="37"/>
      <c r="AA326" s="18"/>
      <c r="AB326" s="18"/>
      <c r="AC326" s="18"/>
    </row>
    <row r="327" spans="23:29" customFormat="1" x14ac:dyDescent="0.25">
      <c r="W327" s="37"/>
      <c r="X327" s="52"/>
      <c r="Y327" s="52"/>
      <c r="Z327" s="37"/>
      <c r="AA327" s="18"/>
      <c r="AB327" s="18"/>
      <c r="AC327" s="18"/>
    </row>
    <row r="328" spans="23:29" customFormat="1" x14ac:dyDescent="0.25">
      <c r="W328" s="37"/>
      <c r="X328" s="52"/>
      <c r="Y328" s="52"/>
      <c r="Z328" s="37"/>
      <c r="AA328" s="18"/>
      <c r="AB328" s="18"/>
      <c r="AC328" s="18"/>
    </row>
    <row r="329" spans="23:29" customFormat="1" x14ac:dyDescent="0.25">
      <c r="W329" s="37"/>
      <c r="X329" s="52"/>
      <c r="Y329" s="52"/>
      <c r="Z329" s="37"/>
      <c r="AA329" s="18"/>
      <c r="AB329" s="18"/>
      <c r="AC329" s="18"/>
    </row>
    <row r="330" spans="23:29" customFormat="1" x14ac:dyDescent="0.25">
      <c r="W330" s="37"/>
      <c r="X330" s="52"/>
      <c r="Y330" s="52"/>
      <c r="Z330" s="37"/>
      <c r="AA330" s="18"/>
      <c r="AB330" s="18"/>
      <c r="AC330" s="18"/>
    </row>
    <row r="331" spans="23:29" customFormat="1" x14ac:dyDescent="0.25">
      <c r="W331" s="37"/>
      <c r="X331" s="52"/>
      <c r="Y331" s="52"/>
      <c r="Z331" s="37"/>
      <c r="AA331" s="18"/>
      <c r="AB331" s="18"/>
      <c r="AC331" s="18"/>
    </row>
    <row r="332" spans="23:29" customFormat="1" x14ac:dyDescent="0.25">
      <c r="W332" s="37"/>
      <c r="X332" s="52"/>
      <c r="Y332" s="52"/>
      <c r="Z332" s="37"/>
      <c r="AA332" s="18"/>
      <c r="AB332" s="18"/>
      <c r="AC332" s="18"/>
    </row>
    <row r="333" spans="23:29" customFormat="1" x14ac:dyDescent="0.25">
      <c r="W333" s="37"/>
      <c r="X333" s="52"/>
      <c r="Y333" s="52"/>
      <c r="Z333" s="37"/>
      <c r="AA333" s="18"/>
      <c r="AB333" s="18"/>
      <c r="AC333" s="18"/>
    </row>
    <row r="334" spans="23:29" customFormat="1" x14ac:dyDescent="0.25">
      <c r="W334" s="37"/>
      <c r="X334" s="52"/>
      <c r="Y334" s="52"/>
      <c r="Z334" s="37"/>
      <c r="AA334" s="18"/>
      <c r="AB334" s="18"/>
      <c r="AC334" s="18"/>
    </row>
    <row r="335" spans="23:29" customFormat="1" x14ac:dyDescent="0.25">
      <c r="W335" s="37"/>
      <c r="X335" s="52"/>
      <c r="Y335" s="52"/>
      <c r="Z335" s="37"/>
      <c r="AA335" s="18"/>
      <c r="AB335" s="18"/>
      <c r="AC335" s="18"/>
    </row>
    <row r="336" spans="23:29" customFormat="1" x14ac:dyDescent="0.25">
      <c r="W336" s="37"/>
      <c r="X336" s="52"/>
      <c r="Y336" s="52"/>
      <c r="Z336" s="37"/>
      <c r="AA336" s="18"/>
      <c r="AB336" s="18"/>
      <c r="AC336" s="18"/>
    </row>
    <row r="337" spans="23:29" customFormat="1" x14ac:dyDescent="0.25">
      <c r="W337" s="37"/>
      <c r="X337" s="52"/>
      <c r="Y337" s="52"/>
      <c r="Z337" s="37"/>
      <c r="AA337" s="18"/>
      <c r="AB337" s="18"/>
      <c r="AC337" s="18"/>
    </row>
    <row r="338" spans="23:29" customFormat="1" x14ac:dyDescent="0.25">
      <c r="W338" s="37"/>
      <c r="X338" s="52"/>
      <c r="Y338" s="52"/>
      <c r="Z338" s="37"/>
      <c r="AA338" s="18"/>
      <c r="AB338" s="18"/>
      <c r="AC338" s="18"/>
    </row>
    <row r="339" spans="23:29" customFormat="1" x14ac:dyDescent="0.25">
      <c r="W339" s="37"/>
      <c r="X339" s="52"/>
      <c r="Y339" s="52"/>
      <c r="Z339" s="37"/>
      <c r="AA339" s="18"/>
      <c r="AB339" s="18"/>
      <c r="AC339" s="18"/>
    </row>
    <row r="340" spans="23:29" customFormat="1" x14ac:dyDescent="0.25">
      <c r="W340" s="37"/>
      <c r="X340" s="52"/>
      <c r="Y340" s="52"/>
      <c r="Z340" s="37"/>
      <c r="AA340" s="18"/>
      <c r="AB340" s="18"/>
      <c r="AC340" s="18"/>
    </row>
    <row r="341" spans="23:29" customFormat="1" x14ac:dyDescent="0.25">
      <c r="W341" s="37"/>
      <c r="X341" s="52"/>
      <c r="Y341" s="52"/>
      <c r="Z341" s="37"/>
      <c r="AA341" s="18"/>
      <c r="AB341" s="18"/>
      <c r="AC341" s="18"/>
    </row>
    <row r="342" spans="23:29" customFormat="1" x14ac:dyDescent="0.25">
      <c r="W342" s="37"/>
      <c r="X342" s="52"/>
      <c r="Y342" s="52"/>
      <c r="Z342" s="37"/>
      <c r="AA342" s="18"/>
      <c r="AB342" s="18"/>
      <c r="AC342" s="18"/>
    </row>
    <row r="343" spans="23:29" customFormat="1" x14ac:dyDescent="0.25">
      <c r="W343" s="37"/>
      <c r="X343" s="52"/>
      <c r="Y343" s="52"/>
      <c r="Z343" s="37"/>
      <c r="AA343" s="18"/>
      <c r="AB343" s="18"/>
      <c r="AC343" s="18"/>
    </row>
    <row r="344" spans="23:29" customFormat="1" x14ac:dyDescent="0.25">
      <c r="W344" s="37"/>
      <c r="X344" s="52"/>
      <c r="Y344" s="52"/>
      <c r="Z344" s="37"/>
      <c r="AA344" s="18"/>
      <c r="AB344" s="18"/>
      <c r="AC344" s="18"/>
    </row>
    <row r="345" spans="23:29" customFormat="1" x14ac:dyDescent="0.25">
      <c r="W345" s="37"/>
      <c r="X345" s="52"/>
      <c r="Y345" s="52"/>
      <c r="Z345" s="37"/>
      <c r="AA345" s="18"/>
      <c r="AB345" s="18"/>
      <c r="AC345" s="18"/>
    </row>
    <row r="346" spans="23:29" customFormat="1" x14ac:dyDescent="0.25">
      <c r="W346" s="37"/>
      <c r="X346" s="52"/>
      <c r="Y346" s="52"/>
      <c r="Z346" s="37"/>
      <c r="AA346" s="18"/>
      <c r="AB346" s="18"/>
      <c r="AC346" s="18"/>
    </row>
    <row r="347" spans="23:29" customFormat="1" x14ac:dyDescent="0.25">
      <c r="W347" s="37"/>
      <c r="X347" s="52"/>
      <c r="Y347" s="52"/>
      <c r="Z347" s="37"/>
      <c r="AA347" s="18"/>
      <c r="AB347" s="18"/>
      <c r="AC347" s="18"/>
    </row>
    <row r="348" spans="23:29" customFormat="1" x14ac:dyDescent="0.25">
      <c r="W348" s="37"/>
      <c r="X348" s="52"/>
      <c r="Y348" s="52"/>
      <c r="Z348" s="37"/>
      <c r="AA348" s="18"/>
      <c r="AB348" s="18"/>
      <c r="AC348" s="18"/>
    </row>
    <row r="349" spans="23:29" customFormat="1" x14ac:dyDescent="0.25">
      <c r="W349" s="37"/>
      <c r="X349" s="52"/>
      <c r="Y349" s="52"/>
      <c r="Z349" s="37"/>
      <c r="AA349" s="18"/>
      <c r="AB349" s="18"/>
      <c r="AC349" s="18"/>
    </row>
    <row r="350" spans="23:29" customFormat="1" x14ac:dyDescent="0.25">
      <c r="W350" s="37"/>
      <c r="X350" s="52"/>
      <c r="Y350" s="52"/>
      <c r="Z350" s="37"/>
      <c r="AA350" s="18"/>
      <c r="AB350" s="18"/>
      <c r="AC350" s="18"/>
    </row>
    <row r="351" spans="23:29" customFormat="1" x14ac:dyDescent="0.25">
      <c r="W351" s="37"/>
      <c r="X351" s="52"/>
      <c r="Y351" s="52"/>
      <c r="Z351" s="37"/>
      <c r="AA351" s="18"/>
      <c r="AB351" s="18"/>
      <c r="AC351" s="18"/>
    </row>
    <row r="352" spans="23:29" customFormat="1" x14ac:dyDescent="0.25">
      <c r="W352" s="37"/>
      <c r="X352" s="52"/>
      <c r="Y352" s="52"/>
      <c r="Z352" s="37"/>
      <c r="AA352" s="18"/>
      <c r="AB352" s="18"/>
      <c r="AC352" s="18"/>
    </row>
    <row r="353" spans="23:29" customFormat="1" x14ac:dyDescent="0.25">
      <c r="W353" s="37"/>
      <c r="X353" s="52"/>
      <c r="Y353" s="52"/>
      <c r="Z353" s="37"/>
      <c r="AA353" s="18"/>
      <c r="AB353" s="18"/>
      <c r="AC353" s="18"/>
    </row>
    <row r="354" spans="23:29" customFormat="1" x14ac:dyDescent="0.25">
      <c r="W354" s="37"/>
      <c r="X354" s="52"/>
      <c r="Y354" s="52"/>
      <c r="Z354" s="37"/>
      <c r="AA354" s="18"/>
      <c r="AB354" s="18"/>
      <c r="AC354" s="18"/>
    </row>
    <row r="355" spans="23:29" customFormat="1" x14ac:dyDescent="0.25">
      <c r="W355" s="37"/>
      <c r="X355" s="52"/>
      <c r="Y355" s="52"/>
      <c r="Z355" s="37"/>
      <c r="AA355" s="18"/>
      <c r="AB355" s="18"/>
      <c r="AC355" s="18"/>
    </row>
    <row r="356" spans="23:29" customFormat="1" x14ac:dyDescent="0.25">
      <c r="W356" s="37"/>
      <c r="X356" s="52"/>
      <c r="Y356" s="52"/>
      <c r="Z356" s="37"/>
      <c r="AA356" s="18"/>
      <c r="AB356" s="18"/>
      <c r="AC356" s="18"/>
    </row>
    <row r="357" spans="23:29" customFormat="1" x14ac:dyDescent="0.25">
      <c r="W357" s="37"/>
      <c r="X357" s="52"/>
      <c r="Y357" s="52"/>
      <c r="Z357" s="37"/>
      <c r="AA357" s="18"/>
      <c r="AB357" s="18"/>
      <c r="AC357" s="18"/>
    </row>
    <row r="358" spans="23:29" customFormat="1" x14ac:dyDescent="0.25">
      <c r="W358" s="37"/>
      <c r="X358" s="52"/>
      <c r="Y358" s="52"/>
      <c r="Z358" s="37"/>
      <c r="AA358" s="18"/>
      <c r="AB358" s="18"/>
      <c r="AC358" s="18"/>
    </row>
    <row r="359" spans="23:29" customFormat="1" x14ac:dyDescent="0.25">
      <c r="W359" s="37"/>
      <c r="X359" s="52"/>
      <c r="Y359" s="52"/>
      <c r="Z359" s="37"/>
      <c r="AA359" s="18"/>
      <c r="AB359" s="18"/>
      <c r="AC359" s="18"/>
    </row>
    <row r="360" spans="23:29" customFormat="1" x14ac:dyDescent="0.25">
      <c r="W360" s="37"/>
      <c r="X360" s="52"/>
      <c r="Y360" s="52"/>
      <c r="Z360" s="37"/>
      <c r="AA360" s="18"/>
      <c r="AB360" s="18"/>
      <c r="AC360" s="18"/>
    </row>
    <row r="361" spans="23:29" customFormat="1" x14ac:dyDescent="0.25">
      <c r="W361" s="37"/>
      <c r="X361" s="52"/>
      <c r="Y361" s="52"/>
      <c r="Z361" s="37"/>
      <c r="AA361" s="18"/>
      <c r="AB361" s="18"/>
      <c r="AC361" s="18"/>
    </row>
    <row r="362" spans="23:29" customFormat="1" x14ac:dyDescent="0.25">
      <c r="W362" s="37"/>
      <c r="X362" s="52"/>
      <c r="Y362" s="52"/>
      <c r="Z362" s="37"/>
      <c r="AA362" s="18"/>
      <c r="AB362" s="18"/>
      <c r="AC362" s="18"/>
    </row>
    <row r="363" spans="23:29" customFormat="1" x14ac:dyDescent="0.25">
      <c r="W363" s="37"/>
      <c r="X363" s="52"/>
      <c r="Y363" s="52"/>
      <c r="Z363" s="37"/>
      <c r="AA363" s="18"/>
      <c r="AB363" s="18"/>
      <c r="AC363" s="18"/>
    </row>
    <row r="364" spans="23:29" customFormat="1" x14ac:dyDescent="0.25">
      <c r="W364" s="37"/>
      <c r="X364" s="52"/>
      <c r="Y364" s="52"/>
      <c r="Z364" s="37"/>
      <c r="AA364" s="18"/>
      <c r="AB364" s="18"/>
      <c r="AC364" s="18"/>
    </row>
    <row r="365" spans="23:29" customFormat="1" x14ac:dyDescent="0.25">
      <c r="W365" s="37"/>
      <c r="X365" s="52"/>
      <c r="Y365" s="52"/>
      <c r="Z365" s="37"/>
      <c r="AA365" s="18"/>
      <c r="AB365" s="18"/>
      <c r="AC365" s="18"/>
    </row>
    <row r="366" spans="23:29" customFormat="1" x14ac:dyDescent="0.25">
      <c r="W366" s="37"/>
      <c r="X366" s="52"/>
      <c r="Y366" s="52"/>
      <c r="Z366" s="37"/>
      <c r="AA366" s="18"/>
      <c r="AB366" s="18"/>
      <c r="AC366" s="18"/>
    </row>
    <row r="367" spans="23:29" customFormat="1" x14ac:dyDescent="0.25">
      <c r="W367" s="37"/>
      <c r="X367" s="52"/>
      <c r="Y367" s="52"/>
      <c r="Z367" s="37"/>
      <c r="AA367" s="18"/>
      <c r="AB367" s="18"/>
      <c r="AC367" s="18"/>
    </row>
    <row r="368" spans="23:29" customFormat="1" x14ac:dyDescent="0.25">
      <c r="W368" s="37"/>
      <c r="X368" s="52"/>
      <c r="Y368" s="52"/>
      <c r="Z368" s="37"/>
      <c r="AA368" s="18"/>
      <c r="AB368" s="18"/>
      <c r="AC368" s="18"/>
    </row>
    <row r="369" spans="23:29" customFormat="1" x14ac:dyDescent="0.25">
      <c r="W369" s="37"/>
      <c r="X369" s="52"/>
      <c r="Y369" s="52"/>
      <c r="Z369" s="37"/>
      <c r="AA369" s="18"/>
      <c r="AB369" s="18"/>
      <c r="AC369" s="18"/>
    </row>
    <row r="370" spans="23:29" customFormat="1" x14ac:dyDescent="0.25">
      <c r="W370" s="37"/>
      <c r="X370" s="52"/>
      <c r="Y370" s="52"/>
      <c r="Z370" s="37"/>
      <c r="AA370" s="18"/>
      <c r="AB370" s="18"/>
      <c r="AC370" s="18"/>
    </row>
    <row r="371" spans="23:29" customFormat="1" x14ac:dyDescent="0.25">
      <c r="W371" s="37"/>
      <c r="X371" s="52"/>
      <c r="Y371" s="52"/>
      <c r="Z371" s="37"/>
      <c r="AA371" s="18"/>
      <c r="AB371" s="18"/>
      <c r="AC371" s="18"/>
    </row>
    <row r="372" spans="23:29" customFormat="1" x14ac:dyDescent="0.25">
      <c r="W372" s="37"/>
      <c r="X372" s="52"/>
      <c r="Y372" s="52"/>
      <c r="Z372" s="37"/>
      <c r="AA372" s="18"/>
      <c r="AB372" s="18"/>
      <c r="AC372" s="18"/>
    </row>
    <row r="373" spans="23:29" customFormat="1" x14ac:dyDescent="0.25">
      <c r="W373" s="37"/>
      <c r="X373" s="52"/>
      <c r="Y373" s="52"/>
      <c r="Z373" s="37"/>
      <c r="AA373" s="18"/>
      <c r="AB373" s="18"/>
      <c r="AC373" s="18"/>
    </row>
    <row r="374" spans="23:29" customFormat="1" x14ac:dyDescent="0.25">
      <c r="W374" s="37"/>
      <c r="X374" s="52"/>
      <c r="Y374" s="52"/>
      <c r="Z374" s="37"/>
      <c r="AA374" s="18"/>
      <c r="AB374" s="18"/>
      <c r="AC374" s="18"/>
    </row>
    <row r="375" spans="23:29" customFormat="1" x14ac:dyDescent="0.25">
      <c r="W375" s="37"/>
      <c r="X375" s="52"/>
      <c r="Y375" s="52"/>
      <c r="Z375" s="37"/>
      <c r="AA375" s="18"/>
      <c r="AB375" s="18"/>
      <c r="AC375" s="18"/>
    </row>
    <row r="376" spans="23:29" customFormat="1" x14ac:dyDescent="0.25">
      <c r="W376" s="37"/>
      <c r="X376" s="52"/>
      <c r="Y376" s="52"/>
      <c r="Z376" s="37"/>
      <c r="AA376" s="18"/>
      <c r="AB376" s="18"/>
      <c r="AC376" s="18"/>
    </row>
    <row r="377" spans="23:29" customFormat="1" x14ac:dyDescent="0.25">
      <c r="W377" s="37"/>
      <c r="X377" s="52"/>
      <c r="Y377" s="52"/>
      <c r="Z377" s="37"/>
      <c r="AA377" s="18"/>
      <c r="AB377" s="18"/>
      <c r="AC377" s="18"/>
    </row>
    <row r="378" spans="23:29" customFormat="1" x14ac:dyDescent="0.25">
      <c r="W378" s="37"/>
      <c r="X378" s="52"/>
      <c r="Y378" s="52"/>
      <c r="Z378" s="37"/>
      <c r="AA378" s="18"/>
      <c r="AB378" s="18"/>
      <c r="AC378" s="18"/>
    </row>
    <row r="379" spans="23:29" customFormat="1" x14ac:dyDescent="0.25">
      <c r="W379" s="37"/>
      <c r="X379" s="52"/>
      <c r="Y379" s="52"/>
      <c r="Z379" s="37"/>
      <c r="AA379" s="18"/>
      <c r="AB379" s="18"/>
      <c r="AC379" s="18"/>
    </row>
    <row r="380" spans="23:29" customFormat="1" x14ac:dyDescent="0.25">
      <c r="W380" s="37"/>
      <c r="X380" s="52"/>
      <c r="Y380" s="52"/>
      <c r="Z380" s="37"/>
      <c r="AA380" s="18"/>
      <c r="AB380" s="18"/>
      <c r="AC380" s="18"/>
    </row>
    <row r="381" spans="23:29" customFormat="1" x14ac:dyDescent="0.25">
      <c r="W381" s="37"/>
      <c r="X381" s="52"/>
      <c r="Y381" s="52"/>
      <c r="Z381" s="37"/>
      <c r="AA381" s="18"/>
      <c r="AB381" s="18"/>
      <c r="AC381" s="18"/>
    </row>
    <row r="382" spans="23:29" customFormat="1" x14ac:dyDescent="0.25">
      <c r="W382" s="37"/>
      <c r="X382" s="52"/>
      <c r="Y382" s="52"/>
      <c r="Z382" s="37"/>
      <c r="AA382" s="18"/>
      <c r="AB382" s="18"/>
      <c r="AC382" s="18"/>
    </row>
    <row r="383" spans="23:29" customFormat="1" x14ac:dyDescent="0.25">
      <c r="W383" s="37"/>
      <c r="X383" s="52"/>
      <c r="Y383" s="52"/>
      <c r="Z383" s="37"/>
      <c r="AA383" s="18"/>
      <c r="AB383" s="18"/>
      <c r="AC383" s="18"/>
    </row>
    <row r="384" spans="23:29" customFormat="1" x14ac:dyDescent="0.25">
      <c r="W384" s="37"/>
      <c r="X384" s="52"/>
      <c r="Y384" s="52"/>
      <c r="Z384" s="37"/>
      <c r="AA384" s="18"/>
      <c r="AB384" s="18"/>
      <c r="AC384" s="18"/>
    </row>
    <row r="385" spans="23:29" customFormat="1" x14ac:dyDescent="0.25">
      <c r="W385" s="37"/>
      <c r="X385" s="52"/>
      <c r="Y385" s="52"/>
      <c r="Z385" s="37"/>
      <c r="AA385" s="18"/>
      <c r="AB385" s="18"/>
      <c r="AC385" s="18"/>
    </row>
    <row r="386" spans="23:29" customFormat="1" x14ac:dyDescent="0.25">
      <c r="W386" s="37"/>
      <c r="X386" s="52"/>
      <c r="Y386" s="52"/>
      <c r="Z386" s="37"/>
      <c r="AA386" s="18"/>
      <c r="AB386" s="18"/>
      <c r="AC386" s="18"/>
    </row>
    <row r="387" spans="23:29" customFormat="1" x14ac:dyDescent="0.25">
      <c r="W387" s="37"/>
      <c r="X387" s="52"/>
      <c r="Y387" s="52"/>
      <c r="Z387" s="37"/>
      <c r="AA387" s="18"/>
      <c r="AB387" s="18"/>
      <c r="AC387" s="18"/>
    </row>
    <row r="388" spans="23:29" customFormat="1" x14ac:dyDescent="0.25">
      <c r="W388" s="37"/>
      <c r="X388" s="52"/>
      <c r="Y388" s="52"/>
      <c r="Z388" s="37"/>
      <c r="AA388" s="18"/>
      <c r="AB388" s="18"/>
      <c r="AC388" s="18"/>
    </row>
    <row r="389" spans="23:29" customFormat="1" x14ac:dyDescent="0.25">
      <c r="W389" s="37"/>
      <c r="X389" s="52"/>
      <c r="Y389" s="52"/>
      <c r="Z389" s="37"/>
      <c r="AA389" s="18"/>
      <c r="AB389" s="18"/>
      <c r="AC389" s="18"/>
    </row>
    <row r="390" spans="23:29" customFormat="1" x14ac:dyDescent="0.25">
      <c r="W390" s="37"/>
      <c r="X390" s="52"/>
      <c r="Y390" s="52"/>
      <c r="Z390" s="37"/>
      <c r="AA390" s="18"/>
      <c r="AB390" s="18"/>
      <c r="AC390" s="18"/>
    </row>
    <row r="391" spans="23:29" customFormat="1" x14ac:dyDescent="0.25">
      <c r="W391" s="37"/>
      <c r="X391" s="52"/>
      <c r="Y391" s="52"/>
      <c r="Z391" s="37"/>
      <c r="AA391" s="18"/>
      <c r="AB391" s="18"/>
      <c r="AC391" s="18"/>
    </row>
    <row r="392" spans="23:29" customFormat="1" x14ac:dyDescent="0.25">
      <c r="W392" s="37"/>
      <c r="X392" s="52"/>
      <c r="Y392" s="52"/>
      <c r="Z392" s="37"/>
      <c r="AA392" s="18"/>
      <c r="AB392" s="18"/>
      <c r="AC392" s="18"/>
    </row>
    <row r="393" spans="23:29" customFormat="1" x14ac:dyDescent="0.25">
      <c r="W393" s="37"/>
      <c r="X393" s="52"/>
      <c r="Y393" s="52"/>
      <c r="Z393" s="37"/>
      <c r="AA393" s="18"/>
      <c r="AB393" s="18"/>
      <c r="AC393" s="18"/>
    </row>
    <row r="394" spans="23:29" customFormat="1" x14ac:dyDescent="0.25">
      <c r="W394" s="37"/>
      <c r="X394" s="52"/>
      <c r="Y394" s="52"/>
      <c r="Z394" s="37"/>
      <c r="AA394" s="18"/>
      <c r="AB394" s="18"/>
      <c r="AC394" s="18"/>
    </row>
    <row r="395" spans="23:29" customFormat="1" x14ac:dyDescent="0.25">
      <c r="W395" s="37"/>
      <c r="X395" s="52"/>
      <c r="Y395" s="52"/>
      <c r="Z395" s="37"/>
      <c r="AA395" s="18"/>
      <c r="AB395" s="18"/>
      <c r="AC395" s="18"/>
    </row>
    <row r="396" spans="23:29" customFormat="1" x14ac:dyDescent="0.25">
      <c r="W396" s="37"/>
      <c r="X396" s="52"/>
      <c r="Y396" s="52"/>
      <c r="Z396" s="37"/>
      <c r="AA396" s="18"/>
      <c r="AB396" s="18"/>
      <c r="AC396" s="18"/>
    </row>
    <row r="397" spans="23:29" customFormat="1" x14ac:dyDescent="0.25">
      <c r="W397" s="37"/>
      <c r="X397" s="52"/>
      <c r="Y397" s="52"/>
      <c r="Z397" s="37"/>
      <c r="AA397" s="18"/>
      <c r="AB397" s="18"/>
      <c r="AC397" s="18"/>
    </row>
    <row r="398" spans="23:29" customFormat="1" x14ac:dyDescent="0.25">
      <c r="W398" s="37"/>
      <c r="X398" s="52"/>
      <c r="Y398" s="52"/>
      <c r="Z398" s="37"/>
      <c r="AA398" s="18"/>
      <c r="AB398" s="18"/>
      <c r="AC398" s="18"/>
    </row>
    <row r="399" spans="23:29" customFormat="1" x14ac:dyDescent="0.25">
      <c r="W399" s="37"/>
      <c r="X399" s="52"/>
      <c r="Y399" s="52"/>
      <c r="Z399" s="37"/>
      <c r="AA399" s="18"/>
      <c r="AB399" s="18"/>
      <c r="AC399" s="18"/>
    </row>
    <row r="400" spans="23:29" customFormat="1" x14ac:dyDescent="0.25">
      <c r="W400" s="37"/>
      <c r="X400" s="52"/>
      <c r="Y400" s="52"/>
      <c r="Z400" s="37"/>
      <c r="AA400" s="18"/>
      <c r="AB400" s="18"/>
      <c r="AC400" s="18"/>
    </row>
    <row r="401" spans="23:29" customFormat="1" x14ac:dyDescent="0.25">
      <c r="W401" s="37"/>
      <c r="X401" s="52"/>
      <c r="Y401" s="52"/>
      <c r="Z401" s="37"/>
      <c r="AA401" s="18"/>
      <c r="AB401" s="18"/>
      <c r="AC401" s="18"/>
    </row>
    <row r="402" spans="23:29" customFormat="1" x14ac:dyDescent="0.25">
      <c r="W402" s="37"/>
      <c r="X402" s="52"/>
      <c r="Y402" s="52"/>
      <c r="Z402" s="37"/>
      <c r="AA402" s="18"/>
      <c r="AB402" s="18"/>
      <c r="AC402" s="18"/>
    </row>
    <row r="403" spans="23:29" customFormat="1" x14ac:dyDescent="0.25">
      <c r="W403" s="37"/>
      <c r="X403" s="52"/>
      <c r="Y403" s="52"/>
      <c r="Z403" s="37"/>
      <c r="AA403" s="18"/>
      <c r="AB403" s="18"/>
      <c r="AC403" s="18"/>
    </row>
    <row r="404" spans="23:29" customFormat="1" x14ac:dyDescent="0.25">
      <c r="W404" s="37"/>
      <c r="X404" s="52"/>
      <c r="Y404" s="52"/>
      <c r="Z404" s="37"/>
      <c r="AA404" s="18"/>
      <c r="AB404" s="18"/>
      <c r="AC404" s="18"/>
    </row>
    <row r="405" spans="23:29" customFormat="1" x14ac:dyDescent="0.25">
      <c r="W405" s="37"/>
      <c r="X405" s="52"/>
      <c r="Y405" s="52"/>
      <c r="Z405" s="37"/>
      <c r="AA405" s="18"/>
      <c r="AB405" s="18"/>
      <c r="AC405" s="18"/>
    </row>
    <row r="406" spans="23:29" customFormat="1" x14ac:dyDescent="0.25">
      <c r="W406" s="37"/>
      <c r="X406" s="52"/>
      <c r="Y406" s="52"/>
      <c r="Z406" s="37"/>
      <c r="AA406" s="18"/>
      <c r="AB406" s="18"/>
      <c r="AC406" s="18"/>
    </row>
    <row r="407" spans="23:29" customFormat="1" x14ac:dyDescent="0.25">
      <c r="W407" s="37"/>
      <c r="X407" s="52"/>
      <c r="Y407" s="52"/>
      <c r="Z407" s="37"/>
      <c r="AA407" s="18"/>
      <c r="AB407" s="18"/>
      <c r="AC407" s="18"/>
    </row>
    <row r="408" spans="23:29" customFormat="1" x14ac:dyDescent="0.25">
      <c r="W408" s="37"/>
      <c r="X408" s="52"/>
      <c r="Y408" s="52"/>
      <c r="Z408" s="37"/>
      <c r="AA408" s="18"/>
      <c r="AB408" s="18"/>
      <c r="AC408" s="18"/>
    </row>
    <row r="409" spans="23:29" customFormat="1" x14ac:dyDescent="0.25">
      <c r="W409" s="37"/>
      <c r="X409" s="52"/>
      <c r="Y409" s="52"/>
      <c r="Z409" s="37"/>
      <c r="AA409" s="18"/>
      <c r="AB409" s="18"/>
      <c r="AC409" s="18"/>
    </row>
    <row r="410" spans="23:29" customFormat="1" x14ac:dyDescent="0.25">
      <c r="W410" s="37"/>
      <c r="X410" s="52"/>
      <c r="Y410" s="52"/>
      <c r="Z410" s="37"/>
      <c r="AA410" s="18"/>
      <c r="AB410" s="18"/>
      <c r="AC410" s="18"/>
    </row>
    <row r="411" spans="23:29" customFormat="1" x14ac:dyDescent="0.25">
      <c r="W411" s="37"/>
      <c r="X411" s="52"/>
      <c r="Y411" s="52"/>
      <c r="Z411" s="37"/>
      <c r="AA411" s="18"/>
      <c r="AB411" s="18"/>
      <c r="AC411" s="18"/>
    </row>
    <row r="412" spans="23:29" customFormat="1" x14ac:dyDescent="0.25">
      <c r="W412" s="37"/>
      <c r="X412" s="52"/>
      <c r="Y412" s="52"/>
      <c r="Z412" s="37"/>
      <c r="AA412" s="18"/>
      <c r="AB412" s="18"/>
      <c r="AC412" s="18"/>
    </row>
    <row r="413" spans="23:29" customFormat="1" x14ac:dyDescent="0.25">
      <c r="W413" s="37"/>
      <c r="X413" s="52"/>
      <c r="Y413" s="52"/>
      <c r="Z413" s="37"/>
      <c r="AA413" s="18"/>
      <c r="AB413" s="18"/>
      <c r="AC413" s="18"/>
    </row>
    <row r="414" spans="23:29" customFormat="1" x14ac:dyDescent="0.25">
      <c r="W414" s="37"/>
      <c r="X414" s="52"/>
      <c r="Y414" s="52"/>
      <c r="Z414" s="37"/>
      <c r="AA414" s="18"/>
      <c r="AB414" s="18"/>
      <c r="AC414" s="18"/>
    </row>
    <row r="415" spans="23:29" customFormat="1" x14ac:dyDescent="0.25">
      <c r="W415" s="37"/>
      <c r="X415" s="52"/>
      <c r="Y415" s="52"/>
      <c r="Z415" s="37"/>
      <c r="AA415" s="18"/>
      <c r="AB415" s="18"/>
      <c r="AC415" s="18"/>
    </row>
    <row r="416" spans="23:29" customFormat="1" x14ac:dyDescent="0.25">
      <c r="W416" s="37"/>
      <c r="X416" s="52"/>
      <c r="Y416" s="52"/>
      <c r="Z416" s="37"/>
      <c r="AA416" s="18"/>
      <c r="AB416" s="18"/>
      <c r="AC416" s="18"/>
    </row>
    <row r="417" spans="23:29" customFormat="1" x14ac:dyDescent="0.25">
      <c r="W417" s="37"/>
      <c r="X417" s="52"/>
      <c r="Y417" s="52"/>
      <c r="Z417" s="37"/>
      <c r="AA417" s="18"/>
      <c r="AB417" s="18"/>
      <c r="AC417" s="18"/>
    </row>
    <row r="418" spans="23:29" customFormat="1" x14ac:dyDescent="0.25">
      <c r="W418" s="37"/>
      <c r="X418" s="52"/>
      <c r="Y418" s="52"/>
      <c r="Z418" s="37"/>
      <c r="AA418" s="18"/>
      <c r="AB418" s="18"/>
      <c r="AC418" s="18"/>
    </row>
    <row r="419" spans="23:29" customFormat="1" x14ac:dyDescent="0.25">
      <c r="W419" s="37"/>
      <c r="X419" s="52"/>
      <c r="Y419" s="52"/>
      <c r="Z419" s="37"/>
      <c r="AA419" s="18"/>
      <c r="AB419" s="18"/>
      <c r="AC419" s="18"/>
    </row>
    <row r="420" spans="23:29" customFormat="1" x14ac:dyDescent="0.25">
      <c r="W420" s="37"/>
      <c r="X420" s="52"/>
      <c r="Y420" s="52"/>
      <c r="Z420" s="37"/>
      <c r="AA420" s="18"/>
      <c r="AB420" s="18"/>
      <c r="AC420" s="18"/>
    </row>
    <row r="421" spans="23:29" customFormat="1" x14ac:dyDescent="0.25">
      <c r="W421" s="37"/>
      <c r="X421" s="52"/>
      <c r="Y421" s="52"/>
      <c r="Z421" s="37"/>
      <c r="AA421" s="18"/>
      <c r="AB421" s="18"/>
      <c r="AC421" s="18"/>
    </row>
    <row r="422" spans="23:29" customFormat="1" x14ac:dyDescent="0.25">
      <c r="W422" s="37"/>
      <c r="X422" s="52"/>
      <c r="Y422" s="52"/>
      <c r="Z422" s="37"/>
      <c r="AA422" s="18"/>
      <c r="AB422" s="18"/>
      <c r="AC422" s="18"/>
    </row>
    <row r="423" spans="23:29" customFormat="1" x14ac:dyDescent="0.25">
      <c r="W423" s="37"/>
      <c r="X423" s="52"/>
      <c r="Y423" s="52"/>
      <c r="Z423" s="37"/>
      <c r="AA423" s="18"/>
      <c r="AB423" s="18"/>
      <c r="AC423" s="18"/>
    </row>
    <row r="424" spans="23:29" customFormat="1" x14ac:dyDescent="0.25">
      <c r="W424" s="37"/>
      <c r="X424" s="52"/>
      <c r="Y424" s="52"/>
      <c r="Z424" s="37"/>
      <c r="AA424" s="18"/>
      <c r="AB424" s="18"/>
      <c r="AC424" s="18"/>
    </row>
    <row r="425" spans="23:29" customFormat="1" x14ac:dyDescent="0.25">
      <c r="W425" s="37"/>
      <c r="X425" s="52"/>
      <c r="Y425" s="52"/>
      <c r="Z425" s="37"/>
      <c r="AA425" s="18"/>
      <c r="AB425" s="18"/>
      <c r="AC425" s="18"/>
    </row>
    <row r="426" spans="23:29" customFormat="1" x14ac:dyDescent="0.25">
      <c r="W426" s="37"/>
      <c r="X426" s="52"/>
      <c r="Y426" s="52"/>
      <c r="Z426" s="37"/>
      <c r="AA426" s="18"/>
      <c r="AB426" s="18"/>
      <c r="AC426" s="18"/>
    </row>
    <row r="427" spans="23:29" customFormat="1" x14ac:dyDescent="0.25">
      <c r="W427" s="37"/>
      <c r="X427" s="52"/>
      <c r="Y427" s="52"/>
      <c r="Z427" s="37"/>
      <c r="AA427" s="18"/>
      <c r="AB427" s="18"/>
      <c r="AC427" s="18"/>
    </row>
    <row r="428" spans="23:29" customFormat="1" x14ac:dyDescent="0.25">
      <c r="W428" s="37"/>
      <c r="X428" s="52"/>
      <c r="Y428" s="52"/>
      <c r="Z428" s="37"/>
      <c r="AA428" s="18"/>
      <c r="AB428" s="18"/>
      <c r="AC428" s="18"/>
    </row>
    <row r="429" spans="23:29" customFormat="1" x14ac:dyDescent="0.25">
      <c r="W429" s="37"/>
      <c r="X429" s="52"/>
      <c r="Y429" s="52"/>
      <c r="Z429" s="37"/>
      <c r="AA429" s="18"/>
      <c r="AB429" s="18"/>
      <c r="AC429" s="18"/>
    </row>
    <row r="430" spans="23:29" customFormat="1" x14ac:dyDescent="0.25">
      <c r="W430" s="37"/>
      <c r="X430" s="52"/>
      <c r="Y430" s="52"/>
      <c r="Z430" s="37"/>
      <c r="AA430" s="18"/>
      <c r="AB430" s="18"/>
      <c r="AC430" s="18"/>
    </row>
    <row r="431" spans="23:29" customFormat="1" x14ac:dyDescent="0.25">
      <c r="W431" s="37"/>
      <c r="X431" s="52"/>
      <c r="Y431" s="52"/>
      <c r="Z431" s="37"/>
      <c r="AA431" s="18"/>
      <c r="AB431" s="18"/>
      <c r="AC431" s="18"/>
    </row>
    <row r="432" spans="23:29" customFormat="1" x14ac:dyDescent="0.25">
      <c r="W432" s="37"/>
      <c r="X432" s="52"/>
      <c r="Y432" s="52"/>
      <c r="Z432" s="37"/>
      <c r="AA432" s="18"/>
      <c r="AB432" s="18"/>
      <c r="AC432" s="18"/>
    </row>
    <row r="433" spans="23:29" customFormat="1" x14ac:dyDescent="0.25">
      <c r="W433" s="37"/>
      <c r="X433" s="52"/>
      <c r="Y433" s="52"/>
      <c r="Z433" s="37"/>
      <c r="AA433" s="18"/>
      <c r="AB433" s="18"/>
      <c r="AC433" s="18"/>
    </row>
    <row r="434" spans="23:29" customFormat="1" x14ac:dyDescent="0.25">
      <c r="W434" s="37"/>
      <c r="X434" s="52"/>
      <c r="Y434" s="52"/>
      <c r="Z434" s="37"/>
      <c r="AA434" s="18"/>
      <c r="AB434" s="18"/>
      <c r="AC434" s="18"/>
    </row>
    <row r="435" spans="23:29" customFormat="1" x14ac:dyDescent="0.25">
      <c r="W435" s="37"/>
      <c r="X435" s="52"/>
      <c r="Y435" s="52"/>
      <c r="Z435" s="37"/>
      <c r="AA435" s="18"/>
      <c r="AB435" s="18"/>
      <c r="AC435" s="18"/>
    </row>
    <row r="436" spans="23:29" customFormat="1" x14ac:dyDescent="0.25">
      <c r="W436" s="37"/>
      <c r="X436" s="52"/>
      <c r="Y436" s="52"/>
      <c r="Z436" s="37"/>
      <c r="AA436" s="18"/>
      <c r="AB436" s="18"/>
      <c r="AC436" s="18"/>
    </row>
    <row r="437" spans="23:29" customFormat="1" x14ac:dyDescent="0.25">
      <c r="W437" s="37"/>
      <c r="X437" s="52"/>
      <c r="Y437" s="52"/>
      <c r="Z437" s="37"/>
      <c r="AA437" s="18"/>
      <c r="AB437" s="18"/>
      <c r="AC437" s="18"/>
    </row>
    <row r="438" spans="23:29" customFormat="1" x14ac:dyDescent="0.25">
      <c r="W438" s="37"/>
      <c r="X438" s="52"/>
      <c r="Y438" s="52"/>
      <c r="Z438" s="37"/>
      <c r="AA438" s="18"/>
      <c r="AB438" s="18"/>
      <c r="AC438" s="18"/>
    </row>
    <row r="439" spans="23:29" customFormat="1" x14ac:dyDescent="0.25">
      <c r="W439" s="37"/>
      <c r="X439" s="52"/>
      <c r="Y439" s="52"/>
      <c r="Z439" s="37"/>
      <c r="AA439" s="18"/>
      <c r="AB439" s="18"/>
      <c r="AC439" s="18"/>
    </row>
    <row r="440" spans="23:29" customFormat="1" x14ac:dyDescent="0.25">
      <c r="W440" s="37"/>
      <c r="X440" s="52"/>
      <c r="Y440" s="52"/>
      <c r="Z440" s="37"/>
      <c r="AA440" s="18"/>
      <c r="AB440" s="18"/>
      <c r="AC440" s="18"/>
    </row>
    <row r="441" spans="23:29" customFormat="1" x14ac:dyDescent="0.25">
      <c r="W441" s="37"/>
      <c r="X441" s="52"/>
      <c r="Y441" s="52"/>
      <c r="Z441" s="37"/>
      <c r="AA441" s="18"/>
      <c r="AB441" s="18"/>
      <c r="AC441" s="18"/>
    </row>
    <row r="442" spans="23:29" customFormat="1" x14ac:dyDescent="0.25">
      <c r="W442" s="37"/>
      <c r="X442" s="52"/>
      <c r="Y442" s="52"/>
      <c r="Z442" s="37"/>
      <c r="AA442" s="18"/>
      <c r="AB442" s="18"/>
      <c r="AC442" s="18"/>
    </row>
    <row r="443" spans="23:29" customFormat="1" x14ac:dyDescent="0.25">
      <c r="W443" s="37"/>
      <c r="X443" s="52"/>
      <c r="Y443" s="52"/>
      <c r="Z443" s="37"/>
      <c r="AA443" s="18"/>
      <c r="AB443" s="18"/>
      <c r="AC443" s="18"/>
    </row>
    <row r="444" spans="23:29" customFormat="1" x14ac:dyDescent="0.25">
      <c r="W444" s="37"/>
      <c r="X444" s="52"/>
      <c r="Y444" s="52"/>
      <c r="Z444" s="37"/>
      <c r="AA444" s="18"/>
      <c r="AB444" s="18"/>
      <c r="AC444" s="18"/>
    </row>
    <row r="445" spans="23:29" customFormat="1" x14ac:dyDescent="0.25">
      <c r="W445" s="37"/>
      <c r="X445" s="52"/>
      <c r="Y445" s="52"/>
      <c r="Z445" s="37"/>
      <c r="AA445" s="18"/>
      <c r="AB445" s="18"/>
      <c r="AC445" s="18"/>
    </row>
    <row r="446" spans="23:29" customFormat="1" x14ac:dyDescent="0.25">
      <c r="W446" s="37"/>
      <c r="X446" s="52"/>
      <c r="Y446" s="52"/>
      <c r="Z446" s="37"/>
      <c r="AA446" s="18"/>
      <c r="AB446" s="18"/>
      <c r="AC446" s="18"/>
    </row>
    <row r="447" spans="23:29" customFormat="1" x14ac:dyDescent="0.25">
      <c r="W447" s="37"/>
      <c r="X447" s="52"/>
      <c r="Y447" s="52"/>
      <c r="Z447" s="37"/>
      <c r="AA447" s="18"/>
      <c r="AB447" s="18"/>
      <c r="AC447" s="18"/>
    </row>
    <row r="448" spans="23:29" customFormat="1" x14ac:dyDescent="0.25">
      <c r="W448" s="37"/>
      <c r="X448" s="52"/>
      <c r="Y448" s="52"/>
      <c r="Z448" s="37"/>
      <c r="AA448" s="18"/>
      <c r="AB448" s="18"/>
      <c r="AC448" s="18"/>
    </row>
    <row r="449" spans="23:29" customFormat="1" x14ac:dyDescent="0.25">
      <c r="W449" s="37"/>
      <c r="X449" s="52"/>
      <c r="Y449" s="52"/>
      <c r="Z449" s="37"/>
      <c r="AA449" s="18"/>
      <c r="AB449" s="18"/>
      <c r="AC449" s="18"/>
    </row>
    <row r="450" spans="23:29" customFormat="1" x14ac:dyDescent="0.25">
      <c r="W450" s="37"/>
      <c r="X450" s="52"/>
      <c r="Y450" s="52"/>
      <c r="Z450" s="37"/>
      <c r="AA450" s="18"/>
      <c r="AB450" s="18"/>
      <c r="AC450" s="18"/>
    </row>
    <row r="451" spans="23:29" customFormat="1" x14ac:dyDescent="0.25">
      <c r="W451" s="37"/>
      <c r="X451" s="52"/>
      <c r="Y451" s="52"/>
      <c r="Z451" s="37"/>
      <c r="AA451" s="18"/>
      <c r="AB451" s="18"/>
      <c r="AC451" s="18"/>
    </row>
    <row r="452" spans="23:29" customFormat="1" x14ac:dyDescent="0.25">
      <c r="W452" s="37"/>
      <c r="X452" s="52"/>
      <c r="Y452" s="52"/>
      <c r="Z452" s="37"/>
      <c r="AA452" s="18"/>
      <c r="AB452" s="18"/>
      <c r="AC452" s="18"/>
    </row>
    <row r="453" spans="23:29" customFormat="1" x14ac:dyDescent="0.25">
      <c r="W453" s="37"/>
      <c r="X453" s="52"/>
      <c r="Y453" s="52"/>
      <c r="Z453" s="37"/>
      <c r="AA453" s="18"/>
      <c r="AB453" s="18"/>
      <c r="AC453" s="18"/>
    </row>
    <row r="454" spans="23:29" customFormat="1" x14ac:dyDescent="0.25">
      <c r="W454" s="37"/>
      <c r="X454" s="52"/>
      <c r="Y454" s="52"/>
      <c r="Z454" s="37"/>
      <c r="AA454" s="18"/>
      <c r="AB454" s="18"/>
      <c r="AC454" s="18"/>
    </row>
    <row r="455" spans="23:29" customFormat="1" x14ac:dyDescent="0.25">
      <c r="W455" s="37"/>
      <c r="X455" s="52"/>
      <c r="Y455" s="52"/>
      <c r="Z455" s="37"/>
      <c r="AA455" s="18"/>
      <c r="AB455" s="18"/>
      <c r="AC455" s="18"/>
    </row>
    <row r="456" spans="23:29" customFormat="1" x14ac:dyDescent="0.25">
      <c r="W456" s="37"/>
      <c r="X456" s="52"/>
      <c r="Y456" s="52"/>
      <c r="Z456" s="37"/>
      <c r="AA456" s="18"/>
      <c r="AB456" s="18"/>
      <c r="AC456" s="18"/>
    </row>
    <row r="457" spans="23:29" customFormat="1" x14ac:dyDescent="0.25">
      <c r="W457" s="37"/>
      <c r="X457" s="52"/>
      <c r="Y457" s="52"/>
      <c r="Z457" s="37"/>
      <c r="AA457" s="18"/>
      <c r="AB457" s="18"/>
      <c r="AC457" s="18"/>
    </row>
    <row r="458" spans="23:29" customFormat="1" x14ac:dyDescent="0.25">
      <c r="W458" s="37"/>
      <c r="X458" s="52"/>
      <c r="Y458" s="52"/>
      <c r="Z458" s="37"/>
      <c r="AA458" s="18"/>
      <c r="AB458" s="18"/>
      <c r="AC458" s="18"/>
    </row>
    <row r="459" spans="23:29" customFormat="1" x14ac:dyDescent="0.25">
      <c r="W459" s="37"/>
      <c r="X459" s="52"/>
      <c r="Y459" s="52"/>
      <c r="Z459" s="37"/>
      <c r="AA459" s="18"/>
      <c r="AB459" s="18"/>
      <c r="AC459" s="18"/>
    </row>
    <row r="460" spans="23:29" customFormat="1" x14ac:dyDescent="0.25">
      <c r="W460" s="37"/>
      <c r="X460" s="52"/>
      <c r="Y460" s="52"/>
      <c r="Z460" s="37"/>
      <c r="AA460" s="18"/>
      <c r="AB460" s="18"/>
      <c r="AC460" s="18"/>
    </row>
    <row r="461" spans="23:29" customFormat="1" x14ac:dyDescent="0.25">
      <c r="W461" s="37"/>
      <c r="X461" s="52"/>
      <c r="Y461" s="52"/>
      <c r="Z461" s="37"/>
      <c r="AA461" s="18"/>
      <c r="AB461" s="18"/>
      <c r="AC461" s="18"/>
    </row>
    <row r="462" spans="23:29" customFormat="1" x14ac:dyDescent="0.25">
      <c r="W462" s="37"/>
      <c r="X462" s="52"/>
      <c r="Y462" s="52"/>
      <c r="Z462" s="37"/>
      <c r="AA462" s="18"/>
      <c r="AB462" s="18"/>
      <c r="AC462" s="18"/>
    </row>
    <row r="463" spans="23:29" customFormat="1" x14ac:dyDescent="0.25">
      <c r="W463" s="37"/>
      <c r="X463" s="52"/>
      <c r="Y463" s="52"/>
      <c r="Z463" s="37"/>
      <c r="AA463" s="18"/>
      <c r="AB463" s="18"/>
      <c r="AC463" s="18"/>
    </row>
    <row r="464" spans="23:29" customFormat="1" x14ac:dyDescent="0.25">
      <c r="W464" s="37"/>
      <c r="X464" s="52"/>
      <c r="Y464" s="52"/>
      <c r="Z464" s="37"/>
      <c r="AA464" s="18"/>
      <c r="AB464" s="18"/>
      <c r="AC464" s="18"/>
    </row>
    <row r="465" spans="23:29" customFormat="1" x14ac:dyDescent="0.25">
      <c r="W465" s="37"/>
      <c r="X465" s="52"/>
      <c r="Y465" s="52"/>
      <c r="Z465" s="37"/>
      <c r="AA465" s="18"/>
      <c r="AB465" s="18"/>
      <c r="AC465" s="18"/>
    </row>
    <row r="466" spans="23:29" customFormat="1" x14ac:dyDescent="0.25">
      <c r="W466" s="37"/>
      <c r="X466" s="52"/>
      <c r="Y466" s="52"/>
      <c r="Z466" s="37"/>
      <c r="AA466" s="18"/>
      <c r="AB466" s="18"/>
      <c r="AC466" s="18"/>
    </row>
    <row r="467" spans="23:29" customFormat="1" x14ac:dyDescent="0.25">
      <c r="W467" s="37"/>
      <c r="X467" s="52"/>
      <c r="Y467" s="52"/>
      <c r="Z467" s="37"/>
      <c r="AA467" s="18"/>
      <c r="AB467" s="18"/>
      <c r="AC467" s="18"/>
    </row>
    <row r="468" spans="23:29" customFormat="1" x14ac:dyDescent="0.25">
      <c r="W468" s="37"/>
      <c r="X468" s="52"/>
      <c r="Y468" s="52"/>
      <c r="Z468" s="37"/>
      <c r="AA468" s="18"/>
      <c r="AB468" s="18"/>
      <c r="AC468" s="18"/>
    </row>
    <row r="469" spans="23:29" customFormat="1" x14ac:dyDescent="0.25">
      <c r="W469" s="37"/>
      <c r="X469" s="52"/>
      <c r="Y469" s="52"/>
      <c r="Z469" s="37"/>
      <c r="AA469" s="18"/>
      <c r="AB469" s="18"/>
      <c r="AC469" s="18"/>
    </row>
    <row r="470" spans="23:29" customFormat="1" x14ac:dyDescent="0.25">
      <c r="W470" s="37"/>
      <c r="X470" s="52"/>
      <c r="Y470" s="52"/>
      <c r="Z470" s="37"/>
      <c r="AA470" s="18"/>
      <c r="AB470" s="18"/>
      <c r="AC470" s="18"/>
    </row>
    <row r="471" spans="23:29" customFormat="1" x14ac:dyDescent="0.25">
      <c r="W471" s="37"/>
      <c r="X471" s="52"/>
      <c r="Y471" s="52"/>
      <c r="Z471" s="37"/>
      <c r="AA471" s="18"/>
      <c r="AB471" s="18"/>
      <c r="AC471" s="18"/>
    </row>
    <row r="472" spans="23:29" customFormat="1" x14ac:dyDescent="0.25">
      <c r="W472" s="37"/>
      <c r="X472" s="52"/>
      <c r="Y472" s="52"/>
      <c r="Z472" s="37"/>
      <c r="AA472" s="18"/>
      <c r="AB472" s="18"/>
      <c r="AC472" s="18"/>
    </row>
    <row r="473" spans="23:29" customFormat="1" x14ac:dyDescent="0.25">
      <c r="W473" s="37"/>
      <c r="X473" s="52"/>
      <c r="Y473" s="52"/>
      <c r="Z473" s="37"/>
      <c r="AA473" s="18"/>
      <c r="AB473" s="18"/>
      <c r="AC473" s="18"/>
    </row>
    <row r="474" spans="23:29" customFormat="1" x14ac:dyDescent="0.25">
      <c r="W474" s="37"/>
      <c r="X474" s="52"/>
      <c r="Y474" s="52"/>
      <c r="Z474" s="37"/>
      <c r="AA474" s="18"/>
      <c r="AB474" s="18"/>
      <c r="AC474" s="18"/>
    </row>
    <row r="475" spans="23:29" customFormat="1" x14ac:dyDescent="0.25">
      <c r="W475" s="37"/>
      <c r="X475" s="52"/>
      <c r="Y475" s="52"/>
      <c r="Z475" s="37"/>
      <c r="AA475" s="18"/>
      <c r="AB475" s="18"/>
      <c r="AC475" s="18"/>
    </row>
    <row r="476" spans="23:29" customFormat="1" x14ac:dyDescent="0.25">
      <c r="W476" s="37"/>
      <c r="X476" s="52"/>
      <c r="Y476" s="52"/>
      <c r="Z476" s="37"/>
      <c r="AA476" s="18"/>
      <c r="AB476" s="18"/>
      <c r="AC476" s="18"/>
    </row>
    <row r="477" spans="23:29" customFormat="1" x14ac:dyDescent="0.25">
      <c r="W477" s="37"/>
      <c r="X477" s="52"/>
      <c r="Y477" s="52"/>
      <c r="Z477" s="37"/>
      <c r="AA477" s="18"/>
      <c r="AB477" s="18"/>
      <c r="AC477" s="18"/>
    </row>
    <row r="478" spans="23:29" customFormat="1" x14ac:dyDescent="0.25">
      <c r="W478" s="37"/>
      <c r="X478" s="52"/>
      <c r="Y478" s="52"/>
      <c r="Z478" s="37"/>
      <c r="AA478" s="18"/>
      <c r="AB478" s="18"/>
      <c r="AC478" s="18"/>
    </row>
    <row r="479" spans="23:29" customFormat="1" x14ac:dyDescent="0.25">
      <c r="W479" s="37"/>
      <c r="X479" s="52"/>
      <c r="Y479" s="52"/>
      <c r="Z479" s="37"/>
      <c r="AA479" s="18"/>
      <c r="AB479" s="18"/>
      <c r="AC479" s="18"/>
    </row>
    <row r="480" spans="23:29" customFormat="1" x14ac:dyDescent="0.25">
      <c r="W480" s="37"/>
      <c r="X480" s="52"/>
      <c r="Y480" s="52"/>
      <c r="Z480" s="37"/>
      <c r="AA480" s="18"/>
      <c r="AB480" s="18"/>
      <c r="AC480" s="18"/>
    </row>
    <row r="481" spans="23:29" customFormat="1" x14ac:dyDescent="0.25">
      <c r="W481" s="37"/>
      <c r="X481" s="52"/>
      <c r="Y481" s="52"/>
      <c r="Z481" s="37"/>
      <c r="AA481" s="18"/>
      <c r="AB481" s="18"/>
      <c r="AC481" s="18"/>
    </row>
    <row r="482" spans="23:29" customFormat="1" x14ac:dyDescent="0.25">
      <c r="W482" s="37"/>
      <c r="X482" s="52"/>
      <c r="Y482" s="52"/>
      <c r="Z482" s="37"/>
      <c r="AA482" s="18"/>
      <c r="AB482" s="18"/>
      <c r="AC482" s="18"/>
    </row>
    <row r="483" spans="23:29" customFormat="1" x14ac:dyDescent="0.25">
      <c r="W483" s="37"/>
      <c r="X483" s="52"/>
      <c r="Y483" s="52"/>
      <c r="Z483" s="37"/>
      <c r="AA483" s="18"/>
      <c r="AB483" s="18"/>
      <c r="AC483" s="18"/>
    </row>
    <row r="484" spans="23:29" customFormat="1" x14ac:dyDescent="0.25">
      <c r="W484" s="37"/>
      <c r="X484" s="52"/>
      <c r="Y484" s="52"/>
      <c r="Z484" s="37"/>
      <c r="AA484" s="18"/>
      <c r="AB484" s="18"/>
      <c r="AC484" s="18"/>
    </row>
    <row r="485" spans="23:29" customFormat="1" x14ac:dyDescent="0.25">
      <c r="W485" s="37"/>
      <c r="X485" s="52"/>
      <c r="Y485" s="52"/>
      <c r="Z485" s="37"/>
      <c r="AA485" s="18"/>
      <c r="AB485" s="18"/>
      <c r="AC485" s="18"/>
    </row>
    <row r="486" spans="23:29" customFormat="1" x14ac:dyDescent="0.25">
      <c r="W486" s="37"/>
      <c r="X486" s="52"/>
      <c r="Y486" s="52"/>
      <c r="Z486" s="37"/>
      <c r="AA486" s="18"/>
      <c r="AB486" s="18"/>
      <c r="AC486" s="18"/>
    </row>
    <row r="487" spans="23:29" customFormat="1" x14ac:dyDescent="0.25">
      <c r="W487" s="37"/>
      <c r="X487" s="52"/>
      <c r="Y487" s="52"/>
      <c r="Z487" s="37"/>
      <c r="AA487" s="18"/>
      <c r="AB487" s="18"/>
      <c r="AC487" s="18"/>
    </row>
    <row r="488" spans="23:29" customFormat="1" x14ac:dyDescent="0.25">
      <c r="W488" s="37"/>
      <c r="X488" s="52"/>
      <c r="Y488" s="52"/>
      <c r="Z488" s="37"/>
      <c r="AA488" s="18"/>
      <c r="AB488" s="18"/>
      <c r="AC488" s="18"/>
    </row>
    <row r="489" spans="23:29" customFormat="1" x14ac:dyDescent="0.25">
      <c r="W489" s="37"/>
      <c r="X489" s="52"/>
      <c r="Y489" s="52"/>
      <c r="Z489" s="37"/>
      <c r="AA489" s="18"/>
      <c r="AB489" s="18"/>
      <c r="AC489" s="18"/>
    </row>
    <row r="490" spans="23:29" customFormat="1" x14ac:dyDescent="0.25">
      <c r="W490" s="37"/>
      <c r="X490" s="52"/>
      <c r="Y490" s="52"/>
      <c r="Z490" s="37"/>
      <c r="AA490" s="18"/>
      <c r="AB490" s="18"/>
      <c r="AC490" s="18"/>
    </row>
    <row r="491" spans="23:29" customFormat="1" x14ac:dyDescent="0.25">
      <c r="W491" s="37"/>
      <c r="X491" s="52"/>
      <c r="Y491" s="52"/>
      <c r="Z491" s="37"/>
      <c r="AA491" s="18"/>
      <c r="AB491" s="18"/>
      <c r="AC491" s="18"/>
    </row>
    <row r="492" spans="23:29" customFormat="1" x14ac:dyDescent="0.25">
      <c r="W492" s="37"/>
      <c r="X492" s="52"/>
      <c r="Y492" s="52"/>
      <c r="Z492" s="37"/>
      <c r="AA492" s="18"/>
      <c r="AB492" s="18"/>
      <c r="AC492" s="18"/>
    </row>
    <row r="493" spans="23:29" customFormat="1" x14ac:dyDescent="0.25">
      <c r="W493" s="37"/>
      <c r="X493" s="52"/>
      <c r="Y493" s="52"/>
      <c r="Z493" s="37"/>
      <c r="AA493" s="18"/>
      <c r="AB493" s="18"/>
      <c r="AC493" s="18"/>
    </row>
    <row r="494" spans="23:29" customFormat="1" x14ac:dyDescent="0.25">
      <c r="W494" s="37"/>
      <c r="X494" s="52"/>
      <c r="Y494" s="52"/>
      <c r="Z494" s="37"/>
      <c r="AA494" s="18"/>
      <c r="AB494" s="18"/>
      <c r="AC494" s="18"/>
    </row>
    <row r="495" spans="23:29" customFormat="1" x14ac:dyDescent="0.25">
      <c r="W495" s="37"/>
      <c r="X495" s="52"/>
      <c r="Y495" s="52"/>
      <c r="Z495" s="37"/>
      <c r="AA495" s="18"/>
      <c r="AB495" s="18"/>
      <c r="AC495" s="18"/>
    </row>
    <row r="496" spans="23:29" customFormat="1" x14ac:dyDescent="0.25">
      <c r="W496" s="37"/>
      <c r="X496" s="52"/>
      <c r="Y496" s="52"/>
      <c r="Z496" s="37"/>
      <c r="AA496" s="18"/>
      <c r="AB496" s="18"/>
      <c r="AC496" s="18"/>
    </row>
    <row r="497" spans="23:29" customFormat="1" x14ac:dyDescent="0.25">
      <c r="W497" s="37"/>
      <c r="X497" s="52"/>
      <c r="Y497" s="52"/>
      <c r="Z497" s="37"/>
      <c r="AA497" s="18"/>
      <c r="AB497" s="18"/>
      <c r="AC497" s="18"/>
    </row>
    <row r="498" spans="23:29" customFormat="1" x14ac:dyDescent="0.25">
      <c r="W498" s="37"/>
      <c r="X498" s="52"/>
      <c r="Y498" s="52"/>
      <c r="Z498" s="37"/>
      <c r="AA498" s="18"/>
      <c r="AB498" s="18"/>
      <c r="AC498" s="18"/>
    </row>
    <row r="499" spans="23:29" customFormat="1" x14ac:dyDescent="0.25">
      <c r="W499" s="37"/>
      <c r="X499" s="52"/>
      <c r="Y499" s="52"/>
      <c r="Z499" s="37"/>
      <c r="AA499" s="18"/>
      <c r="AB499" s="18"/>
      <c r="AC499" s="18"/>
    </row>
    <row r="500" spans="23:29" customFormat="1" x14ac:dyDescent="0.25">
      <c r="W500" s="37"/>
      <c r="X500" s="52"/>
      <c r="Y500" s="52"/>
      <c r="Z500" s="37"/>
      <c r="AA500" s="18"/>
      <c r="AB500" s="18"/>
      <c r="AC500" s="18"/>
    </row>
    <row r="501" spans="23:29" customFormat="1" x14ac:dyDescent="0.25">
      <c r="W501" s="37"/>
      <c r="X501" s="52"/>
      <c r="Y501" s="52"/>
      <c r="Z501" s="37"/>
      <c r="AA501" s="18"/>
      <c r="AB501" s="18"/>
      <c r="AC501" s="18"/>
    </row>
    <row r="502" spans="23:29" customFormat="1" x14ac:dyDescent="0.25">
      <c r="W502" s="37"/>
      <c r="X502" s="52"/>
      <c r="Y502" s="52"/>
      <c r="Z502" s="37"/>
      <c r="AA502" s="18"/>
      <c r="AB502" s="18"/>
      <c r="AC502" s="18"/>
    </row>
    <row r="503" spans="23:29" customFormat="1" x14ac:dyDescent="0.25">
      <c r="W503" s="37"/>
      <c r="X503" s="52"/>
      <c r="Y503" s="52"/>
      <c r="Z503" s="37"/>
      <c r="AA503" s="18"/>
      <c r="AB503" s="18"/>
      <c r="AC503" s="18"/>
    </row>
    <row r="504" spans="23:29" customFormat="1" x14ac:dyDescent="0.25">
      <c r="W504" s="37"/>
      <c r="X504" s="52"/>
      <c r="Y504" s="52"/>
      <c r="Z504" s="37"/>
      <c r="AA504" s="18"/>
      <c r="AB504" s="18"/>
      <c r="AC504" s="18"/>
    </row>
    <row r="505" spans="23:29" customFormat="1" x14ac:dyDescent="0.25">
      <c r="W505" s="37"/>
      <c r="X505" s="52"/>
      <c r="Y505" s="52"/>
      <c r="Z505" s="37"/>
      <c r="AA505" s="18"/>
      <c r="AB505" s="18"/>
      <c r="AC505" s="18"/>
    </row>
    <row r="506" spans="23:29" customFormat="1" x14ac:dyDescent="0.25">
      <c r="W506" s="37"/>
      <c r="X506" s="52"/>
      <c r="Y506" s="52"/>
      <c r="Z506" s="37"/>
      <c r="AA506" s="18"/>
      <c r="AB506" s="18"/>
      <c r="AC506" s="18"/>
    </row>
    <row r="507" spans="23:29" customFormat="1" x14ac:dyDescent="0.25">
      <c r="W507" s="37"/>
      <c r="X507" s="52"/>
      <c r="Y507" s="52"/>
      <c r="Z507" s="37"/>
      <c r="AA507" s="18"/>
      <c r="AB507" s="18"/>
      <c r="AC507" s="18"/>
    </row>
    <row r="508" spans="23:29" customFormat="1" x14ac:dyDescent="0.25">
      <c r="W508" s="37"/>
      <c r="X508" s="52"/>
      <c r="Y508" s="52"/>
      <c r="Z508" s="37"/>
      <c r="AA508" s="18"/>
      <c r="AB508" s="18"/>
      <c r="AC508" s="18"/>
    </row>
    <row r="509" spans="23:29" customFormat="1" x14ac:dyDescent="0.25">
      <c r="W509" s="37"/>
      <c r="X509" s="52"/>
      <c r="Y509" s="52"/>
      <c r="Z509" s="37"/>
      <c r="AA509" s="18"/>
      <c r="AB509" s="18"/>
      <c r="AC509" s="18"/>
    </row>
    <row r="510" spans="23:29" customFormat="1" x14ac:dyDescent="0.25">
      <c r="W510" s="37"/>
      <c r="X510" s="52"/>
      <c r="Y510" s="52"/>
      <c r="Z510" s="37"/>
      <c r="AA510" s="18"/>
      <c r="AB510" s="18"/>
      <c r="AC510" s="18"/>
    </row>
    <row r="511" spans="23:29" customFormat="1" x14ac:dyDescent="0.25">
      <c r="W511" s="37"/>
      <c r="X511" s="52"/>
      <c r="Y511" s="52"/>
      <c r="Z511" s="37"/>
      <c r="AA511" s="18"/>
      <c r="AB511" s="18"/>
      <c r="AC511" s="18"/>
    </row>
    <row r="512" spans="23:29" customFormat="1" x14ac:dyDescent="0.25">
      <c r="W512" s="37"/>
      <c r="X512" s="52"/>
      <c r="Y512" s="52"/>
      <c r="Z512" s="37"/>
      <c r="AA512" s="18"/>
      <c r="AB512" s="18"/>
      <c r="AC512" s="18"/>
    </row>
    <row r="513" spans="23:29" customFormat="1" x14ac:dyDescent="0.25">
      <c r="W513" s="37"/>
      <c r="X513" s="52"/>
      <c r="Y513" s="52"/>
      <c r="Z513" s="37"/>
      <c r="AA513" s="18"/>
      <c r="AB513" s="18"/>
      <c r="AC513" s="18"/>
    </row>
    <row r="514" spans="23:29" customFormat="1" x14ac:dyDescent="0.25">
      <c r="W514" s="37"/>
      <c r="X514" s="52"/>
      <c r="Y514" s="52"/>
      <c r="Z514" s="37"/>
      <c r="AA514" s="18"/>
      <c r="AB514" s="18"/>
      <c r="AC514" s="18"/>
    </row>
    <row r="515" spans="23:29" customFormat="1" x14ac:dyDescent="0.25">
      <c r="W515" s="37"/>
      <c r="X515" s="52"/>
      <c r="Y515" s="52"/>
      <c r="Z515" s="37"/>
      <c r="AA515" s="18"/>
      <c r="AB515" s="18"/>
      <c r="AC515" s="18"/>
    </row>
    <row r="516" spans="23:29" customFormat="1" x14ac:dyDescent="0.25">
      <c r="W516" s="37"/>
      <c r="X516" s="52"/>
      <c r="Y516" s="52"/>
      <c r="Z516" s="37"/>
      <c r="AA516" s="18"/>
      <c r="AB516" s="18"/>
      <c r="AC516" s="18"/>
    </row>
    <row r="517" spans="23:29" customFormat="1" x14ac:dyDescent="0.25">
      <c r="W517" s="37"/>
      <c r="X517" s="52"/>
      <c r="Y517" s="52"/>
      <c r="Z517" s="37"/>
      <c r="AA517" s="18"/>
      <c r="AB517" s="18"/>
      <c r="AC517" s="18"/>
    </row>
    <row r="518" spans="23:29" customFormat="1" x14ac:dyDescent="0.25">
      <c r="W518" s="37"/>
      <c r="X518" s="52"/>
      <c r="Y518" s="52"/>
      <c r="Z518" s="37"/>
      <c r="AA518" s="18"/>
      <c r="AB518" s="18"/>
      <c r="AC518" s="18"/>
    </row>
    <row r="519" spans="23:29" customFormat="1" x14ac:dyDescent="0.25">
      <c r="W519" s="37"/>
      <c r="X519" s="52"/>
      <c r="Y519" s="52"/>
      <c r="Z519" s="37"/>
      <c r="AA519" s="18"/>
      <c r="AB519" s="18"/>
      <c r="AC519" s="18"/>
    </row>
    <row r="520" spans="23:29" customFormat="1" x14ac:dyDescent="0.25">
      <c r="W520" s="37"/>
      <c r="X520" s="52"/>
      <c r="Y520" s="52"/>
      <c r="Z520" s="37"/>
      <c r="AA520" s="18"/>
      <c r="AB520" s="18"/>
      <c r="AC520" s="18"/>
    </row>
    <row r="521" spans="23:29" customFormat="1" x14ac:dyDescent="0.25">
      <c r="W521" s="37"/>
      <c r="X521" s="52"/>
      <c r="Y521" s="52"/>
      <c r="Z521" s="37"/>
      <c r="AA521" s="18"/>
      <c r="AB521" s="18"/>
      <c r="AC521" s="18"/>
    </row>
    <row r="522" spans="23:29" customFormat="1" x14ac:dyDescent="0.25">
      <c r="W522" s="37"/>
      <c r="X522" s="52"/>
      <c r="Y522" s="52"/>
      <c r="Z522" s="37"/>
      <c r="AA522" s="18"/>
      <c r="AB522" s="18"/>
      <c r="AC522" s="18"/>
    </row>
    <row r="523" spans="23:29" customFormat="1" x14ac:dyDescent="0.25">
      <c r="W523" s="37"/>
      <c r="X523" s="52"/>
      <c r="Y523" s="52"/>
      <c r="Z523" s="37"/>
      <c r="AA523" s="18"/>
      <c r="AB523" s="18"/>
      <c r="AC523" s="18"/>
    </row>
    <row r="524" spans="23:29" customFormat="1" x14ac:dyDescent="0.25">
      <c r="W524" s="37"/>
      <c r="X524" s="52"/>
      <c r="Y524" s="52"/>
      <c r="Z524" s="37"/>
      <c r="AA524" s="18"/>
      <c r="AB524" s="18"/>
      <c r="AC524" s="18"/>
    </row>
    <row r="525" spans="23:29" customFormat="1" x14ac:dyDescent="0.25">
      <c r="W525" s="37"/>
      <c r="X525" s="52"/>
      <c r="Y525" s="52"/>
      <c r="Z525" s="37"/>
      <c r="AA525" s="18"/>
      <c r="AB525" s="18"/>
      <c r="AC525" s="18"/>
    </row>
    <row r="526" spans="23:29" customFormat="1" x14ac:dyDescent="0.25">
      <c r="W526" s="37"/>
      <c r="X526" s="52"/>
      <c r="Y526" s="52"/>
      <c r="Z526" s="37"/>
      <c r="AA526" s="18"/>
      <c r="AB526" s="18"/>
      <c r="AC526" s="18"/>
    </row>
    <row r="527" spans="23:29" customFormat="1" x14ac:dyDescent="0.25">
      <c r="W527" s="37"/>
      <c r="X527" s="52"/>
      <c r="Y527" s="52"/>
      <c r="Z527" s="37"/>
      <c r="AA527" s="18"/>
      <c r="AB527" s="18"/>
      <c r="AC527" s="18"/>
    </row>
    <row r="528" spans="23:29" customFormat="1" x14ac:dyDescent="0.25">
      <c r="W528" s="37"/>
      <c r="X528" s="52"/>
      <c r="Y528" s="52"/>
      <c r="Z528" s="37"/>
      <c r="AA528" s="18"/>
      <c r="AB528" s="18"/>
      <c r="AC528" s="18"/>
    </row>
    <row r="529" spans="23:29" customFormat="1" x14ac:dyDescent="0.25">
      <c r="W529" s="37"/>
      <c r="X529" s="52"/>
      <c r="Y529" s="52"/>
      <c r="Z529" s="37"/>
      <c r="AA529" s="18"/>
      <c r="AB529" s="18"/>
      <c r="AC529" s="18"/>
    </row>
    <row r="530" spans="23:29" customFormat="1" x14ac:dyDescent="0.25">
      <c r="W530" s="37"/>
      <c r="X530" s="52"/>
      <c r="Y530" s="52"/>
      <c r="Z530" s="37"/>
      <c r="AA530" s="18"/>
      <c r="AB530" s="18"/>
      <c r="AC530" s="18"/>
    </row>
    <row r="531" spans="23:29" customFormat="1" x14ac:dyDescent="0.25">
      <c r="W531" s="37"/>
      <c r="X531" s="52"/>
      <c r="Y531" s="52"/>
      <c r="Z531" s="37"/>
      <c r="AA531" s="18"/>
      <c r="AB531" s="18"/>
      <c r="AC531" s="18"/>
    </row>
    <row r="532" spans="23:29" customFormat="1" x14ac:dyDescent="0.25">
      <c r="W532" s="37"/>
      <c r="X532" s="52"/>
      <c r="Y532" s="52"/>
      <c r="Z532" s="37"/>
      <c r="AA532" s="18"/>
      <c r="AB532" s="18"/>
      <c r="AC532" s="18"/>
    </row>
    <row r="533" spans="23:29" customFormat="1" x14ac:dyDescent="0.25">
      <c r="W533" s="37"/>
      <c r="X533" s="52"/>
      <c r="Y533" s="52"/>
      <c r="Z533" s="37"/>
      <c r="AA533" s="18"/>
      <c r="AB533" s="18"/>
      <c r="AC533" s="18"/>
    </row>
    <row r="534" spans="23:29" customFormat="1" x14ac:dyDescent="0.25">
      <c r="W534" s="37"/>
      <c r="X534" s="52"/>
      <c r="Y534" s="52"/>
      <c r="Z534" s="37"/>
      <c r="AA534" s="18"/>
      <c r="AB534" s="18"/>
      <c r="AC534" s="18"/>
    </row>
    <row r="535" spans="23:29" customFormat="1" x14ac:dyDescent="0.25">
      <c r="W535" s="37"/>
      <c r="X535" s="52"/>
      <c r="Y535" s="52"/>
      <c r="Z535" s="37"/>
      <c r="AA535" s="18"/>
      <c r="AB535" s="18"/>
      <c r="AC535" s="18"/>
    </row>
    <row r="536" spans="23:29" customFormat="1" x14ac:dyDescent="0.25">
      <c r="W536" s="37"/>
      <c r="X536" s="52"/>
      <c r="Y536" s="52"/>
      <c r="Z536" s="37"/>
      <c r="AA536" s="18"/>
      <c r="AB536" s="18"/>
      <c r="AC536" s="18"/>
    </row>
    <row r="537" spans="23:29" customFormat="1" x14ac:dyDescent="0.25">
      <c r="W537" s="37"/>
      <c r="X537" s="52"/>
      <c r="Y537" s="52"/>
      <c r="Z537" s="37"/>
      <c r="AA537" s="18"/>
      <c r="AB537" s="18"/>
      <c r="AC537" s="18"/>
    </row>
    <row r="538" spans="23:29" customFormat="1" x14ac:dyDescent="0.25">
      <c r="W538" s="37"/>
      <c r="X538" s="52"/>
      <c r="Y538" s="52"/>
      <c r="Z538" s="37"/>
      <c r="AA538" s="18"/>
      <c r="AB538" s="18"/>
      <c r="AC538" s="18"/>
    </row>
    <row r="539" spans="23:29" customFormat="1" x14ac:dyDescent="0.25">
      <c r="W539" s="37"/>
      <c r="X539" s="52"/>
      <c r="Y539" s="52"/>
      <c r="Z539" s="37"/>
      <c r="AA539" s="18"/>
      <c r="AB539" s="18"/>
      <c r="AC539" s="18"/>
    </row>
    <row r="540" spans="23:29" customFormat="1" x14ac:dyDescent="0.25">
      <c r="W540" s="37"/>
      <c r="X540" s="52"/>
      <c r="Y540" s="52"/>
      <c r="Z540" s="37"/>
      <c r="AA540" s="18"/>
      <c r="AB540" s="18"/>
      <c r="AC540" s="18"/>
    </row>
    <row r="541" spans="23:29" customFormat="1" x14ac:dyDescent="0.25">
      <c r="W541" s="37"/>
      <c r="X541" s="52"/>
      <c r="Y541" s="52"/>
      <c r="Z541" s="37"/>
      <c r="AA541" s="18"/>
      <c r="AB541" s="18"/>
      <c r="AC541" s="18"/>
    </row>
    <row r="542" spans="23:29" customFormat="1" x14ac:dyDescent="0.25">
      <c r="W542" s="37"/>
      <c r="X542" s="52"/>
      <c r="Y542" s="52"/>
      <c r="Z542" s="37"/>
      <c r="AA542" s="18"/>
      <c r="AB542" s="18"/>
      <c r="AC542" s="18"/>
    </row>
    <row r="543" spans="23:29" customFormat="1" x14ac:dyDescent="0.25">
      <c r="W543" s="37"/>
      <c r="X543" s="52"/>
      <c r="Y543" s="52"/>
      <c r="Z543" s="37"/>
      <c r="AA543" s="18"/>
      <c r="AB543" s="18"/>
      <c r="AC543" s="18"/>
    </row>
    <row r="544" spans="23:29" customFormat="1" x14ac:dyDescent="0.25">
      <c r="W544" s="37"/>
      <c r="X544" s="52"/>
      <c r="Y544" s="52"/>
      <c r="Z544" s="37"/>
      <c r="AA544" s="18"/>
      <c r="AB544" s="18"/>
      <c r="AC544" s="18"/>
    </row>
    <row r="545" spans="23:29" customFormat="1" x14ac:dyDescent="0.25">
      <c r="W545" s="37"/>
      <c r="X545" s="52"/>
      <c r="Y545" s="52"/>
      <c r="Z545" s="37"/>
      <c r="AA545" s="18"/>
      <c r="AB545" s="18"/>
      <c r="AC545" s="18"/>
    </row>
    <row r="546" spans="23:29" customFormat="1" x14ac:dyDescent="0.25">
      <c r="W546" s="37"/>
      <c r="X546" s="52"/>
      <c r="Y546" s="52"/>
      <c r="Z546" s="37"/>
      <c r="AA546" s="18"/>
      <c r="AB546" s="18"/>
      <c r="AC546" s="18"/>
    </row>
    <row r="547" spans="23:29" customFormat="1" x14ac:dyDescent="0.25">
      <c r="W547" s="37"/>
      <c r="X547" s="52"/>
      <c r="Y547" s="52"/>
      <c r="Z547" s="37"/>
      <c r="AA547" s="18"/>
      <c r="AB547" s="18"/>
      <c r="AC547" s="18"/>
    </row>
    <row r="548" spans="23:29" customFormat="1" x14ac:dyDescent="0.25">
      <c r="W548" s="37"/>
      <c r="X548" s="52"/>
      <c r="Y548" s="52"/>
      <c r="Z548" s="37"/>
      <c r="AA548" s="18"/>
      <c r="AB548" s="18"/>
      <c r="AC548" s="18"/>
    </row>
    <row r="549" spans="23:29" customFormat="1" x14ac:dyDescent="0.25">
      <c r="W549" s="37"/>
      <c r="X549" s="52"/>
      <c r="Y549" s="52"/>
      <c r="Z549" s="37"/>
      <c r="AA549" s="18"/>
      <c r="AB549" s="18"/>
      <c r="AC549" s="18"/>
    </row>
    <row r="550" spans="23:29" customFormat="1" x14ac:dyDescent="0.25">
      <c r="W550" s="37"/>
      <c r="X550" s="52"/>
      <c r="Y550" s="52"/>
      <c r="Z550" s="37"/>
      <c r="AA550" s="18"/>
      <c r="AB550" s="18"/>
      <c r="AC550" s="18"/>
    </row>
    <row r="551" spans="23:29" customFormat="1" x14ac:dyDescent="0.25">
      <c r="W551" s="37"/>
      <c r="X551" s="52"/>
      <c r="Y551" s="52"/>
      <c r="Z551" s="37"/>
      <c r="AA551" s="18"/>
      <c r="AB551" s="18"/>
      <c r="AC551" s="18"/>
    </row>
    <row r="552" spans="23:29" customFormat="1" x14ac:dyDescent="0.25">
      <c r="W552" s="37"/>
      <c r="X552" s="52"/>
      <c r="Y552" s="52"/>
      <c r="Z552" s="37"/>
      <c r="AA552" s="18"/>
      <c r="AB552" s="18"/>
      <c r="AC552" s="18"/>
    </row>
    <row r="553" spans="23:29" customFormat="1" x14ac:dyDescent="0.25">
      <c r="W553" s="37"/>
      <c r="X553" s="52"/>
      <c r="Y553" s="52"/>
      <c r="Z553" s="37"/>
      <c r="AA553" s="18"/>
      <c r="AB553" s="18"/>
      <c r="AC553" s="18"/>
    </row>
    <row r="554" spans="23:29" customFormat="1" x14ac:dyDescent="0.25">
      <c r="W554" s="37"/>
      <c r="X554" s="52"/>
      <c r="Y554" s="52"/>
      <c r="Z554" s="37"/>
      <c r="AA554" s="18"/>
      <c r="AB554" s="18"/>
      <c r="AC554" s="18"/>
    </row>
    <row r="555" spans="23:29" customFormat="1" x14ac:dyDescent="0.25">
      <c r="W555" s="37"/>
      <c r="X555" s="52"/>
      <c r="Y555" s="52"/>
      <c r="Z555" s="37"/>
      <c r="AA555" s="18"/>
      <c r="AB555" s="18"/>
      <c r="AC555" s="18"/>
    </row>
    <row r="556" spans="23:29" customFormat="1" x14ac:dyDescent="0.25">
      <c r="W556" s="37"/>
      <c r="X556" s="52"/>
      <c r="Y556" s="52"/>
      <c r="Z556" s="37"/>
      <c r="AA556" s="18"/>
      <c r="AB556" s="18"/>
      <c r="AC556" s="18"/>
    </row>
    <row r="557" spans="23:29" customFormat="1" x14ac:dyDescent="0.25">
      <c r="W557" s="37"/>
      <c r="X557" s="52"/>
      <c r="Y557" s="52"/>
      <c r="Z557" s="37"/>
      <c r="AA557" s="18"/>
      <c r="AB557" s="18"/>
      <c r="AC557" s="18"/>
    </row>
    <row r="558" spans="23:29" customFormat="1" x14ac:dyDescent="0.25">
      <c r="W558" s="37"/>
      <c r="X558" s="52"/>
      <c r="Y558" s="52"/>
      <c r="Z558" s="37"/>
      <c r="AA558" s="18"/>
      <c r="AB558" s="18"/>
      <c r="AC558" s="18"/>
    </row>
    <row r="559" spans="23:29" customFormat="1" x14ac:dyDescent="0.25">
      <c r="W559" s="37"/>
      <c r="X559" s="52"/>
      <c r="Y559" s="52"/>
      <c r="Z559" s="37"/>
      <c r="AA559" s="18"/>
      <c r="AB559" s="18"/>
      <c r="AC559" s="18"/>
    </row>
    <row r="560" spans="23:29" customFormat="1" x14ac:dyDescent="0.25">
      <c r="W560" s="37"/>
      <c r="X560" s="52"/>
      <c r="Y560" s="52"/>
      <c r="Z560" s="37"/>
      <c r="AA560" s="18"/>
      <c r="AB560" s="18"/>
      <c r="AC560" s="18"/>
    </row>
    <row r="561" spans="23:29" customFormat="1" x14ac:dyDescent="0.25">
      <c r="W561" s="37"/>
      <c r="X561" s="52"/>
      <c r="Y561" s="52"/>
      <c r="Z561" s="37"/>
      <c r="AA561" s="18"/>
      <c r="AB561" s="18"/>
      <c r="AC561" s="18"/>
    </row>
    <row r="562" spans="23:29" customFormat="1" x14ac:dyDescent="0.25">
      <c r="W562" s="37"/>
      <c r="X562" s="52"/>
      <c r="Y562" s="52"/>
      <c r="Z562" s="37"/>
      <c r="AA562" s="18"/>
      <c r="AB562" s="18"/>
      <c r="AC562" s="18"/>
    </row>
    <row r="563" spans="23:29" customFormat="1" x14ac:dyDescent="0.25">
      <c r="W563" s="37"/>
      <c r="X563" s="52"/>
      <c r="Y563" s="52"/>
      <c r="Z563" s="37"/>
      <c r="AA563" s="18"/>
      <c r="AB563" s="18"/>
      <c r="AC563" s="18"/>
    </row>
    <row r="564" spans="23:29" customFormat="1" x14ac:dyDescent="0.25">
      <c r="W564" s="37"/>
      <c r="X564" s="52"/>
      <c r="Y564" s="52"/>
      <c r="Z564" s="37"/>
      <c r="AA564" s="18"/>
      <c r="AB564" s="18"/>
      <c r="AC564" s="18"/>
    </row>
    <row r="565" spans="23:29" customFormat="1" x14ac:dyDescent="0.25">
      <c r="W565" s="37"/>
      <c r="X565" s="52"/>
      <c r="Y565" s="52"/>
      <c r="Z565" s="37"/>
      <c r="AA565" s="18"/>
      <c r="AB565" s="18"/>
      <c r="AC565" s="18"/>
    </row>
    <row r="566" spans="23:29" customFormat="1" x14ac:dyDescent="0.25">
      <c r="W566" s="37"/>
      <c r="X566" s="52"/>
      <c r="Y566" s="52"/>
      <c r="Z566" s="37"/>
      <c r="AA566" s="18"/>
      <c r="AB566" s="18"/>
      <c r="AC566" s="18"/>
    </row>
    <row r="567" spans="23:29" customFormat="1" x14ac:dyDescent="0.25">
      <c r="W567" s="37"/>
      <c r="X567" s="52"/>
      <c r="Y567" s="52"/>
      <c r="Z567" s="37"/>
      <c r="AA567" s="18"/>
      <c r="AB567" s="18"/>
      <c r="AC567" s="18"/>
    </row>
    <row r="568" spans="23:29" customFormat="1" x14ac:dyDescent="0.25">
      <c r="W568" s="37"/>
      <c r="X568" s="52"/>
      <c r="Y568" s="52"/>
      <c r="Z568" s="37"/>
      <c r="AA568" s="18"/>
      <c r="AB568" s="18"/>
      <c r="AC568" s="18"/>
    </row>
    <row r="569" spans="23:29" customFormat="1" x14ac:dyDescent="0.25">
      <c r="W569" s="37"/>
      <c r="X569" s="52"/>
      <c r="Y569" s="52"/>
      <c r="Z569" s="37"/>
      <c r="AA569" s="18"/>
      <c r="AB569" s="18"/>
      <c r="AC569" s="18"/>
    </row>
    <row r="570" spans="23:29" customFormat="1" x14ac:dyDescent="0.25">
      <c r="W570" s="37"/>
      <c r="X570" s="52"/>
      <c r="Y570" s="52"/>
      <c r="Z570" s="37"/>
      <c r="AA570" s="18"/>
      <c r="AB570" s="18"/>
      <c r="AC570" s="18"/>
    </row>
    <row r="571" spans="23:29" customFormat="1" x14ac:dyDescent="0.25">
      <c r="W571" s="37"/>
      <c r="X571" s="52"/>
      <c r="Y571" s="52"/>
      <c r="Z571" s="37"/>
      <c r="AA571" s="18"/>
      <c r="AB571" s="18"/>
      <c r="AC571" s="18"/>
    </row>
    <row r="572" spans="23:29" customFormat="1" x14ac:dyDescent="0.25">
      <c r="W572" s="37"/>
      <c r="X572" s="52"/>
      <c r="Y572" s="52"/>
      <c r="Z572" s="37"/>
      <c r="AA572" s="18"/>
      <c r="AB572" s="18"/>
      <c r="AC572" s="18"/>
    </row>
    <row r="573" spans="23:29" customFormat="1" x14ac:dyDescent="0.25">
      <c r="W573" s="37"/>
      <c r="X573" s="52"/>
      <c r="Y573" s="52"/>
      <c r="Z573" s="37"/>
      <c r="AA573" s="18"/>
      <c r="AB573" s="18"/>
      <c r="AC573" s="18"/>
    </row>
    <row r="574" spans="23:29" customFormat="1" x14ac:dyDescent="0.25">
      <c r="W574" s="37"/>
      <c r="X574" s="52"/>
      <c r="Y574" s="52"/>
      <c r="Z574" s="37"/>
      <c r="AA574" s="18"/>
      <c r="AB574" s="18"/>
      <c r="AC574" s="18"/>
    </row>
    <row r="575" spans="23:29" customFormat="1" x14ac:dyDescent="0.25">
      <c r="W575" s="37"/>
      <c r="X575" s="52"/>
      <c r="Y575" s="52"/>
      <c r="Z575" s="37"/>
      <c r="AA575" s="18"/>
      <c r="AB575" s="18"/>
      <c r="AC575" s="18"/>
    </row>
    <row r="576" spans="23:29" customFormat="1" x14ac:dyDescent="0.25">
      <c r="W576" s="37"/>
      <c r="X576" s="52"/>
      <c r="Y576" s="52"/>
      <c r="Z576" s="37"/>
      <c r="AA576" s="18"/>
      <c r="AB576" s="18"/>
      <c r="AC576" s="18"/>
    </row>
    <row r="577" spans="23:29" customFormat="1" x14ac:dyDescent="0.25">
      <c r="W577" s="37"/>
      <c r="X577" s="52"/>
      <c r="Y577" s="52"/>
      <c r="Z577" s="37"/>
      <c r="AA577" s="18"/>
      <c r="AB577" s="18"/>
      <c r="AC577" s="18"/>
    </row>
    <row r="578" spans="23:29" customFormat="1" x14ac:dyDescent="0.25">
      <c r="W578" s="37"/>
      <c r="X578" s="52"/>
      <c r="Y578" s="52"/>
      <c r="Z578" s="37"/>
      <c r="AA578" s="18"/>
      <c r="AB578" s="18"/>
      <c r="AC578" s="18"/>
    </row>
    <row r="579" spans="23:29" customFormat="1" x14ac:dyDescent="0.25">
      <c r="W579" s="37"/>
      <c r="X579" s="52"/>
      <c r="Y579" s="52"/>
      <c r="Z579" s="37"/>
      <c r="AA579" s="18"/>
      <c r="AB579" s="18"/>
      <c r="AC579" s="18"/>
    </row>
    <row r="580" spans="23:29" customFormat="1" x14ac:dyDescent="0.25">
      <c r="W580" s="37"/>
      <c r="X580" s="52"/>
      <c r="Y580" s="52"/>
      <c r="Z580" s="37"/>
      <c r="AA580" s="18"/>
      <c r="AB580" s="18"/>
      <c r="AC580" s="18"/>
    </row>
    <row r="581" spans="23:29" customFormat="1" x14ac:dyDescent="0.25">
      <c r="W581" s="37"/>
      <c r="X581" s="52"/>
      <c r="Y581" s="52"/>
      <c r="Z581" s="37"/>
      <c r="AA581" s="18"/>
      <c r="AB581" s="18"/>
      <c r="AC581" s="18"/>
    </row>
    <row r="582" spans="23:29" customFormat="1" x14ac:dyDescent="0.25">
      <c r="W582" s="37"/>
      <c r="X582" s="52"/>
      <c r="Y582" s="52"/>
      <c r="Z582" s="37"/>
      <c r="AA582" s="18"/>
      <c r="AB582" s="18"/>
      <c r="AC582" s="18"/>
    </row>
    <row r="583" spans="23:29" customFormat="1" x14ac:dyDescent="0.25">
      <c r="W583" s="37"/>
      <c r="X583" s="52"/>
      <c r="Y583" s="52"/>
      <c r="Z583" s="37"/>
      <c r="AA583" s="18"/>
      <c r="AB583" s="18"/>
      <c r="AC583" s="18"/>
    </row>
    <row r="584" spans="23:29" customFormat="1" x14ac:dyDescent="0.25">
      <c r="W584" s="37"/>
      <c r="X584" s="52"/>
      <c r="Y584" s="52"/>
      <c r="Z584" s="37"/>
      <c r="AA584" s="18"/>
      <c r="AB584" s="18"/>
      <c r="AC584" s="18"/>
    </row>
    <row r="585" spans="23:29" customFormat="1" x14ac:dyDescent="0.25">
      <c r="W585" s="37"/>
      <c r="X585" s="52"/>
      <c r="Y585" s="52"/>
      <c r="Z585" s="37"/>
      <c r="AA585" s="18"/>
      <c r="AB585" s="18"/>
      <c r="AC585" s="18"/>
    </row>
    <row r="586" spans="23:29" customFormat="1" x14ac:dyDescent="0.25">
      <c r="W586" s="37"/>
      <c r="X586" s="52"/>
      <c r="Y586" s="52"/>
      <c r="Z586" s="37"/>
      <c r="AA586" s="18"/>
      <c r="AB586" s="18"/>
      <c r="AC586" s="18"/>
    </row>
    <row r="587" spans="23:29" customFormat="1" x14ac:dyDescent="0.25">
      <c r="W587" s="37"/>
      <c r="X587" s="52"/>
      <c r="Y587" s="52"/>
      <c r="Z587" s="37"/>
      <c r="AA587" s="18"/>
      <c r="AB587" s="18"/>
      <c r="AC587" s="18"/>
    </row>
    <row r="588" spans="23:29" customFormat="1" x14ac:dyDescent="0.25">
      <c r="W588" s="37"/>
      <c r="X588" s="52"/>
      <c r="Y588" s="52"/>
      <c r="Z588" s="37"/>
      <c r="AA588" s="18"/>
      <c r="AB588" s="18"/>
      <c r="AC588" s="18"/>
    </row>
    <row r="589" spans="23:29" customFormat="1" x14ac:dyDescent="0.25">
      <c r="W589" s="37"/>
      <c r="X589" s="52"/>
      <c r="Y589" s="52"/>
      <c r="Z589" s="37"/>
      <c r="AA589" s="18"/>
      <c r="AB589" s="18"/>
      <c r="AC589" s="18"/>
    </row>
    <row r="590" spans="23:29" customFormat="1" x14ac:dyDescent="0.25">
      <c r="W590" s="37"/>
      <c r="X590" s="52"/>
      <c r="Y590" s="52"/>
      <c r="Z590" s="37"/>
      <c r="AA590" s="18"/>
      <c r="AB590" s="18"/>
      <c r="AC590" s="18"/>
    </row>
    <row r="591" spans="23:29" customFormat="1" x14ac:dyDescent="0.25">
      <c r="W591" s="37"/>
      <c r="X591" s="52"/>
      <c r="Y591" s="52"/>
      <c r="Z591" s="37"/>
      <c r="AA591" s="18"/>
      <c r="AB591" s="18"/>
      <c r="AC591" s="18"/>
    </row>
    <row r="592" spans="23:29" customFormat="1" x14ac:dyDescent="0.25">
      <c r="W592" s="37"/>
      <c r="X592" s="52"/>
      <c r="Y592" s="52"/>
      <c r="Z592" s="37"/>
      <c r="AA592" s="18"/>
      <c r="AB592" s="18"/>
      <c r="AC592" s="18"/>
    </row>
    <row r="593" spans="23:29" customFormat="1" x14ac:dyDescent="0.25">
      <c r="W593" s="37"/>
      <c r="X593" s="52"/>
      <c r="Y593" s="52"/>
      <c r="Z593" s="37"/>
      <c r="AA593" s="18"/>
      <c r="AB593" s="18"/>
      <c r="AC593" s="18"/>
    </row>
    <row r="594" spans="23:29" customFormat="1" x14ac:dyDescent="0.25">
      <c r="W594" s="37"/>
      <c r="X594" s="52"/>
      <c r="Y594" s="52"/>
      <c r="Z594" s="37"/>
      <c r="AA594" s="18"/>
      <c r="AB594" s="18"/>
      <c r="AC594" s="18"/>
    </row>
    <row r="595" spans="23:29" customFormat="1" x14ac:dyDescent="0.25">
      <c r="W595" s="37"/>
      <c r="X595" s="52"/>
      <c r="Y595" s="52"/>
      <c r="Z595" s="37"/>
      <c r="AA595" s="18"/>
      <c r="AB595" s="18"/>
      <c r="AC595" s="18"/>
    </row>
    <row r="596" spans="23:29" customFormat="1" x14ac:dyDescent="0.25">
      <c r="W596" s="37"/>
      <c r="X596" s="52"/>
      <c r="Y596" s="52"/>
      <c r="Z596" s="37"/>
      <c r="AA596" s="18"/>
      <c r="AB596" s="18"/>
      <c r="AC596" s="18"/>
    </row>
    <row r="597" spans="23:29" customFormat="1" x14ac:dyDescent="0.25">
      <c r="W597" s="37"/>
      <c r="X597" s="52"/>
      <c r="Y597" s="52"/>
      <c r="Z597" s="37"/>
      <c r="AA597" s="18"/>
      <c r="AB597" s="18"/>
      <c r="AC597" s="18"/>
    </row>
    <row r="598" spans="23:29" customFormat="1" x14ac:dyDescent="0.25">
      <c r="W598" s="37"/>
      <c r="X598" s="52"/>
      <c r="Y598" s="52"/>
      <c r="Z598" s="37"/>
      <c r="AA598" s="18"/>
      <c r="AB598" s="18"/>
      <c r="AC598" s="18"/>
    </row>
    <row r="599" spans="23:29" customFormat="1" x14ac:dyDescent="0.25">
      <c r="W599" s="37"/>
      <c r="X599" s="52"/>
      <c r="Y599" s="52"/>
      <c r="Z599" s="37"/>
      <c r="AA599" s="18"/>
      <c r="AB599" s="18"/>
      <c r="AC599" s="18"/>
    </row>
    <row r="600" spans="23:29" customFormat="1" x14ac:dyDescent="0.25">
      <c r="W600" s="37"/>
      <c r="X600" s="52"/>
      <c r="Y600" s="52"/>
      <c r="Z600" s="37"/>
      <c r="AA600" s="18"/>
      <c r="AB600" s="18"/>
      <c r="AC600" s="18"/>
    </row>
    <row r="601" spans="23:29" customFormat="1" x14ac:dyDescent="0.25">
      <c r="W601" s="37"/>
      <c r="X601" s="52"/>
      <c r="Y601" s="52"/>
      <c r="Z601" s="37"/>
      <c r="AA601" s="18"/>
      <c r="AB601" s="18"/>
      <c r="AC601" s="18"/>
    </row>
    <row r="602" spans="23:29" customFormat="1" x14ac:dyDescent="0.25">
      <c r="W602" s="37"/>
      <c r="X602" s="52"/>
      <c r="Y602" s="52"/>
      <c r="Z602" s="37"/>
      <c r="AA602" s="18"/>
      <c r="AB602" s="18"/>
      <c r="AC602" s="18"/>
    </row>
    <row r="603" spans="23:29" customFormat="1" x14ac:dyDescent="0.25">
      <c r="W603" s="37"/>
      <c r="X603" s="52"/>
      <c r="Y603" s="52"/>
      <c r="Z603" s="37"/>
      <c r="AA603" s="18"/>
      <c r="AB603" s="18"/>
      <c r="AC603" s="18"/>
    </row>
    <row r="604" spans="23:29" customFormat="1" x14ac:dyDescent="0.25">
      <c r="W604" s="37"/>
      <c r="X604" s="52"/>
      <c r="Y604" s="52"/>
      <c r="Z604" s="37"/>
      <c r="AA604" s="18"/>
      <c r="AB604" s="18"/>
      <c r="AC604" s="18"/>
    </row>
    <row r="605" spans="23:29" customFormat="1" x14ac:dyDescent="0.25">
      <c r="W605" s="37"/>
      <c r="X605" s="52"/>
      <c r="Y605" s="52"/>
      <c r="Z605" s="37"/>
      <c r="AA605" s="18"/>
      <c r="AB605" s="18"/>
      <c r="AC605" s="18"/>
    </row>
    <row r="606" spans="23:29" customFormat="1" x14ac:dyDescent="0.25">
      <c r="W606" s="37"/>
      <c r="X606" s="52"/>
      <c r="Y606" s="52"/>
      <c r="Z606" s="37"/>
      <c r="AA606" s="18"/>
      <c r="AB606" s="18"/>
      <c r="AC606" s="18"/>
    </row>
    <row r="607" spans="23:29" customFormat="1" x14ac:dyDescent="0.25">
      <c r="W607" s="37"/>
      <c r="X607" s="52"/>
      <c r="Y607" s="52"/>
      <c r="Z607" s="37"/>
      <c r="AA607" s="18"/>
      <c r="AB607" s="18"/>
      <c r="AC607" s="18"/>
    </row>
    <row r="608" spans="23:29" customFormat="1" x14ac:dyDescent="0.25">
      <c r="W608" s="37"/>
      <c r="X608" s="52"/>
      <c r="Y608" s="52"/>
      <c r="Z608" s="37"/>
      <c r="AA608" s="18"/>
      <c r="AB608" s="18"/>
      <c r="AC608" s="18"/>
    </row>
    <row r="609" spans="23:29" customFormat="1" x14ac:dyDescent="0.25">
      <c r="W609" s="37"/>
      <c r="X609" s="52"/>
      <c r="Y609" s="52"/>
      <c r="Z609" s="37"/>
      <c r="AA609" s="18"/>
      <c r="AB609" s="18"/>
      <c r="AC609" s="18"/>
    </row>
    <row r="610" spans="23:29" customFormat="1" x14ac:dyDescent="0.25">
      <c r="W610" s="37"/>
      <c r="X610" s="52"/>
      <c r="Y610" s="52"/>
      <c r="Z610" s="37"/>
      <c r="AA610" s="18"/>
      <c r="AB610" s="18"/>
      <c r="AC610" s="18"/>
    </row>
    <row r="611" spans="23:29" customFormat="1" x14ac:dyDescent="0.25">
      <c r="W611" s="37"/>
      <c r="X611" s="52"/>
      <c r="Y611" s="52"/>
      <c r="Z611" s="37"/>
      <c r="AA611" s="18"/>
      <c r="AB611" s="18"/>
      <c r="AC611" s="18"/>
    </row>
    <row r="612" spans="23:29" customFormat="1" x14ac:dyDescent="0.25">
      <c r="W612" s="37"/>
      <c r="X612" s="52"/>
      <c r="Y612" s="52"/>
      <c r="Z612" s="37"/>
      <c r="AA612" s="18"/>
      <c r="AB612" s="18"/>
      <c r="AC612" s="18"/>
    </row>
    <row r="613" spans="23:29" customFormat="1" x14ac:dyDescent="0.25">
      <c r="W613" s="37"/>
      <c r="X613" s="52"/>
      <c r="Y613" s="52"/>
      <c r="Z613" s="37"/>
      <c r="AA613" s="18"/>
      <c r="AB613" s="18"/>
      <c r="AC613" s="18"/>
    </row>
    <row r="614" spans="23:29" customFormat="1" x14ac:dyDescent="0.25">
      <c r="W614" s="37"/>
      <c r="X614" s="52"/>
      <c r="Y614" s="52"/>
      <c r="Z614" s="37"/>
      <c r="AA614" s="18"/>
      <c r="AB614" s="18"/>
      <c r="AC614" s="18"/>
    </row>
    <row r="615" spans="23:29" customFormat="1" x14ac:dyDescent="0.25">
      <c r="W615" s="37"/>
      <c r="X615" s="52"/>
      <c r="Y615" s="52"/>
      <c r="Z615" s="37"/>
      <c r="AA615" s="18"/>
      <c r="AB615" s="18"/>
      <c r="AC615" s="18"/>
    </row>
    <row r="616" spans="23:29" customFormat="1" x14ac:dyDescent="0.25">
      <c r="W616" s="37"/>
      <c r="X616" s="52"/>
      <c r="Y616" s="52"/>
      <c r="Z616" s="37"/>
      <c r="AA616" s="18"/>
      <c r="AB616" s="18"/>
      <c r="AC616" s="18"/>
    </row>
    <row r="617" spans="23:29" customFormat="1" x14ac:dyDescent="0.25">
      <c r="W617" s="37"/>
      <c r="X617" s="52"/>
      <c r="Y617" s="52"/>
      <c r="Z617" s="37"/>
      <c r="AA617" s="18"/>
      <c r="AB617" s="18"/>
      <c r="AC617" s="18"/>
    </row>
    <row r="618" spans="23:29" customFormat="1" x14ac:dyDescent="0.25">
      <c r="W618" s="37"/>
      <c r="X618" s="52"/>
      <c r="Y618" s="52"/>
      <c r="Z618" s="37"/>
      <c r="AA618" s="18"/>
      <c r="AB618" s="18"/>
      <c r="AC618" s="18"/>
    </row>
    <row r="619" spans="23:29" customFormat="1" x14ac:dyDescent="0.25">
      <c r="W619" s="37"/>
      <c r="X619" s="52"/>
      <c r="Y619" s="52"/>
      <c r="Z619" s="37"/>
      <c r="AA619" s="18"/>
      <c r="AB619" s="18"/>
      <c r="AC619" s="18"/>
    </row>
    <row r="620" spans="23:29" customFormat="1" x14ac:dyDescent="0.25">
      <c r="W620" s="37"/>
      <c r="X620" s="52"/>
      <c r="Y620" s="52"/>
      <c r="Z620" s="37"/>
      <c r="AA620" s="18"/>
      <c r="AB620" s="18"/>
      <c r="AC620" s="18"/>
    </row>
    <row r="621" spans="23:29" customFormat="1" x14ac:dyDescent="0.25">
      <c r="W621" s="37"/>
      <c r="X621" s="52"/>
      <c r="Y621" s="52"/>
      <c r="Z621" s="37"/>
      <c r="AA621" s="18"/>
      <c r="AB621" s="18"/>
      <c r="AC621" s="18"/>
    </row>
    <row r="622" spans="23:29" customFormat="1" x14ac:dyDescent="0.25">
      <c r="W622" s="37"/>
      <c r="X622" s="52"/>
      <c r="Y622" s="52"/>
      <c r="Z622" s="37"/>
      <c r="AA622" s="18"/>
      <c r="AB622" s="18"/>
      <c r="AC622" s="18"/>
    </row>
    <row r="623" spans="23:29" customFormat="1" x14ac:dyDescent="0.25">
      <c r="W623" s="37"/>
      <c r="X623" s="52"/>
      <c r="Y623" s="52"/>
      <c r="Z623" s="37"/>
      <c r="AA623" s="18"/>
      <c r="AB623" s="18"/>
      <c r="AC623" s="18"/>
    </row>
    <row r="624" spans="23:29" customFormat="1" x14ac:dyDescent="0.25">
      <c r="W624" s="37"/>
      <c r="X624" s="52"/>
      <c r="Y624" s="52"/>
      <c r="Z624" s="37"/>
      <c r="AA624" s="18"/>
      <c r="AB624" s="18"/>
      <c r="AC624" s="18"/>
    </row>
    <row r="625" spans="23:29" customFormat="1" x14ac:dyDescent="0.25">
      <c r="W625" s="37"/>
      <c r="X625" s="52"/>
      <c r="Y625" s="52"/>
      <c r="Z625" s="37"/>
      <c r="AA625" s="18"/>
      <c r="AB625" s="18"/>
      <c r="AC625" s="18"/>
    </row>
    <row r="626" spans="23:29" customFormat="1" x14ac:dyDescent="0.25">
      <c r="W626" s="37"/>
      <c r="X626" s="52"/>
      <c r="Y626" s="52"/>
      <c r="Z626" s="37"/>
      <c r="AA626" s="18"/>
      <c r="AB626" s="18"/>
      <c r="AC626" s="18"/>
    </row>
    <row r="627" spans="23:29" customFormat="1" x14ac:dyDescent="0.25">
      <c r="W627" s="37"/>
      <c r="X627" s="52"/>
      <c r="Y627" s="52"/>
      <c r="Z627" s="37"/>
      <c r="AA627" s="18"/>
      <c r="AB627" s="18"/>
      <c r="AC627" s="18"/>
    </row>
    <row r="628" spans="23:29" customFormat="1" x14ac:dyDescent="0.25">
      <c r="W628" s="37"/>
      <c r="X628" s="52"/>
      <c r="Y628" s="52"/>
      <c r="Z628" s="37"/>
      <c r="AA628" s="18"/>
      <c r="AB628" s="18"/>
      <c r="AC628" s="18"/>
    </row>
    <row r="629" spans="23:29" customFormat="1" x14ac:dyDescent="0.25">
      <c r="W629" s="37"/>
      <c r="X629" s="52"/>
      <c r="Y629" s="52"/>
      <c r="Z629" s="37"/>
      <c r="AA629" s="18"/>
      <c r="AB629" s="18"/>
      <c r="AC629" s="18"/>
    </row>
    <row r="630" spans="23:29" customFormat="1" x14ac:dyDescent="0.25">
      <c r="W630" s="37"/>
      <c r="X630" s="52"/>
      <c r="Y630" s="52"/>
      <c r="Z630" s="37"/>
      <c r="AA630" s="18"/>
      <c r="AB630" s="18"/>
      <c r="AC630" s="18"/>
    </row>
    <row r="631" spans="23:29" customFormat="1" x14ac:dyDescent="0.25">
      <c r="W631" s="37"/>
      <c r="X631" s="52"/>
      <c r="Y631" s="52"/>
      <c r="Z631" s="37"/>
      <c r="AA631" s="18"/>
      <c r="AB631" s="18"/>
      <c r="AC631" s="18"/>
    </row>
    <row r="632" spans="23:29" customFormat="1" x14ac:dyDescent="0.25">
      <c r="W632" s="37"/>
      <c r="X632" s="52"/>
      <c r="Y632" s="52"/>
      <c r="Z632" s="37"/>
      <c r="AA632" s="18"/>
      <c r="AB632" s="18"/>
      <c r="AC632" s="18"/>
    </row>
    <row r="633" spans="23:29" customFormat="1" x14ac:dyDescent="0.25">
      <c r="W633" s="37"/>
      <c r="X633" s="52"/>
      <c r="Y633" s="52"/>
      <c r="Z633" s="37"/>
      <c r="AA633" s="18"/>
      <c r="AB633" s="18"/>
      <c r="AC633" s="18"/>
    </row>
    <row r="634" spans="23:29" customFormat="1" x14ac:dyDescent="0.25">
      <c r="W634" s="37"/>
      <c r="X634" s="52"/>
      <c r="Y634" s="52"/>
      <c r="Z634" s="37"/>
      <c r="AA634" s="18"/>
      <c r="AB634" s="18"/>
      <c r="AC634" s="18"/>
    </row>
    <row r="635" spans="23:29" customFormat="1" x14ac:dyDescent="0.25">
      <c r="W635" s="37"/>
      <c r="X635" s="52"/>
      <c r="Y635" s="52"/>
      <c r="Z635" s="37"/>
      <c r="AA635" s="18"/>
      <c r="AB635" s="18"/>
      <c r="AC635" s="18"/>
    </row>
    <row r="636" spans="23:29" customFormat="1" x14ac:dyDescent="0.25">
      <c r="W636" s="37"/>
      <c r="X636" s="52"/>
      <c r="Y636" s="52"/>
      <c r="Z636" s="37"/>
      <c r="AA636" s="18"/>
      <c r="AB636" s="18"/>
      <c r="AC636" s="18"/>
    </row>
    <row r="637" spans="23:29" customFormat="1" x14ac:dyDescent="0.25">
      <c r="W637" s="37"/>
      <c r="X637" s="52"/>
      <c r="Y637" s="52"/>
      <c r="Z637" s="37"/>
      <c r="AA637" s="18"/>
      <c r="AB637" s="18"/>
      <c r="AC637" s="18"/>
    </row>
    <row r="638" spans="23:29" customFormat="1" x14ac:dyDescent="0.25">
      <c r="W638" s="37"/>
      <c r="X638" s="52"/>
      <c r="Y638" s="52"/>
      <c r="Z638" s="37"/>
      <c r="AA638" s="18"/>
      <c r="AB638" s="18"/>
      <c r="AC638" s="18"/>
    </row>
    <row r="639" spans="23:29" customFormat="1" x14ac:dyDescent="0.25">
      <c r="W639" s="37"/>
      <c r="X639" s="52"/>
      <c r="Y639" s="52"/>
      <c r="Z639" s="37"/>
      <c r="AA639" s="18"/>
      <c r="AB639" s="18"/>
      <c r="AC639" s="18"/>
    </row>
    <row r="640" spans="23:29" customFormat="1" x14ac:dyDescent="0.25">
      <c r="W640" s="37"/>
      <c r="X640" s="52"/>
      <c r="Y640" s="52"/>
      <c r="Z640" s="37"/>
      <c r="AA640" s="18"/>
      <c r="AB640" s="18"/>
      <c r="AC640" s="18"/>
    </row>
    <row r="641" spans="23:29" customFormat="1" x14ac:dyDescent="0.25">
      <c r="W641" s="37"/>
      <c r="X641" s="52"/>
      <c r="Y641" s="52"/>
      <c r="Z641" s="37"/>
      <c r="AA641" s="18"/>
      <c r="AB641" s="18"/>
      <c r="AC641" s="18"/>
    </row>
    <row r="642" spans="23:29" customFormat="1" x14ac:dyDescent="0.25">
      <c r="W642" s="37"/>
      <c r="X642" s="52"/>
      <c r="Y642" s="52"/>
      <c r="Z642" s="37"/>
      <c r="AA642" s="18"/>
      <c r="AB642" s="18"/>
      <c r="AC642" s="18"/>
    </row>
    <row r="643" spans="23:29" customFormat="1" x14ac:dyDescent="0.25">
      <c r="W643" s="37"/>
      <c r="X643" s="52"/>
      <c r="Y643" s="52"/>
      <c r="Z643" s="37"/>
      <c r="AA643" s="18"/>
      <c r="AB643" s="18"/>
      <c r="AC643" s="18"/>
    </row>
    <row r="644" spans="23:29" customFormat="1" x14ac:dyDescent="0.25">
      <c r="W644" s="37"/>
      <c r="X644" s="52"/>
      <c r="Y644" s="52"/>
      <c r="Z644" s="37"/>
      <c r="AA644" s="18"/>
      <c r="AB644" s="18"/>
      <c r="AC644" s="18"/>
    </row>
    <row r="645" spans="23:29" customFormat="1" x14ac:dyDescent="0.25">
      <c r="W645" s="37"/>
      <c r="X645" s="52"/>
      <c r="Y645" s="52"/>
      <c r="Z645" s="37"/>
      <c r="AA645" s="18"/>
      <c r="AB645" s="18"/>
      <c r="AC645" s="18"/>
    </row>
    <row r="646" spans="23:29" customFormat="1" x14ac:dyDescent="0.25">
      <c r="W646" s="37"/>
      <c r="X646" s="52"/>
      <c r="Y646" s="52"/>
      <c r="Z646" s="37"/>
      <c r="AA646" s="18"/>
      <c r="AB646" s="18"/>
      <c r="AC646" s="18"/>
    </row>
    <row r="647" spans="23:29" customFormat="1" x14ac:dyDescent="0.25">
      <c r="W647" s="37"/>
      <c r="X647" s="52"/>
      <c r="Y647" s="52"/>
      <c r="Z647" s="37"/>
      <c r="AA647" s="18"/>
      <c r="AB647" s="18"/>
      <c r="AC647" s="18"/>
    </row>
    <row r="648" spans="23:29" customFormat="1" x14ac:dyDescent="0.25">
      <c r="W648" s="37"/>
      <c r="X648" s="52"/>
      <c r="Y648" s="52"/>
      <c r="Z648" s="37"/>
      <c r="AA648" s="18"/>
      <c r="AB648" s="18"/>
      <c r="AC648" s="18"/>
    </row>
    <row r="649" spans="23:29" customFormat="1" x14ac:dyDescent="0.25">
      <c r="W649" s="37"/>
      <c r="X649" s="52"/>
      <c r="Y649" s="52"/>
      <c r="Z649" s="37"/>
      <c r="AA649" s="18"/>
      <c r="AB649" s="18"/>
      <c r="AC649" s="18"/>
    </row>
    <row r="650" spans="23:29" customFormat="1" x14ac:dyDescent="0.25">
      <c r="W650" s="37"/>
      <c r="X650" s="52"/>
      <c r="Y650" s="52"/>
      <c r="Z650" s="37"/>
      <c r="AA650" s="18"/>
      <c r="AB650" s="18"/>
      <c r="AC650" s="18"/>
    </row>
    <row r="651" spans="23:29" customFormat="1" x14ac:dyDescent="0.25">
      <c r="W651" s="37"/>
      <c r="X651" s="52"/>
      <c r="Y651" s="52"/>
      <c r="Z651" s="37"/>
      <c r="AA651" s="18"/>
      <c r="AB651" s="18"/>
      <c r="AC651" s="18"/>
    </row>
    <row r="652" spans="23:29" customFormat="1" x14ac:dyDescent="0.25">
      <c r="W652" s="37"/>
      <c r="X652" s="52"/>
      <c r="Y652" s="52"/>
      <c r="Z652" s="37"/>
      <c r="AA652" s="18"/>
      <c r="AB652" s="18"/>
      <c r="AC652" s="18"/>
    </row>
    <row r="653" spans="23:29" customFormat="1" x14ac:dyDescent="0.25">
      <c r="W653" s="37"/>
      <c r="X653" s="52"/>
      <c r="Y653" s="52"/>
      <c r="Z653" s="37"/>
      <c r="AA653" s="18"/>
      <c r="AB653" s="18"/>
      <c r="AC653" s="18"/>
    </row>
    <row r="654" spans="23:29" customFormat="1" x14ac:dyDescent="0.25">
      <c r="W654" s="37"/>
      <c r="X654" s="52"/>
      <c r="Y654" s="52"/>
      <c r="Z654" s="37"/>
      <c r="AA654" s="18"/>
      <c r="AB654" s="18"/>
      <c r="AC654" s="18"/>
    </row>
    <row r="655" spans="23:29" customFormat="1" x14ac:dyDescent="0.25">
      <c r="W655" s="37"/>
      <c r="X655" s="52"/>
      <c r="Y655" s="52"/>
      <c r="Z655" s="37"/>
      <c r="AA655" s="18"/>
      <c r="AB655" s="18"/>
      <c r="AC655" s="18"/>
    </row>
    <row r="656" spans="23:29" customFormat="1" x14ac:dyDescent="0.25">
      <c r="W656" s="37"/>
      <c r="X656" s="52"/>
      <c r="Y656" s="52"/>
      <c r="Z656" s="37"/>
      <c r="AA656" s="18"/>
      <c r="AB656" s="18"/>
      <c r="AC656" s="18"/>
    </row>
    <row r="657" spans="23:29" customFormat="1" x14ac:dyDescent="0.25">
      <c r="W657" s="37"/>
      <c r="X657" s="52"/>
      <c r="Y657" s="52"/>
      <c r="Z657" s="37"/>
      <c r="AA657" s="18"/>
      <c r="AB657" s="18"/>
      <c r="AC657" s="18"/>
    </row>
    <row r="658" spans="23:29" customFormat="1" x14ac:dyDescent="0.25">
      <c r="W658" s="37"/>
      <c r="X658" s="52"/>
      <c r="Y658" s="52"/>
      <c r="Z658" s="37"/>
      <c r="AA658" s="18"/>
      <c r="AB658" s="18"/>
      <c r="AC658" s="18"/>
    </row>
    <row r="659" spans="23:29" customFormat="1" x14ac:dyDescent="0.25">
      <c r="W659" s="37"/>
      <c r="X659" s="52"/>
      <c r="Y659" s="52"/>
      <c r="Z659" s="37"/>
      <c r="AA659" s="18"/>
      <c r="AB659" s="18"/>
      <c r="AC659" s="18"/>
    </row>
    <row r="660" spans="23:29" customFormat="1" x14ac:dyDescent="0.25">
      <c r="W660" s="37"/>
      <c r="X660" s="52"/>
      <c r="Y660" s="52"/>
      <c r="Z660" s="37"/>
      <c r="AA660" s="18"/>
      <c r="AB660" s="18"/>
      <c r="AC660" s="18"/>
    </row>
    <row r="661" spans="23:29" customFormat="1" x14ac:dyDescent="0.25">
      <c r="W661" s="37"/>
      <c r="X661" s="52"/>
      <c r="Y661" s="52"/>
      <c r="Z661" s="37"/>
      <c r="AA661" s="18"/>
      <c r="AB661" s="18"/>
      <c r="AC661" s="18"/>
    </row>
    <row r="662" spans="23:29" customFormat="1" x14ac:dyDescent="0.25">
      <c r="W662" s="37"/>
      <c r="X662" s="52"/>
      <c r="Y662" s="52"/>
      <c r="Z662" s="37"/>
      <c r="AA662" s="18"/>
      <c r="AB662" s="18"/>
      <c r="AC662" s="18"/>
    </row>
    <row r="663" spans="23:29" customFormat="1" x14ac:dyDescent="0.25">
      <c r="W663" s="37"/>
      <c r="X663" s="52"/>
      <c r="Y663" s="52"/>
      <c r="Z663" s="37"/>
      <c r="AA663" s="18"/>
      <c r="AB663" s="18"/>
      <c r="AC663" s="18"/>
    </row>
    <row r="664" spans="23:29" customFormat="1" x14ac:dyDescent="0.25">
      <c r="W664" s="37"/>
      <c r="X664" s="52"/>
      <c r="Y664" s="52"/>
      <c r="Z664" s="37"/>
      <c r="AA664" s="18"/>
      <c r="AB664" s="18"/>
      <c r="AC664" s="18"/>
    </row>
    <row r="665" spans="23:29" customFormat="1" x14ac:dyDescent="0.25">
      <c r="W665" s="37"/>
      <c r="X665" s="52"/>
      <c r="Y665" s="52"/>
      <c r="Z665" s="37"/>
      <c r="AA665" s="18"/>
      <c r="AB665" s="18"/>
      <c r="AC665" s="18"/>
    </row>
    <row r="666" spans="23:29" customFormat="1" x14ac:dyDescent="0.25">
      <c r="W666" s="37"/>
      <c r="X666" s="52"/>
      <c r="Y666" s="52"/>
      <c r="Z666" s="37"/>
      <c r="AA666" s="18"/>
      <c r="AB666" s="18"/>
      <c r="AC666" s="18"/>
    </row>
    <row r="667" spans="23:29" customFormat="1" x14ac:dyDescent="0.25">
      <c r="W667" s="37"/>
      <c r="X667" s="52"/>
      <c r="Y667" s="52"/>
      <c r="Z667" s="37"/>
      <c r="AA667" s="18"/>
      <c r="AB667" s="18"/>
      <c r="AC667" s="18"/>
    </row>
    <row r="668" spans="23:29" customFormat="1" x14ac:dyDescent="0.25">
      <c r="W668" s="37"/>
      <c r="X668" s="52"/>
      <c r="Y668" s="52"/>
      <c r="Z668" s="37"/>
      <c r="AA668" s="18"/>
      <c r="AB668" s="18"/>
      <c r="AC668" s="18"/>
    </row>
    <row r="669" spans="23:29" customFormat="1" x14ac:dyDescent="0.25">
      <c r="W669" s="37"/>
      <c r="X669" s="52"/>
      <c r="Y669" s="52"/>
      <c r="Z669" s="37"/>
      <c r="AA669" s="18"/>
      <c r="AB669" s="18"/>
      <c r="AC669" s="18"/>
    </row>
    <row r="670" spans="23:29" customFormat="1" x14ac:dyDescent="0.25">
      <c r="W670" s="37"/>
      <c r="X670" s="52"/>
      <c r="Y670" s="52"/>
      <c r="Z670" s="37"/>
      <c r="AA670" s="18"/>
      <c r="AB670" s="18"/>
      <c r="AC670" s="18"/>
    </row>
    <row r="671" spans="23:29" customFormat="1" x14ac:dyDescent="0.25">
      <c r="W671" s="37"/>
      <c r="X671" s="52"/>
      <c r="Y671" s="52"/>
      <c r="Z671" s="37"/>
      <c r="AA671" s="18"/>
      <c r="AB671" s="18"/>
      <c r="AC671" s="18"/>
    </row>
    <row r="672" spans="23:29" customFormat="1" x14ac:dyDescent="0.25">
      <c r="W672" s="37"/>
      <c r="X672" s="52"/>
      <c r="Y672" s="52"/>
      <c r="Z672" s="37"/>
      <c r="AA672" s="18"/>
      <c r="AB672" s="18"/>
      <c r="AC672" s="18"/>
    </row>
    <row r="673" spans="23:29" customFormat="1" x14ac:dyDescent="0.25">
      <c r="W673" s="37"/>
      <c r="X673" s="52"/>
      <c r="Y673" s="52"/>
      <c r="Z673" s="37"/>
      <c r="AA673" s="18"/>
      <c r="AB673" s="18"/>
      <c r="AC673" s="18"/>
    </row>
    <row r="674" spans="23:29" customFormat="1" x14ac:dyDescent="0.25">
      <c r="W674" s="37"/>
      <c r="X674" s="52"/>
      <c r="Y674" s="52"/>
      <c r="Z674" s="37"/>
      <c r="AA674" s="18"/>
      <c r="AB674" s="18"/>
      <c r="AC674" s="18"/>
    </row>
    <row r="675" spans="23:29" customFormat="1" x14ac:dyDescent="0.25">
      <c r="W675" s="37"/>
      <c r="X675" s="52"/>
      <c r="Y675" s="52"/>
      <c r="Z675" s="37"/>
      <c r="AA675" s="18"/>
      <c r="AB675" s="18"/>
      <c r="AC675" s="18"/>
    </row>
    <row r="676" spans="23:29" customFormat="1" x14ac:dyDescent="0.25">
      <c r="W676" s="37"/>
      <c r="X676" s="52"/>
      <c r="Y676" s="52"/>
      <c r="Z676" s="37"/>
      <c r="AA676" s="18"/>
      <c r="AB676" s="18"/>
      <c r="AC676" s="18"/>
    </row>
    <row r="677" spans="23:29" customFormat="1" x14ac:dyDescent="0.25">
      <c r="W677" s="37"/>
      <c r="X677" s="52"/>
      <c r="Y677" s="52"/>
      <c r="Z677" s="37"/>
      <c r="AA677" s="18"/>
      <c r="AB677" s="18"/>
      <c r="AC677" s="18"/>
    </row>
    <row r="678" spans="23:29" customFormat="1" x14ac:dyDescent="0.25">
      <c r="W678" s="37"/>
      <c r="X678" s="52"/>
      <c r="Y678" s="52"/>
      <c r="Z678" s="37"/>
      <c r="AA678" s="18"/>
      <c r="AB678" s="18"/>
      <c r="AC678" s="18"/>
    </row>
    <row r="679" spans="23:29" customFormat="1" x14ac:dyDescent="0.25">
      <c r="W679" s="37"/>
      <c r="X679" s="52"/>
      <c r="Y679" s="52"/>
      <c r="Z679" s="37"/>
      <c r="AA679" s="18"/>
      <c r="AB679" s="18"/>
      <c r="AC679" s="18"/>
    </row>
    <row r="680" spans="23:29" customFormat="1" x14ac:dyDescent="0.25">
      <c r="W680" s="37"/>
      <c r="X680" s="52"/>
      <c r="Y680" s="52"/>
      <c r="Z680" s="37"/>
      <c r="AA680" s="18"/>
      <c r="AB680" s="18"/>
      <c r="AC680" s="18"/>
    </row>
    <row r="681" spans="23:29" customFormat="1" x14ac:dyDescent="0.25">
      <c r="W681" s="37"/>
      <c r="X681" s="52"/>
      <c r="Y681" s="52"/>
      <c r="Z681" s="37"/>
      <c r="AA681" s="18"/>
      <c r="AB681" s="18"/>
      <c r="AC681" s="18"/>
    </row>
    <row r="682" spans="23:29" customFormat="1" x14ac:dyDescent="0.25">
      <c r="W682" s="37"/>
      <c r="X682" s="52"/>
      <c r="Y682" s="52"/>
      <c r="Z682" s="37"/>
      <c r="AA682" s="18"/>
      <c r="AB682" s="18"/>
      <c r="AC682" s="18"/>
    </row>
    <row r="683" spans="23:29" customFormat="1" x14ac:dyDescent="0.25">
      <c r="W683" s="37"/>
      <c r="X683" s="52"/>
      <c r="Y683" s="52"/>
      <c r="Z683" s="37"/>
      <c r="AA683" s="18"/>
      <c r="AB683" s="18"/>
      <c r="AC683" s="18"/>
    </row>
    <row r="684" spans="23:29" customFormat="1" x14ac:dyDescent="0.25">
      <c r="W684" s="37"/>
      <c r="X684" s="52"/>
      <c r="Y684" s="52"/>
      <c r="Z684" s="37"/>
      <c r="AA684" s="18"/>
      <c r="AB684" s="18"/>
      <c r="AC684" s="18"/>
    </row>
    <row r="685" spans="23:29" customFormat="1" x14ac:dyDescent="0.25">
      <c r="W685" s="37"/>
      <c r="X685" s="52"/>
      <c r="Y685" s="52"/>
      <c r="Z685" s="37"/>
      <c r="AA685" s="18"/>
      <c r="AB685" s="18"/>
      <c r="AC685" s="18"/>
    </row>
    <row r="686" spans="23:29" customFormat="1" x14ac:dyDescent="0.25">
      <c r="W686" s="37"/>
      <c r="X686" s="52"/>
      <c r="Y686" s="52"/>
      <c r="Z686" s="37"/>
      <c r="AA686" s="18"/>
      <c r="AB686" s="18"/>
      <c r="AC686" s="18"/>
    </row>
    <row r="687" spans="23:29" customFormat="1" x14ac:dyDescent="0.25">
      <c r="W687" s="37"/>
      <c r="X687" s="52"/>
      <c r="Y687" s="52"/>
      <c r="Z687" s="37"/>
      <c r="AA687" s="18"/>
      <c r="AB687" s="18"/>
      <c r="AC687" s="18"/>
    </row>
    <row r="688" spans="23:29" customFormat="1" x14ac:dyDescent="0.25">
      <c r="W688" s="37"/>
      <c r="X688" s="52"/>
      <c r="Y688" s="52"/>
      <c r="Z688" s="37"/>
      <c r="AA688" s="18"/>
      <c r="AB688" s="18"/>
      <c r="AC688" s="18"/>
    </row>
    <row r="689" spans="23:29" customFormat="1" x14ac:dyDescent="0.25">
      <c r="W689" s="37"/>
      <c r="X689" s="52"/>
      <c r="Y689" s="52"/>
      <c r="Z689" s="37"/>
      <c r="AA689" s="18"/>
      <c r="AB689" s="18"/>
      <c r="AC689" s="18"/>
    </row>
    <row r="690" spans="23:29" customFormat="1" x14ac:dyDescent="0.25">
      <c r="W690" s="37"/>
      <c r="X690" s="52"/>
      <c r="Y690" s="52"/>
      <c r="Z690" s="37"/>
      <c r="AA690" s="18"/>
      <c r="AB690" s="18"/>
      <c r="AC690" s="18"/>
    </row>
    <row r="691" spans="23:29" customFormat="1" x14ac:dyDescent="0.25">
      <c r="W691" s="37"/>
      <c r="X691" s="52"/>
      <c r="Y691" s="52"/>
      <c r="Z691" s="37"/>
      <c r="AA691" s="18"/>
      <c r="AB691" s="18"/>
      <c r="AC691" s="18"/>
    </row>
    <row r="692" spans="23:29" customFormat="1" x14ac:dyDescent="0.25">
      <c r="W692" s="37"/>
      <c r="X692" s="52"/>
      <c r="Y692" s="52"/>
      <c r="Z692" s="37"/>
      <c r="AA692" s="18"/>
      <c r="AB692" s="18"/>
      <c r="AC692" s="18"/>
    </row>
    <row r="693" spans="23:29" customFormat="1" x14ac:dyDescent="0.25">
      <c r="W693" s="37"/>
      <c r="X693" s="52"/>
      <c r="Y693" s="52"/>
      <c r="Z693" s="37"/>
      <c r="AA693" s="18"/>
      <c r="AB693" s="18"/>
      <c r="AC693" s="18"/>
    </row>
    <row r="694" spans="23:29" customFormat="1" x14ac:dyDescent="0.25">
      <c r="W694" s="37"/>
      <c r="X694" s="52"/>
      <c r="Y694" s="52"/>
      <c r="Z694" s="37"/>
      <c r="AA694" s="18"/>
      <c r="AB694" s="18"/>
      <c r="AC694" s="18"/>
    </row>
    <row r="695" spans="23:29" customFormat="1" x14ac:dyDescent="0.25">
      <c r="W695" s="37"/>
      <c r="X695" s="52"/>
      <c r="Y695" s="52"/>
      <c r="Z695" s="37"/>
      <c r="AA695" s="18"/>
      <c r="AB695" s="18"/>
      <c r="AC695" s="18"/>
    </row>
    <row r="696" spans="23:29" customFormat="1" x14ac:dyDescent="0.25">
      <c r="W696" s="37"/>
      <c r="X696" s="52"/>
      <c r="Y696" s="52"/>
      <c r="Z696" s="37"/>
      <c r="AA696" s="18"/>
      <c r="AB696" s="18"/>
      <c r="AC696" s="18"/>
    </row>
    <row r="697" spans="23:29" customFormat="1" x14ac:dyDescent="0.25">
      <c r="W697" s="37"/>
      <c r="X697" s="52"/>
      <c r="Y697" s="52"/>
      <c r="Z697" s="37"/>
      <c r="AA697" s="18"/>
      <c r="AB697" s="18"/>
      <c r="AC697" s="18"/>
    </row>
    <row r="698" spans="23:29" customFormat="1" x14ac:dyDescent="0.25">
      <c r="W698" s="37"/>
      <c r="X698" s="52"/>
      <c r="Y698" s="52"/>
      <c r="Z698" s="37"/>
      <c r="AA698" s="18"/>
      <c r="AB698" s="18"/>
      <c r="AC698" s="18"/>
    </row>
    <row r="699" spans="23:29" customFormat="1" x14ac:dyDescent="0.25">
      <c r="W699" s="37"/>
      <c r="X699" s="52"/>
      <c r="Y699" s="52"/>
      <c r="Z699" s="37"/>
      <c r="AA699" s="18"/>
      <c r="AB699" s="18"/>
      <c r="AC699" s="18"/>
    </row>
    <row r="700" spans="23:29" customFormat="1" x14ac:dyDescent="0.25">
      <c r="W700" s="37"/>
      <c r="X700" s="52"/>
      <c r="Y700" s="52"/>
      <c r="Z700" s="37"/>
      <c r="AA700" s="18"/>
      <c r="AB700" s="18"/>
      <c r="AC700" s="18"/>
    </row>
    <row r="701" spans="23:29" customFormat="1" x14ac:dyDescent="0.25">
      <c r="W701" s="37"/>
      <c r="X701" s="52"/>
      <c r="Y701" s="52"/>
      <c r="Z701" s="37"/>
      <c r="AA701" s="18"/>
      <c r="AB701" s="18"/>
      <c r="AC701" s="18"/>
    </row>
    <row r="702" spans="23:29" customFormat="1" x14ac:dyDescent="0.25">
      <c r="W702" s="37"/>
      <c r="X702" s="52"/>
      <c r="Y702" s="52"/>
      <c r="Z702" s="37"/>
      <c r="AA702" s="18"/>
      <c r="AB702" s="18"/>
      <c r="AC702" s="18"/>
    </row>
    <row r="703" spans="23:29" customFormat="1" x14ac:dyDescent="0.25">
      <c r="W703" s="37"/>
      <c r="X703" s="52"/>
      <c r="Y703" s="52"/>
      <c r="Z703" s="37"/>
      <c r="AA703" s="18"/>
      <c r="AB703" s="18"/>
      <c r="AC703" s="18"/>
    </row>
    <row r="704" spans="23:29" customFormat="1" x14ac:dyDescent="0.25">
      <c r="W704" s="37"/>
      <c r="X704" s="52"/>
      <c r="Y704" s="52"/>
      <c r="Z704" s="37"/>
      <c r="AA704" s="18"/>
      <c r="AB704" s="18"/>
      <c r="AC704" s="18"/>
    </row>
    <row r="705" spans="23:29" customFormat="1" x14ac:dyDescent="0.25">
      <c r="W705" s="37"/>
      <c r="X705" s="52"/>
      <c r="Y705" s="52"/>
      <c r="Z705" s="37"/>
      <c r="AA705" s="18"/>
      <c r="AB705" s="18"/>
      <c r="AC705" s="18"/>
    </row>
    <row r="706" spans="23:29" customFormat="1" x14ac:dyDescent="0.25">
      <c r="W706" s="37"/>
      <c r="X706" s="52"/>
      <c r="Y706" s="52"/>
      <c r="Z706" s="37"/>
      <c r="AA706" s="18"/>
      <c r="AB706" s="18"/>
      <c r="AC706" s="18"/>
    </row>
    <row r="707" spans="23:29" customFormat="1" x14ac:dyDescent="0.25">
      <c r="W707" s="37"/>
      <c r="X707" s="52"/>
      <c r="Y707" s="52"/>
      <c r="Z707" s="37"/>
      <c r="AA707" s="18"/>
      <c r="AB707" s="18"/>
      <c r="AC707" s="18"/>
    </row>
    <row r="708" spans="23:29" customFormat="1" x14ac:dyDescent="0.25">
      <c r="W708" s="37"/>
      <c r="X708" s="52"/>
      <c r="Y708" s="52"/>
      <c r="Z708" s="37"/>
      <c r="AA708" s="18"/>
      <c r="AB708" s="18"/>
      <c r="AC708" s="18"/>
    </row>
    <row r="709" spans="23:29" customFormat="1" x14ac:dyDescent="0.25">
      <c r="W709" s="37"/>
      <c r="X709" s="52"/>
      <c r="Y709" s="52"/>
      <c r="Z709" s="37"/>
      <c r="AA709" s="18"/>
      <c r="AB709" s="18"/>
      <c r="AC709" s="18"/>
    </row>
    <row r="710" spans="23:29" customFormat="1" x14ac:dyDescent="0.25">
      <c r="W710" s="37"/>
      <c r="X710" s="52"/>
      <c r="Y710" s="52"/>
      <c r="Z710" s="37"/>
      <c r="AA710" s="18"/>
      <c r="AB710" s="18"/>
      <c r="AC710" s="18"/>
    </row>
    <row r="711" spans="23:29" customFormat="1" x14ac:dyDescent="0.25">
      <c r="W711" s="37"/>
      <c r="X711" s="52"/>
      <c r="Y711" s="52"/>
      <c r="Z711" s="37"/>
      <c r="AA711" s="18"/>
      <c r="AB711" s="18"/>
      <c r="AC711" s="18"/>
    </row>
    <row r="712" spans="23:29" customFormat="1" x14ac:dyDescent="0.25">
      <c r="W712" s="37"/>
      <c r="X712" s="52"/>
      <c r="Y712" s="52"/>
      <c r="Z712" s="37"/>
      <c r="AA712" s="18"/>
      <c r="AB712" s="18"/>
      <c r="AC712" s="18"/>
    </row>
    <row r="713" spans="23:29" customFormat="1" x14ac:dyDescent="0.25">
      <c r="W713" s="37"/>
      <c r="X713" s="52"/>
      <c r="Y713" s="52"/>
      <c r="Z713" s="37"/>
      <c r="AA713" s="18"/>
      <c r="AB713" s="18"/>
      <c r="AC713" s="18"/>
    </row>
    <row r="714" spans="23:29" customFormat="1" x14ac:dyDescent="0.25">
      <c r="W714" s="37"/>
      <c r="X714" s="52"/>
      <c r="Y714" s="52"/>
      <c r="Z714" s="37"/>
      <c r="AA714" s="18"/>
      <c r="AB714" s="18"/>
      <c r="AC714" s="18"/>
    </row>
    <row r="715" spans="23:29" customFormat="1" x14ac:dyDescent="0.25">
      <c r="W715" s="37"/>
      <c r="X715" s="52"/>
      <c r="Y715" s="52"/>
      <c r="Z715" s="37"/>
      <c r="AA715" s="18"/>
      <c r="AB715" s="18"/>
      <c r="AC715" s="18"/>
    </row>
    <row r="716" spans="23:29" customFormat="1" x14ac:dyDescent="0.25">
      <c r="W716" s="37"/>
      <c r="X716" s="52"/>
      <c r="Y716" s="52"/>
      <c r="Z716" s="37"/>
      <c r="AA716" s="18"/>
      <c r="AB716" s="18"/>
      <c r="AC716" s="18"/>
    </row>
    <row r="717" spans="23:29" customFormat="1" x14ac:dyDescent="0.25">
      <c r="W717" s="37"/>
      <c r="X717" s="52"/>
      <c r="Y717" s="52"/>
      <c r="Z717" s="37"/>
      <c r="AA717" s="18"/>
      <c r="AB717" s="18"/>
      <c r="AC717" s="18"/>
    </row>
    <row r="718" spans="23:29" customFormat="1" x14ac:dyDescent="0.25">
      <c r="W718" s="37"/>
      <c r="X718" s="52"/>
      <c r="Y718" s="52"/>
      <c r="Z718" s="37"/>
      <c r="AA718" s="18"/>
      <c r="AB718" s="18"/>
      <c r="AC718" s="18"/>
    </row>
    <row r="719" spans="23:29" customFormat="1" x14ac:dyDescent="0.25">
      <c r="W719" s="37"/>
      <c r="X719" s="52"/>
      <c r="Y719" s="52"/>
      <c r="Z719" s="37"/>
      <c r="AA719" s="18"/>
      <c r="AB719" s="18"/>
      <c r="AC719" s="18"/>
    </row>
    <row r="720" spans="23:29" customFormat="1" x14ac:dyDescent="0.25">
      <c r="W720" s="37"/>
      <c r="X720" s="52"/>
      <c r="Y720" s="52"/>
      <c r="Z720" s="37"/>
      <c r="AA720" s="18"/>
      <c r="AB720" s="18"/>
      <c r="AC720" s="18"/>
    </row>
    <row r="721" spans="23:29" customFormat="1" x14ac:dyDescent="0.25">
      <c r="W721" s="37"/>
      <c r="X721" s="52"/>
      <c r="Y721" s="52"/>
      <c r="Z721" s="37"/>
      <c r="AA721" s="18"/>
      <c r="AB721" s="18"/>
      <c r="AC721" s="18"/>
    </row>
    <row r="722" spans="23:29" customFormat="1" x14ac:dyDescent="0.25">
      <c r="W722" s="37"/>
      <c r="X722" s="52"/>
      <c r="Y722" s="52"/>
      <c r="Z722" s="37"/>
      <c r="AA722" s="18"/>
      <c r="AB722" s="18"/>
      <c r="AC722" s="18"/>
    </row>
    <row r="723" spans="23:29" customFormat="1" x14ac:dyDescent="0.25">
      <c r="W723" s="37"/>
      <c r="X723" s="52"/>
      <c r="Y723" s="52"/>
      <c r="Z723" s="37"/>
      <c r="AA723" s="18"/>
      <c r="AB723" s="18"/>
      <c r="AC723" s="18"/>
    </row>
    <row r="724" spans="23:29" customFormat="1" x14ac:dyDescent="0.25">
      <c r="W724" s="37"/>
      <c r="X724" s="52"/>
      <c r="Y724" s="52"/>
      <c r="Z724" s="37"/>
      <c r="AA724" s="18"/>
      <c r="AB724" s="18"/>
      <c r="AC724" s="18"/>
    </row>
    <row r="725" spans="23:29" customFormat="1" x14ac:dyDescent="0.25">
      <c r="W725" s="37"/>
      <c r="X725" s="52"/>
      <c r="Y725" s="52"/>
      <c r="Z725" s="37"/>
      <c r="AA725" s="18"/>
      <c r="AB725" s="18"/>
      <c r="AC725" s="18"/>
    </row>
    <row r="726" spans="23:29" customFormat="1" x14ac:dyDescent="0.25">
      <c r="W726" s="37"/>
      <c r="X726" s="52"/>
      <c r="Y726" s="52"/>
      <c r="Z726" s="37"/>
      <c r="AA726" s="18"/>
      <c r="AB726" s="18"/>
      <c r="AC726" s="18"/>
    </row>
    <row r="727" spans="23:29" customFormat="1" x14ac:dyDescent="0.25">
      <c r="W727" s="37"/>
      <c r="X727" s="52"/>
      <c r="Y727" s="52"/>
      <c r="Z727" s="37"/>
      <c r="AA727" s="18"/>
      <c r="AB727" s="18"/>
      <c r="AC727" s="18"/>
    </row>
    <row r="728" spans="23:29" customFormat="1" x14ac:dyDescent="0.25">
      <c r="W728" s="37"/>
      <c r="X728" s="52"/>
      <c r="Y728" s="52"/>
      <c r="Z728" s="37"/>
      <c r="AA728" s="18"/>
      <c r="AB728" s="18"/>
      <c r="AC728" s="18"/>
    </row>
    <row r="729" spans="23:29" customFormat="1" x14ac:dyDescent="0.25">
      <c r="W729" s="37"/>
      <c r="X729" s="52"/>
      <c r="Y729" s="52"/>
      <c r="Z729" s="37"/>
      <c r="AA729" s="18"/>
      <c r="AB729" s="18"/>
      <c r="AC729" s="18"/>
    </row>
    <row r="730" spans="23:29" customFormat="1" x14ac:dyDescent="0.25">
      <c r="W730" s="37"/>
      <c r="X730" s="52"/>
      <c r="Y730" s="52"/>
      <c r="Z730" s="37"/>
      <c r="AA730" s="18"/>
      <c r="AB730" s="18"/>
      <c r="AC730" s="18"/>
    </row>
    <row r="731" spans="23:29" customFormat="1" x14ac:dyDescent="0.25">
      <c r="W731" s="37"/>
      <c r="X731" s="52"/>
      <c r="Y731" s="52"/>
      <c r="Z731" s="37"/>
      <c r="AA731" s="18"/>
      <c r="AB731" s="18"/>
      <c r="AC731" s="18"/>
    </row>
    <row r="732" spans="23:29" customFormat="1" x14ac:dyDescent="0.25">
      <c r="W732" s="37"/>
      <c r="X732" s="52"/>
      <c r="Y732" s="52"/>
      <c r="Z732" s="37"/>
      <c r="AA732" s="18"/>
      <c r="AB732" s="18"/>
      <c r="AC732" s="18"/>
    </row>
    <row r="733" spans="23:29" customFormat="1" x14ac:dyDescent="0.25">
      <c r="W733" s="37"/>
      <c r="X733" s="52"/>
      <c r="Y733" s="52"/>
      <c r="Z733" s="37"/>
      <c r="AA733" s="18"/>
      <c r="AB733" s="18"/>
      <c r="AC733" s="18"/>
    </row>
    <row r="734" spans="23:29" customFormat="1" x14ac:dyDescent="0.25">
      <c r="W734" s="37"/>
      <c r="X734" s="52"/>
      <c r="Y734" s="52"/>
      <c r="Z734" s="37"/>
      <c r="AA734" s="18"/>
      <c r="AB734" s="18"/>
      <c r="AC734" s="18"/>
    </row>
    <row r="735" spans="23:29" customFormat="1" x14ac:dyDescent="0.25">
      <c r="W735" s="37"/>
      <c r="X735" s="52"/>
      <c r="Y735" s="52"/>
      <c r="Z735" s="37"/>
      <c r="AA735" s="18"/>
      <c r="AB735" s="18"/>
      <c r="AC735" s="18"/>
    </row>
    <row r="736" spans="23:29" customFormat="1" x14ac:dyDescent="0.25">
      <c r="W736" s="37"/>
      <c r="X736" s="52"/>
      <c r="Y736" s="52"/>
      <c r="Z736" s="37"/>
      <c r="AA736" s="18"/>
      <c r="AB736" s="18"/>
      <c r="AC736" s="18"/>
    </row>
    <row r="737" spans="23:29" customFormat="1" x14ac:dyDescent="0.25">
      <c r="W737" s="37"/>
      <c r="X737" s="52"/>
      <c r="Y737" s="52"/>
      <c r="Z737" s="37"/>
      <c r="AA737" s="18"/>
      <c r="AB737" s="18"/>
      <c r="AC737" s="18"/>
    </row>
    <row r="738" spans="23:29" customFormat="1" x14ac:dyDescent="0.25">
      <c r="W738" s="37"/>
      <c r="X738" s="52"/>
      <c r="Y738" s="52"/>
      <c r="Z738" s="37"/>
      <c r="AA738" s="18"/>
      <c r="AB738" s="18"/>
      <c r="AC738" s="18"/>
    </row>
    <row r="739" spans="23:29" customFormat="1" x14ac:dyDescent="0.25">
      <c r="W739" s="37"/>
      <c r="X739" s="52"/>
      <c r="Y739" s="52"/>
      <c r="Z739" s="37"/>
      <c r="AA739" s="18"/>
      <c r="AB739" s="18"/>
      <c r="AC739" s="18"/>
    </row>
    <row r="740" spans="23:29" customFormat="1" x14ac:dyDescent="0.25">
      <c r="W740" s="37"/>
      <c r="X740" s="52"/>
      <c r="Y740" s="52"/>
      <c r="Z740" s="37"/>
      <c r="AA740" s="18"/>
      <c r="AB740" s="18"/>
      <c r="AC740" s="18"/>
    </row>
    <row r="741" spans="23:29" customFormat="1" x14ac:dyDescent="0.25">
      <c r="W741" s="37"/>
      <c r="X741" s="52"/>
      <c r="Y741" s="52"/>
      <c r="Z741" s="37"/>
      <c r="AA741" s="18"/>
      <c r="AB741" s="18"/>
      <c r="AC741" s="18"/>
    </row>
    <row r="742" spans="23:29" customFormat="1" x14ac:dyDescent="0.25">
      <c r="W742" s="37"/>
      <c r="X742" s="52"/>
      <c r="Y742" s="52"/>
      <c r="Z742" s="37"/>
      <c r="AA742" s="18"/>
      <c r="AB742" s="18"/>
      <c r="AC742" s="18"/>
    </row>
    <row r="743" spans="23:29" customFormat="1" x14ac:dyDescent="0.25">
      <c r="W743" s="37"/>
      <c r="X743" s="52"/>
      <c r="Y743" s="52"/>
      <c r="Z743" s="37"/>
      <c r="AA743" s="18"/>
      <c r="AB743" s="18"/>
      <c r="AC743" s="18"/>
    </row>
    <row r="744" spans="23:29" customFormat="1" x14ac:dyDescent="0.25">
      <c r="W744" s="37"/>
      <c r="X744" s="52"/>
      <c r="Y744" s="52"/>
      <c r="Z744" s="37"/>
      <c r="AA744" s="18"/>
      <c r="AB744" s="18"/>
      <c r="AC744" s="18"/>
    </row>
    <row r="745" spans="23:29" customFormat="1" x14ac:dyDescent="0.25">
      <c r="W745" s="37"/>
      <c r="X745" s="52"/>
      <c r="Y745" s="52"/>
      <c r="Z745" s="37"/>
      <c r="AA745" s="18"/>
      <c r="AB745" s="18"/>
      <c r="AC745" s="18"/>
    </row>
    <row r="746" spans="23:29" customFormat="1" x14ac:dyDescent="0.25">
      <c r="W746" s="37"/>
      <c r="X746" s="52"/>
      <c r="Y746" s="52"/>
      <c r="Z746" s="37"/>
      <c r="AA746" s="18"/>
      <c r="AB746" s="18"/>
      <c r="AC746" s="18"/>
    </row>
    <row r="747" spans="23:29" customFormat="1" x14ac:dyDescent="0.25">
      <c r="W747" s="37"/>
      <c r="X747" s="52"/>
      <c r="Y747" s="52"/>
      <c r="Z747" s="37"/>
      <c r="AA747" s="18"/>
      <c r="AB747" s="18"/>
      <c r="AC747" s="18"/>
    </row>
    <row r="748" spans="23:29" customFormat="1" x14ac:dyDescent="0.25">
      <c r="W748" s="37"/>
      <c r="X748" s="52"/>
      <c r="Y748" s="52"/>
      <c r="Z748" s="37"/>
      <c r="AA748" s="18"/>
      <c r="AB748" s="18"/>
      <c r="AC748" s="18"/>
    </row>
    <row r="749" spans="23:29" customFormat="1" x14ac:dyDescent="0.25">
      <c r="W749" s="37"/>
      <c r="X749" s="52"/>
      <c r="Y749" s="52"/>
      <c r="Z749" s="37"/>
      <c r="AA749" s="18"/>
      <c r="AB749" s="18"/>
      <c r="AC749" s="18"/>
    </row>
    <row r="750" spans="23:29" customFormat="1" x14ac:dyDescent="0.25">
      <c r="W750" s="37"/>
      <c r="X750" s="52"/>
      <c r="Y750" s="52"/>
      <c r="Z750" s="37"/>
      <c r="AA750" s="18"/>
      <c r="AB750" s="18"/>
      <c r="AC750" s="18"/>
    </row>
    <row r="751" spans="23:29" customFormat="1" x14ac:dyDescent="0.25">
      <c r="W751" s="37"/>
      <c r="X751" s="52"/>
      <c r="Y751" s="52"/>
      <c r="Z751" s="37"/>
      <c r="AA751" s="18"/>
      <c r="AB751" s="18"/>
      <c r="AC751" s="18"/>
    </row>
    <row r="752" spans="23:29" customFormat="1" x14ac:dyDescent="0.25">
      <c r="W752" s="37"/>
      <c r="X752" s="52"/>
      <c r="Y752" s="52"/>
      <c r="Z752" s="37"/>
      <c r="AA752" s="18"/>
      <c r="AB752" s="18"/>
      <c r="AC752" s="18"/>
    </row>
    <row r="753" spans="23:29" customFormat="1" x14ac:dyDescent="0.25">
      <c r="W753" s="37"/>
      <c r="X753" s="52"/>
      <c r="Y753" s="52"/>
      <c r="Z753" s="37"/>
      <c r="AA753" s="18"/>
      <c r="AB753" s="18"/>
      <c r="AC753" s="18"/>
    </row>
    <row r="754" spans="23:29" customFormat="1" x14ac:dyDescent="0.25">
      <c r="W754" s="37"/>
      <c r="X754" s="52"/>
      <c r="Y754" s="52"/>
      <c r="Z754" s="37"/>
      <c r="AA754" s="18"/>
      <c r="AB754" s="18"/>
      <c r="AC754" s="18"/>
    </row>
    <row r="755" spans="23:29" customFormat="1" x14ac:dyDescent="0.25">
      <c r="W755" s="37"/>
      <c r="X755" s="52"/>
      <c r="Y755" s="52"/>
      <c r="Z755" s="37"/>
      <c r="AA755" s="18"/>
      <c r="AB755" s="18"/>
      <c r="AC755" s="18"/>
    </row>
    <row r="756" spans="23:29" customFormat="1" x14ac:dyDescent="0.25">
      <c r="W756" s="37"/>
      <c r="X756" s="52"/>
      <c r="Y756" s="52"/>
      <c r="Z756" s="37"/>
      <c r="AA756" s="18"/>
      <c r="AB756" s="18"/>
      <c r="AC756" s="18"/>
    </row>
    <row r="757" spans="23:29" customFormat="1" x14ac:dyDescent="0.25">
      <c r="W757" s="37"/>
      <c r="X757" s="52"/>
      <c r="Y757" s="52"/>
      <c r="Z757" s="37"/>
      <c r="AA757" s="18"/>
      <c r="AB757" s="18"/>
      <c r="AC757" s="18"/>
    </row>
    <row r="758" spans="23:29" customFormat="1" x14ac:dyDescent="0.25">
      <c r="W758" s="37"/>
      <c r="X758" s="52"/>
      <c r="Y758" s="52"/>
      <c r="Z758" s="37"/>
      <c r="AA758" s="18"/>
      <c r="AB758" s="18"/>
      <c r="AC758" s="18"/>
    </row>
    <row r="759" spans="23:29" customFormat="1" x14ac:dyDescent="0.25">
      <c r="W759" s="37"/>
      <c r="X759" s="52"/>
      <c r="Y759" s="52"/>
      <c r="Z759" s="37"/>
      <c r="AA759" s="18"/>
      <c r="AB759" s="18"/>
      <c r="AC759" s="18"/>
    </row>
    <row r="760" spans="23:29" customFormat="1" x14ac:dyDescent="0.25">
      <c r="W760" s="37"/>
      <c r="X760" s="52"/>
      <c r="Y760" s="52"/>
      <c r="Z760" s="37"/>
      <c r="AA760" s="18"/>
      <c r="AB760" s="18"/>
      <c r="AC760" s="18"/>
    </row>
    <row r="761" spans="23:29" customFormat="1" x14ac:dyDescent="0.25">
      <c r="W761" s="37"/>
      <c r="X761" s="52"/>
      <c r="Y761" s="52"/>
      <c r="Z761" s="37"/>
      <c r="AA761" s="18"/>
      <c r="AB761" s="18"/>
      <c r="AC761" s="18"/>
    </row>
    <row r="762" spans="23:29" customFormat="1" x14ac:dyDescent="0.25">
      <c r="W762" s="37"/>
      <c r="X762" s="52"/>
      <c r="Y762" s="52"/>
      <c r="Z762" s="37"/>
      <c r="AA762" s="18"/>
      <c r="AB762" s="18"/>
      <c r="AC762" s="18"/>
    </row>
    <row r="763" spans="23:29" customFormat="1" x14ac:dyDescent="0.25">
      <c r="W763" s="37"/>
      <c r="X763" s="52"/>
      <c r="Y763" s="52"/>
      <c r="Z763" s="37"/>
      <c r="AA763" s="18"/>
      <c r="AB763" s="18"/>
      <c r="AC763" s="18"/>
    </row>
    <row r="764" spans="23:29" customFormat="1" x14ac:dyDescent="0.25">
      <c r="W764" s="37"/>
      <c r="X764" s="52"/>
      <c r="Y764" s="52"/>
      <c r="Z764" s="37"/>
      <c r="AA764" s="18"/>
      <c r="AB764" s="18"/>
      <c r="AC764" s="18"/>
    </row>
    <row r="765" spans="23:29" customFormat="1" x14ac:dyDescent="0.25">
      <c r="W765" s="37"/>
      <c r="X765" s="52"/>
      <c r="Y765" s="52"/>
      <c r="Z765" s="37"/>
      <c r="AA765" s="18"/>
      <c r="AB765" s="18"/>
      <c r="AC765" s="18"/>
    </row>
    <row r="766" spans="23:29" customFormat="1" x14ac:dyDescent="0.25">
      <c r="W766" s="37"/>
      <c r="X766" s="52"/>
      <c r="Y766" s="52"/>
      <c r="Z766" s="37"/>
      <c r="AA766" s="18"/>
      <c r="AB766" s="18"/>
      <c r="AC766" s="18"/>
    </row>
    <row r="767" spans="23:29" customFormat="1" x14ac:dyDescent="0.25">
      <c r="W767" s="37"/>
      <c r="X767" s="52"/>
      <c r="Y767" s="52"/>
      <c r="Z767" s="37"/>
      <c r="AA767" s="18"/>
      <c r="AB767" s="18"/>
      <c r="AC767" s="18"/>
    </row>
    <row r="768" spans="23:29" customFormat="1" x14ac:dyDescent="0.25">
      <c r="W768" s="37"/>
      <c r="X768" s="52"/>
      <c r="Y768" s="52"/>
      <c r="Z768" s="37"/>
      <c r="AA768" s="18"/>
      <c r="AB768" s="18"/>
      <c r="AC768" s="18"/>
    </row>
    <row r="769" spans="23:29" customFormat="1" x14ac:dyDescent="0.25">
      <c r="W769" s="37"/>
      <c r="X769" s="52"/>
      <c r="Y769" s="52"/>
      <c r="Z769" s="37"/>
      <c r="AA769" s="18"/>
      <c r="AB769" s="18"/>
      <c r="AC769" s="18"/>
    </row>
    <row r="770" spans="23:29" customFormat="1" x14ac:dyDescent="0.25">
      <c r="W770" s="37"/>
      <c r="X770" s="52"/>
      <c r="Y770" s="52"/>
      <c r="Z770" s="37"/>
      <c r="AA770" s="18"/>
      <c r="AB770" s="18"/>
      <c r="AC770" s="18"/>
    </row>
    <row r="771" spans="23:29" customFormat="1" x14ac:dyDescent="0.25">
      <c r="W771" s="37"/>
      <c r="X771" s="52"/>
      <c r="Y771" s="52"/>
      <c r="Z771" s="37"/>
      <c r="AA771" s="18"/>
      <c r="AB771" s="18"/>
      <c r="AC771" s="18"/>
    </row>
    <row r="772" spans="23:29" customFormat="1" x14ac:dyDescent="0.25">
      <c r="W772" s="37"/>
      <c r="X772" s="52"/>
      <c r="Y772" s="52"/>
      <c r="Z772" s="37"/>
      <c r="AA772" s="18"/>
      <c r="AB772" s="18"/>
      <c r="AC772" s="18"/>
    </row>
    <row r="773" spans="23:29" customFormat="1" x14ac:dyDescent="0.25">
      <c r="W773" s="37"/>
      <c r="X773" s="52"/>
      <c r="Y773" s="52"/>
      <c r="Z773" s="37"/>
      <c r="AA773" s="18"/>
      <c r="AB773" s="18"/>
      <c r="AC773" s="18"/>
    </row>
    <row r="774" spans="23:29" customFormat="1" x14ac:dyDescent="0.25">
      <c r="W774" s="37"/>
      <c r="X774" s="52"/>
      <c r="Y774" s="52"/>
      <c r="Z774" s="37"/>
      <c r="AA774" s="18"/>
      <c r="AB774" s="18"/>
      <c r="AC774" s="18"/>
    </row>
    <row r="775" spans="23:29" customFormat="1" x14ac:dyDescent="0.25">
      <c r="W775" s="37"/>
      <c r="X775" s="52"/>
      <c r="Y775" s="52"/>
      <c r="Z775" s="37"/>
      <c r="AA775" s="18"/>
      <c r="AB775" s="18"/>
      <c r="AC775" s="18"/>
    </row>
    <row r="776" spans="23:29" customFormat="1" x14ac:dyDescent="0.25">
      <c r="W776" s="37"/>
      <c r="X776" s="52"/>
      <c r="Y776" s="52"/>
      <c r="Z776" s="37"/>
      <c r="AA776" s="18"/>
      <c r="AB776" s="18"/>
      <c r="AC776" s="18"/>
    </row>
    <row r="777" spans="23:29" customFormat="1" x14ac:dyDescent="0.25">
      <c r="W777" s="37"/>
      <c r="X777" s="52"/>
      <c r="Y777" s="52"/>
      <c r="Z777" s="37"/>
      <c r="AA777" s="18"/>
      <c r="AB777" s="18"/>
      <c r="AC777" s="18"/>
    </row>
    <row r="778" spans="23:29" customFormat="1" x14ac:dyDescent="0.25">
      <c r="W778" s="37"/>
      <c r="X778" s="52"/>
      <c r="Y778" s="52"/>
      <c r="Z778" s="37"/>
      <c r="AA778" s="18"/>
      <c r="AB778" s="18"/>
      <c r="AC778" s="18"/>
    </row>
    <row r="779" spans="23:29" customFormat="1" x14ac:dyDescent="0.25">
      <c r="W779" s="37"/>
      <c r="X779" s="52"/>
      <c r="Y779" s="52"/>
      <c r="Z779" s="37"/>
      <c r="AA779" s="18"/>
      <c r="AB779" s="18"/>
      <c r="AC779" s="18"/>
    </row>
    <row r="780" spans="23:29" customFormat="1" x14ac:dyDescent="0.25">
      <c r="W780" s="37"/>
      <c r="X780" s="52"/>
      <c r="Y780" s="52"/>
      <c r="Z780" s="37"/>
      <c r="AA780" s="18"/>
      <c r="AB780" s="18"/>
      <c r="AC780" s="18"/>
    </row>
    <row r="781" spans="23:29" customFormat="1" x14ac:dyDescent="0.25">
      <c r="W781" s="37"/>
      <c r="X781" s="52"/>
      <c r="Y781" s="52"/>
      <c r="Z781" s="37"/>
      <c r="AA781" s="18"/>
      <c r="AB781" s="18"/>
      <c r="AC781" s="18"/>
    </row>
    <row r="782" spans="23:29" customFormat="1" x14ac:dyDescent="0.25">
      <c r="W782" s="37"/>
      <c r="X782" s="52"/>
      <c r="Y782" s="52"/>
      <c r="Z782" s="37"/>
      <c r="AA782" s="18"/>
      <c r="AB782" s="18"/>
      <c r="AC782" s="18"/>
    </row>
    <row r="783" spans="23:29" customFormat="1" x14ac:dyDescent="0.25">
      <c r="W783" s="37"/>
      <c r="X783" s="52"/>
      <c r="Y783" s="52"/>
      <c r="Z783" s="37"/>
      <c r="AA783" s="18"/>
      <c r="AB783" s="18"/>
      <c r="AC783" s="18"/>
    </row>
    <row r="784" spans="23:29" customFormat="1" x14ac:dyDescent="0.25">
      <c r="W784" s="37"/>
      <c r="X784" s="52"/>
      <c r="Y784" s="52"/>
      <c r="Z784" s="37"/>
      <c r="AA784" s="18"/>
      <c r="AB784" s="18"/>
      <c r="AC784" s="18"/>
    </row>
    <row r="785" spans="23:29" customFormat="1" x14ac:dyDescent="0.25">
      <c r="W785" s="37"/>
      <c r="X785" s="52"/>
      <c r="Y785" s="52"/>
      <c r="Z785" s="37"/>
      <c r="AA785" s="18"/>
      <c r="AB785" s="18"/>
      <c r="AC785" s="18"/>
    </row>
    <row r="786" spans="23:29" customFormat="1" x14ac:dyDescent="0.25">
      <c r="W786" s="37"/>
      <c r="X786" s="52"/>
      <c r="Y786" s="52"/>
      <c r="Z786" s="37"/>
      <c r="AA786" s="18"/>
      <c r="AB786" s="18"/>
      <c r="AC786" s="18"/>
    </row>
    <row r="787" spans="23:29" customFormat="1" x14ac:dyDescent="0.25">
      <c r="W787" s="37"/>
      <c r="X787" s="52"/>
      <c r="Y787" s="52"/>
      <c r="Z787" s="37"/>
      <c r="AA787" s="18"/>
      <c r="AB787" s="18"/>
      <c r="AC787" s="18"/>
    </row>
    <row r="788" spans="23:29" customFormat="1" x14ac:dyDescent="0.25">
      <c r="W788" s="37"/>
      <c r="X788" s="52"/>
      <c r="Y788" s="52"/>
      <c r="Z788" s="37"/>
      <c r="AA788" s="18"/>
      <c r="AB788" s="18"/>
      <c r="AC788" s="18"/>
    </row>
    <row r="789" spans="23:29" customFormat="1" x14ac:dyDescent="0.25">
      <c r="W789" s="37"/>
      <c r="X789" s="52"/>
      <c r="Y789" s="52"/>
      <c r="Z789" s="37"/>
      <c r="AA789" s="18"/>
      <c r="AB789" s="18"/>
      <c r="AC789" s="18"/>
    </row>
    <row r="790" spans="23:29" customFormat="1" x14ac:dyDescent="0.25">
      <c r="W790" s="37"/>
      <c r="X790" s="52"/>
      <c r="Y790" s="52"/>
      <c r="Z790" s="37"/>
      <c r="AA790" s="18"/>
      <c r="AB790" s="18"/>
      <c r="AC790" s="18"/>
    </row>
    <row r="791" spans="23:29" customFormat="1" x14ac:dyDescent="0.25">
      <c r="W791" s="37"/>
      <c r="X791" s="52"/>
      <c r="Y791" s="52"/>
      <c r="Z791" s="37"/>
      <c r="AA791" s="18"/>
      <c r="AB791" s="18"/>
      <c r="AC791" s="18"/>
    </row>
    <row r="792" spans="23:29" customFormat="1" x14ac:dyDescent="0.25">
      <c r="W792" s="37"/>
      <c r="X792" s="52"/>
      <c r="Y792" s="52"/>
      <c r="Z792" s="37"/>
      <c r="AA792" s="18"/>
      <c r="AB792" s="18"/>
      <c r="AC792" s="18"/>
    </row>
    <row r="793" spans="23:29" customFormat="1" x14ac:dyDescent="0.25">
      <c r="W793" s="37"/>
      <c r="X793" s="52"/>
      <c r="Y793" s="52"/>
      <c r="Z793" s="37"/>
      <c r="AA793" s="18"/>
      <c r="AB793" s="18"/>
      <c r="AC793" s="18"/>
    </row>
    <row r="794" spans="23:29" customFormat="1" x14ac:dyDescent="0.25">
      <c r="W794" s="37"/>
      <c r="X794" s="52"/>
      <c r="Y794" s="52"/>
      <c r="Z794" s="37"/>
      <c r="AA794" s="18"/>
      <c r="AB794" s="18"/>
      <c r="AC794" s="18"/>
    </row>
    <row r="795" spans="23:29" customFormat="1" x14ac:dyDescent="0.25">
      <c r="W795" s="37"/>
      <c r="X795" s="52"/>
      <c r="Y795" s="52"/>
      <c r="Z795" s="37"/>
      <c r="AA795" s="18"/>
      <c r="AB795" s="18"/>
      <c r="AC795" s="18"/>
    </row>
    <row r="796" spans="23:29" customFormat="1" x14ac:dyDescent="0.25">
      <c r="W796" s="37"/>
      <c r="X796" s="52"/>
      <c r="Y796" s="52"/>
      <c r="Z796" s="37"/>
      <c r="AA796" s="18"/>
      <c r="AB796" s="18"/>
      <c r="AC796" s="18"/>
    </row>
    <row r="797" spans="23:29" customFormat="1" x14ac:dyDescent="0.25">
      <c r="W797" s="37"/>
      <c r="X797" s="52"/>
      <c r="Y797" s="52"/>
      <c r="Z797" s="37"/>
      <c r="AA797" s="18"/>
      <c r="AB797" s="18"/>
      <c r="AC797" s="18"/>
    </row>
    <row r="798" spans="23:29" customFormat="1" x14ac:dyDescent="0.25">
      <c r="W798" s="37"/>
      <c r="X798" s="52"/>
      <c r="Y798" s="52"/>
      <c r="Z798" s="37"/>
      <c r="AA798" s="18"/>
      <c r="AB798" s="18"/>
      <c r="AC798" s="18"/>
    </row>
    <row r="799" spans="23:29" customFormat="1" x14ac:dyDescent="0.25">
      <c r="W799" s="37"/>
      <c r="X799" s="52"/>
      <c r="Y799" s="52"/>
      <c r="Z799" s="37"/>
      <c r="AA799" s="18"/>
      <c r="AB799" s="18"/>
      <c r="AC799" s="18"/>
    </row>
    <row r="800" spans="23:29" customFormat="1" x14ac:dyDescent="0.25">
      <c r="W800" s="37"/>
      <c r="X800" s="52"/>
      <c r="Y800" s="52"/>
      <c r="Z800" s="37"/>
      <c r="AA800" s="18"/>
      <c r="AB800" s="18"/>
      <c r="AC800" s="18"/>
    </row>
    <row r="801" spans="23:29" customFormat="1" x14ac:dyDescent="0.25">
      <c r="W801" s="37"/>
      <c r="X801" s="52"/>
      <c r="Y801" s="52"/>
      <c r="Z801" s="37"/>
      <c r="AA801" s="18"/>
      <c r="AB801" s="18"/>
      <c r="AC801" s="18"/>
    </row>
    <row r="802" spans="23:29" customFormat="1" x14ac:dyDescent="0.25">
      <c r="W802" s="37"/>
      <c r="X802" s="52"/>
      <c r="Y802" s="52"/>
      <c r="Z802" s="37"/>
      <c r="AA802" s="18"/>
      <c r="AB802" s="18"/>
      <c r="AC802" s="18"/>
    </row>
    <row r="803" spans="23:29" customFormat="1" x14ac:dyDescent="0.25">
      <c r="W803" s="37"/>
      <c r="X803" s="52"/>
      <c r="Y803" s="52"/>
      <c r="Z803" s="37"/>
      <c r="AA803" s="18"/>
      <c r="AB803" s="18"/>
      <c r="AC803" s="18"/>
    </row>
    <row r="804" spans="23:29" customFormat="1" x14ac:dyDescent="0.25">
      <c r="W804" s="37"/>
      <c r="X804" s="52"/>
      <c r="Y804" s="52"/>
      <c r="Z804" s="37"/>
      <c r="AA804" s="18"/>
      <c r="AB804" s="18"/>
      <c r="AC804" s="18"/>
    </row>
    <row r="805" spans="23:29" customFormat="1" x14ac:dyDescent="0.25">
      <c r="W805" s="37"/>
      <c r="X805" s="52"/>
      <c r="Y805" s="52"/>
      <c r="Z805" s="37"/>
      <c r="AA805" s="18"/>
      <c r="AB805" s="18"/>
      <c r="AC805" s="18"/>
    </row>
    <row r="806" spans="23:29" customFormat="1" x14ac:dyDescent="0.25">
      <c r="W806" s="37"/>
      <c r="X806" s="52"/>
      <c r="Y806" s="52"/>
      <c r="Z806" s="37"/>
      <c r="AA806" s="18"/>
      <c r="AB806" s="18"/>
      <c r="AC806" s="18"/>
    </row>
    <row r="807" spans="23:29" customFormat="1" x14ac:dyDescent="0.25">
      <c r="W807" s="37"/>
      <c r="X807" s="52"/>
      <c r="Y807" s="52"/>
      <c r="Z807" s="37"/>
      <c r="AA807" s="18"/>
      <c r="AB807" s="18"/>
      <c r="AC807" s="18"/>
    </row>
    <row r="808" spans="23:29" customFormat="1" x14ac:dyDescent="0.25">
      <c r="W808" s="37"/>
      <c r="X808" s="52"/>
      <c r="Y808" s="52"/>
      <c r="Z808" s="37"/>
      <c r="AA808" s="18"/>
      <c r="AB808" s="18"/>
      <c r="AC808" s="18"/>
    </row>
    <row r="809" spans="23:29" customFormat="1" x14ac:dyDescent="0.25">
      <c r="W809" s="37"/>
      <c r="X809" s="52"/>
      <c r="Y809" s="52"/>
      <c r="Z809" s="37"/>
      <c r="AA809" s="18"/>
      <c r="AB809" s="18"/>
      <c r="AC809" s="18"/>
    </row>
    <row r="810" spans="23:29" customFormat="1" x14ac:dyDescent="0.25">
      <c r="W810" s="37"/>
      <c r="X810" s="52"/>
      <c r="Y810" s="52"/>
      <c r="Z810" s="37"/>
      <c r="AA810" s="18"/>
      <c r="AB810" s="18"/>
      <c r="AC810" s="18"/>
    </row>
    <row r="811" spans="23:29" customFormat="1" x14ac:dyDescent="0.25">
      <c r="W811" s="37"/>
      <c r="X811" s="52"/>
      <c r="Y811" s="52"/>
      <c r="Z811" s="37"/>
      <c r="AA811" s="18"/>
      <c r="AB811" s="18"/>
      <c r="AC811" s="18"/>
    </row>
    <row r="812" spans="23:29" customFormat="1" x14ac:dyDescent="0.25">
      <c r="W812" s="37"/>
      <c r="X812" s="52"/>
      <c r="Y812" s="52"/>
      <c r="Z812" s="37"/>
      <c r="AA812" s="18"/>
      <c r="AB812" s="18"/>
      <c r="AC812" s="18"/>
    </row>
    <row r="813" spans="23:29" customFormat="1" x14ac:dyDescent="0.25">
      <c r="W813" s="37"/>
      <c r="X813" s="52"/>
      <c r="Y813" s="52"/>
      <c r="Z813" s="37"/>
      <c r="AA813" s="18"/>
      <c r="AB813" s="18"/>
      <c r="AC813" s="18"/>
    </row>
    <row r="814" spans="23:29" customFormat="1" x14ac:dyDescent="0.25">
      <c r="W814" s="37"/>
      <c r="X814" s="52"/>
      <c r="Y814" s="52"/>
      <c r="Z814" s="37"/>
      <c r="AA814" s="18"/>
      <c r="AB814" s="18"/>
      <c r="AC814" s="18"/>
    </row>
    <row r="815" spans="23:29" customFormat="1" x14ac:dyDescent="0.25">
      <c r="W815" s="37"/>
      <c r="X815" s="52"/>
      <c r="Y815" s="52"/>
      <c r="Z815" s="37"/>
      <c r="AA815" s="18"/>
      <c r="AB815" s="18"/>
      <c r="AC815" s="18"/>
    </row>
    <row r="816" spans="23:29" customFormat="1" x14ac:dyDescent="0.25">
      <c r="W816" s="37"/>
      <c r="X816" s="52"/>
      <c r="Y816" s="52"/>
      <c r="Z816" s="37"/>
      <c r="AA816" s="18"/>
      <c r="AB816" s="18"/>
      <c r="AC816" s="18"/>
    </row>
    <row r="817" spans="23:29" customFormat="1" x14ac:dyDescent="0.25">
      <c r="W817" s="37"/>
      <c r="X817" s="52"/>
      <c r="Y817" s="52"/>
      <c r="Z817" s="37"/>
      <c r="AA817" s="18"/>
      <c r="AB817" s="18"/>
      <c r="AC817" s="18"/>
    </row>
    <row r="818" spans="23:29" customFormat="1" x14ac:dyDescent="0.25">
      <c r="W818" s="37"/>
      <c r="X818" s="52"/>
      <c r="Y818" s="52"/>
      <c r="Z818" s="37"/>
      <c r="AA818" s="18"/>
      <c r="AB818" s="18"/>
      <c r="AC818" s="18"/>
    </row>
    <row r="819" spans="23:29" customFormat="1" x14ac:dyDescent="0.25">
      <c r="W819" s="37"/>
      <c r="X819" s="52"/>
      <c r="Y819" s="52"/>
      <c r="Z819" s="37"/>
      <c r="AA819" s="18"/>
      <c r="AB819" s="18"/>
      <c r="AC819" s="18"/>
    </row>
    <row r="820" spans="23:29" customFormat="1" x14ac:dyDescent="0.25">
      <c r="W820" s="37"/>
      <c r="X820" s="52"/>
      <c r="Y820" s="52"/>
      <c r="Z820" s="37"/>
      <c r="AA820" s="18"/>
      <c r="AB820" s="18"/>
      <c r="AC820" s="18"/>
    </row>
    <row r="821" spans="23:29" customFormat="1" x14ac:dyDescent="0.25">
      <c r="W821" s="37"/>
      <c r="X821" s="52"/>
      <c r="Y821" s="52"/>
      <c r="Z821" s="37"/>
      <c r="AA821" s="18"/>
      <c r="AB821" s="18"/>
      <c r="AC821" s="18"/>
    </row>
    <row r="822" spans="23:29" customFormat="1" x14ac:dyDescent="0.25">
      <c r="W822" s="37"/>
      <c r="X822" s="52"/>
      <c r="Y822" s="52"/>
      <c r="Z822" s="37"/>
      <c r="AA822" s="18"/>
      <c r="AB822" s="18"/>
      <c r="AC822" s="18"/>
    </row>
    <row r="823" spans="23:29" customFormat="1" x14ac:dyDescent="0.25">
      <c r="W823" s="37"/>
      <c r="X823" s="52"/>
      <c r="Y823" s="52"/>
      <c r="Z823" s="37"/>
      <c r="AA823" s="18"/>
      <c r="AB823" s="18"/>
      <c r="AC823" s="18"/>
    </row>
    <row r="824" spans="23:29" customFormat="1" x14ac:dyDescent="0.25">
      <c r="W824" s="37"/>
      <c r="X824" s="52"/>
      <c r="Y824" s="52"/>
      <c r="Z824" s="37"/>
      <c r="AA824" s="18"/>
      <c r="AB824" s="18"/>
      <c r="AC824" s="18"/>
    </row>
    <row r="825" spans="23:29" customFormat="1" x14ac:dyDescent="0.25">
      <c r="W825" s="37"/>
      <c r="X825" s="52"/>
      <c r="Y825" s="52"/>
      <c r="Z825" s="37"/>
      <c r="AA825" s="18"/>
      <c r="AB825" s="18"/>
      <c r="AC825" s="18"/>
    </row>
    <row r="826" spans="23:29" customFormat="1" x14ac:dyDescent="0.25">
      <c r="W826" s="37"/>
      <c r="X826" s="52"/>
      <c r="Y826" s="52"/>
      <c r="Z826" s="37"/>
      <c r="AA826" s="18"/>
      <c r="AB826" s="18"/>
      <c r="AC826" s="18"/>
    </row>
    <row r="827" spans="23:29" customFormat="1" x14ac:dyDescent="0.25">
      <c r="W827" s="37"/>
      <c r="X827" s="52"/>
      <c r="Y827" s="52"/>
      <c r="Z827" s="37"/>
      <c r="AA827" s="18"/>
      <c r="AB827" s="18"/>
      <c r="AC827" s="18"/>
    </row>
    <row r="828" spans="23:29" customFormat="1" x14ac:dyDescent="0.25">
      <c r="W828" s="37"/>
      <c r="X828" s="52"/>
      <c r="Y828" s="52"/>
      <c r="Z828" s="37"/>
      <c r="AA828" s="18"/>
      <c r="AB828" s="18"/>
      <c r="AC828" s="18"/>
    </row>
    <row r="829" spans="23:29" customFormat="1" x14ac:dyDescent="0.25">
      <c r="W829" s="37"/>
      <c r="X829" s="52"/>
      <c r="Y829" s="52"/>
      <c r="Z829" s="37"/>
      <c r="AA829" s="18"/>
      <c r="AB829" s="18"/>
      <c r="AC829" s="18"/>
    </row>
    <row r="830" spans="23:29" customFormat="1" x14ac:dyDescent="0.25">
      <c r="W830" s="37"/>
      <c r="X830" s="52"/>
      <c r="Y830" s="52"/>
      <c r="Z830" s="37"/>
      <c r="AA830" s="18"/>
      <c r="AB830" s="18"/>
      <c r="AC830" s="18"/>
    </row>
    <row r="831" spans="23:29" customFormat="1" x14ac:dyDescent="0.25">
      <c r="W831" s="37"/>
      <c r="X831" s="52"/>
      <c r="Y831" s="52"/>
      <c r="Z831" s="37"/>
      <c r="AA831" s="18"/>
      <c r="AB831" s="18"/>
      <c r="AC831" s="18"/>
    </row>
    <row r="832" spans="23:29" customFormat="1" x14ac:dyDescent="0.25">
      <c r="W832" s="37"/>
      <c r="X832" s="52"/>
      <c r="Y832" s="52"/>
      <c r="Z832" s="37"/>
      <c r="AA832" s="18"/>
      <c r="AB832" s="18"/>
      <c r="AC832" s="18"/>
    </row>
    <row r="833" spans="23:29" customFormat="1" x14ac:dyDescent="0.25">
      <c r="W833" s="37"/>
      <c r="X833" s="52"/>
      <c r="Y833" s="52"/>
      <c r="Z833" s="37"/>
      <c r="AA833" s="18"/>
      <c r="AB833" s="18"/>
      <c r="AC833" s="18"/>
    </row>
    <row r="834" spans="23:29" customFormat="1" x14ac:dyDescent="0.25">
      <c r="W834" s="37"/>
      <c r="X834" s="52"/>
      <c r="Y834" s="52"/>
      <c r="Z834" s="37"/>
      <c r="AA834" s="18"/>
      <c r="AB834" s="18"/>
      <c r="AC834" s="18"/>
    </row>
    <row r="835" spans="23:29" customFormat="1" x14ac:dyDescent="0.25">
      <c r="W835" s="37"/>
      <c r="X835" s="52"/>
      <c r="Y835" s="52"/>
      <c r="Z835" s="37"/>
      <c r="AA835" s="18"/>
      <c r="AB835" s="18"/>
      <c r="AC835" s="18"/>
    </row>
    <row r="836" spans="23:29" customFormat="1" x14ac:dyDescent="0.25">
      <c r="W836" s="37"/>
      <c r="X836" s="52"/>
      <c r="Y836" s="52"/>
      <c r="Z836" s="37"/>
      <c r="AA836" s="18"/>
      <c r="AB836" s="18"/>
      <c r="AC836" s="18"/>
    </row>
    <row r="837" spans="23:29" customFormat="1" x14ac:dyDescent="0.25">
      <c r="W837" s="37"/>
      <c r="X837" s="52"/>
      <c r="Y837" s="52"/>
      <c r="Z837" s="37"/>
      <c r="AA837" s="18"/>
      <c r="AB837" s="18"/>
      <c r="AC837" s="18"/>
    </row>
    <row r="838" spans="23:29" customFormat="1" x14ac:dyDescent="0.25">
      <c r="W838" s="37"/>
      <c r="X838" s="52"/>
      <c r="Y838" s="52"/>
      <c r="Z838" s="37"/>
      <c r="AA838" s="18"/>
      <c r="AB838" s="18"/>
      <c r="AC838" s="18"/>
    </row>
    <row r="839" spans="23:29" customFormat="1" x14ac:dyDescent="0.25">
      <c r="W839" s="37"/>
      <c r="X839" s="52"/>
      <c r="Y839" s="52"/>
      <c r="Z839" s="37"/>
      <c r="AA839" s="18"/>
      <c r="AB839" s="18"/>
      <c r="AC839" s="18"/>
    </row>
    <row r="840" spans="23:29" customFormat="1" x14ac:dyDescent="0.25">
      <c r="W840" s="37"/>
      <c r="X840" s="52"/>
      <c r="Y840" s="52"/>
      <c r="Z840" s="37"/>
      <c r="AA840" s="18"/>
      <c r="AB840" s="18"/>
      <c r="AC840" s="18"/>
    </row>
    <row r="841" spans="23:29" customFormat="1" x14ac:dyDescent="0.25">
      <c r="W841" s="37"/>
      <c r="X841" s="52"/>
      <c r="Y841" s="52"/>
      <c r="Z841" s="37"/>
      <c r="AA841" s="18"/>
      <c r="AB841" s="18"/>
      <c r="AC841" s="18"/>
    </row>
    <row r="842" spans="23:29" customFormat="1" x14ac:dyDescent="0.25">
      <c r="W842" s="37"/>
      <c r="X842" s="52"/>
      <c r="Y842" s="52"/>
      <c r="Z842" s="37"/>
      <c r="AA842" s="18"/>
      <c r="AB842" s="18"/>
      <c r="AC842" s="18"/>
    </row>
    <row r="843" spans="23:29" customFormat="1" x14ac:dyDescent="0.25">
      <c r="W843" s="37"/>
      <c r="X843" s="52"/>
      <c r="Y843" s="52"/>
      <c r="Z843" s="37"/>
      <c r="AA843" s="18"/>
      <c r="AB843" s="18"/>
      <c r="AC843" s="18"/>
    </row>
    <row r="844" spans="23:29" customFormat="1" x14ac:dyDescent="0.25">
      <c r="W844" s="37"/>
      <c r="X844" s="52"/>
      <c r="Y844" s="52"/>
      <c r="Z844" s="37"/>
      <c r="AA844" s="18"/>
      <c r="AB844" s="18"/>
      <c r="AC844" s="18"/>
    </row>
    <row r="845" spans="23:29" customFormat="1" x14ac:dyDescent="0.25">
      <c r="W845" s="37"/>
      <c r="X845" s="52"/>
      <c r="Y845" s="52"/>
      <c r="Z845" s="37"/>
      <c r="AA845" s="18"/>
      <c r="AB845" s="18"/>
      <c r="AC845" s="18"/>
    </row>
    <row r="846" spans="23:29" customFormat="1" x14ac:dyDescent="0.25">
      <c r="W846" s="37"/>
      <c r="X846" s="52"/>
      <c r="Y846" s="52"/>
      <c r="Z846" s="37"/>
      <c r="AA846" s="18"/>
      <c r="AB846" s="18"/>
      <c r="AC846" s="18"/>
    </row>
    <row r="847" spans="23:29" customFormat="1" x14ac:dyDescent="0.25">
      <c r="W847" s="37"/>
      <c r="X847" s="52"/>
      <c r="Y847" s="52"/>
      <c r="Z847" s="37"/>
      <c r="AA847" s="18"/>
      <c r="AB847" s="18"/>
      <c r="AC847" s="18"/>
    </row>
    <row r="848" spans="23:29" customFormat="1" x14ac:dyDescent="0.25">
      <c r="W848" s="37"/>
      <c r="X848" s="52"/>
      <c r="Y848" s="52"/>
      <c r="Z848" s="37"/>
      <c r="AA848" s="18"/>
      <c r="AB848" s="18"/>
      <c r="AC848" s="18"/>
    </row>
    <row r="849" spans="23:29" customFormat="1" x14ac:dyDescent="0.25">
      <c r="W849" s="37"/>
      <c r="X849" s="52"/>
      <c r="Y849" s="52"/>
      <c r="Z849" s="37"/>
      <c r="AA849" s="18"/>
      <c r="AB849" s="18"/>
      <c r="AC849" s="18"/>
    </row>
    <row r="850" spans="23:29" customFormat="1" x14ac:dyDescent="0.25">
      <c r="W850" s="37"/>
      <c r="X850" s="52"/>
      <c r="Y850" s="52"/>
      <c r="Z850" s="37"/>
      <c r="AA850" s="18"/>
      <c r="AB850" s="18"/>
      <c r="AC850" s="18"/>
    </row>
    <row r="851" spans="23:29" customFormat="1" x14ac:dyDescent="0.25">
      <c r="W851" s="37"/>
      <c r="X851" s="52"/>
      <c r="Y851" s="52"/>
      <c r="Z851" s="37"/>
      <c r="AA851" s="18"/>
      <c r="AB851" s="18"/>
      <c r="AC851" s="18"/>
    </row>
    <row r="852" spans="23:29" customFormat="1" x14ac:dyDescent="0.25">
      <c r="W852" s="37"/>
      <c r="X852" s="52"/>
      <c r="Y852" s="52"/>
      <c r="Z852" s="37"/>
      <c r="AA852" s="18"/>
      <c r="AB852" s="18"/>
      <c r="AC852" s="18"/>
    </row>
    <row r="853" spans="23:29" customFormat="1" x14ac:dyDescent="0.25">
      <c r="W853" s="37"/>
      <c r="X853" s="52"/>
      <c r="Y853" s="52"/>
      <c r="Z853" s="37"/>
      <c r="AA853" s="18"/>
      <c r="AB853" s="18"/>
      <c r="AC853" s="18"/>
    </row>
    <row r="854" spans="23:29" customFormat="1" x14ac:dyDescent="0.25">
      <c r="W854" s="37"/>
      <c r="X854" s="52"/>
      <c r="Y854" s="52"/>
      <c r="Z854" s="37"/>
      <c r="AA854" s="18"/>
      <c r="AB854" s="18"/>
      <c r="AC854" s="18"/>
    </row>
    <row r="855" spans="23:29" customFormat="1" x14ac:dyDescent="0.25">
      <c r="W855" s="37"/>
      <c r="X855" s="52"/>
      <c r="Y855" s="52"/>
      <c r="Z855" s="37"/>
      <c r="AA855" s="18"/>
      <c r="AB855" s="18"/>
      <c r="AC855" s="18"/>
    </row>
    <row r="856" spans="23:29" customFormat="1" x14ac:dyDescent="0.25">
      <c r="W856" s="37"/>
      <c r="X856" s="52"/>
      <c r="Y856" s="52"/>
      <c r="Z856" s="37"/>
      <c r="AA856" s="18"/>
      <c r="AB856" s="18"/>
      <c r="AC856" s="18"/>
    </row>
    <row r="857" spans="23:29" customFormat="1" x14ac:dyDescent="0.25">
      <c r="W857" s="37"/>
      <c r="X857" s="52"/>
      <c r="Y857" s="52"/>
      <c r="Z857" s="37"/>
      <c r="AA857" s="18"/>
      <c r="AB857" s="18"/>
      <c r="AC857" s="18"/>
    </row>
    <row r="858" spans="23:29" customFormat="1" x14ac:dyDescent="0.25">
      <c r="W858" s="37"/>
      <c r="X858" s="52"/>
      <c r="Y858" s="52"/>
      <c r="Z858" s="37"/>
      <c r="AA858" s="18"/>
      <c r="AB858" s="18"/>
      <c r="AC858" s="18"/>
    </row>
    <row r="859" spans="23:29" customFormat="1" x14ac:dyDescent="0.25">
      <c r="W859" s="37"/>
      <c r="X859" s="52"/>
      <c r="Y859" s="52"/>
      <c r="Z859" s="37"/>
      <c r="AA859" s="18"/>
      <c r="AB859" s="18"/>
      <c r="AC859" s="18"/>
    </row>
    <row r="860" spans="23:29" customFormat="1" x14ac:dyDescent="0.25">
      <c r="W860" s="37"/>
      <c r="X860" s="52"/>
      <c r="Y860" s="52"/>
      <c r="Z860" s="37"/>
      <c r="AA860" s="18"/>
      <c r="AB860" s="18"/>
      <c r="AC860" s="18"/>
    </row>
    <row r="861" spans="23:29" customFormat="1" x14ac:dyDescent="0.25">
      <c r="W861" s="37"/>
      <c r="X861" s="52"/>
      <c r="Y861" s="52"/>
      <c r="Z861" s="37"/>
      <c r="AA861" s="18"/>
      <c r="AB861" s="18"/>
      <c r="AC861" s="18"/>
    </row>
    <row r="862" spans="23:29" customFormat="1" x14ac:dyDescent="0.25">
      <c r="W862" s="37"/>
      <c r="X862" s="52"/>
      <c r="Y862" s="52"/>
      <c r="Z862" s="37"/>
      <c r="AA862" s="18"/>
      <c r="AB862" s="18"/>
      <c r="AC862" s="18"/>
    </row>
    <row r="863" spans="23:29" customFormat="1" x14ac:dyDescent="0.25">
      <c r="W863" s="37"/>
      <c r="X863" s="52"/>
      <c r="Y863" s="52"/>
      <c r="Z863" s="37"/>
      <c r="AA863" s="18"/>
      <c r="AB863" s="18"/>
      <c r="AC863" s="18"/>
    </row>
    <row r="864" spans="23:29" customFormat="1" x14ac:dyDescent="0.25">
      <c r="W864" s="37"/>
      <c r="X864" s="52"/>
      <c r="Y864" s="52"/>
      <c r="Z864" s="37"/>
      <c r="AA864" s="18"/>
      <c r="AB864" s="18"/>
      <c r="AC864" s="18"/>
    </row>
    <row r="865" spans="23:29" customFormat="1" x14ac:dyDescent="0.25">
      <c r="W865" s="37"/>
      <c r="X865" s="52"/>
      <c r="Y865" s="52"/>
      <c r="Z865" s="37"/>
      <c r="AA865" s="18"/>
      <c r="AB865" s="18"/>
      <c r="AC865" s="18"/>
    </row>
    <row r="866" spans="23:29" customFormat="1" x14ac:dyDescent="0.25">
      <c r="W866" s="37"/>
      <c r="X866" s="52"/>
      <c r="Y866" s="52"/>
      <c r="Z866" s="37"/>
      <c r="AA866" s="18"/>
      <c r="AB866" s="18"/>
      <c r="AC866" s="18"/>
    </row>
    <row r="867" spans="23:29" customFormat="1" x14ac:dyDescent="0.25">
      <c r="W867" s="37"/>
      <c r="X867" s="52"/>
      <c r="Y867" s="52"/>
      <c r="Z867" s="37"/>
      <c r="AA867" s="18"/>
      <c r="AB867" s="18"/>
      <c r="AC867" s="18"/>
    </row>
    <row r="868" spans="23:29" customFormat="1" x14ac:dyDescent="0.25">
      <c r="W868" s="37"/>
      <c r="X868" s="52"/>
      <c r="Y868" s="52"/>
      <c r="Z868" s="37"/>
      <c r="AA868" s="18"/>
      <c r="AB868" s="18"/>
      <c r="AC868" s="18"/>
    </row>
    <row r="869" spans="23:29" customFormat="1" x14ac:dyDescent="0.25">
      <c r="W869" s="37"/>
      <c r="X869" s="52"/>
      <c r="Y869" s="52"/>
      <c r="Z869" s="37"/>
      <c r="AA869" s="18"/>
      <c r="AB869" s="18"/>
      <c r="AC869" s="18"/>
    </row>
    <row r="870" spans="23:29" customFormat="1" x14ac:dyDescent="0.25">
      <c r="W870" s="37"/>
      <c r="X870" s="52"/>
      <c r="Y870" s="52"/>
      <c r="Z870" s="37"/>
      <c r="AA870" s="18"/>
      <c r="AB870" s="18"/>
      <c r="AC870" s="18"/>
    </row>
    <row r="871" spans="23:29" customFormat="1" x14ac:dyDescent="0.25">
      <c r="W871" s="37"/>
      <c r="X871" s="52"/>
      <c r="Y871" s="52"/>
      <c r="Z871" s="37"/>
      <c r="AA871" s="18"/>
      <c r="AB871" s="18"/>
      <c r="AC871" s="18"/>
    </row>
    <row r="872" spans="23:29" customFormat="1" x14ac:dyDescent="0.25">
      <c r="W872" s="37"/>
      <c r="X872" s="52"/>
      <c r="Y872" s="52"/>
      <c r="Z872" s="37"/>
      <c r="AA872" s="18"/>
      <c r="AB872" s="18"/>
      <c r="AC872" s="18"/>
    </row>
    <row r="873" spans="23:29" customFormat="1" x14ac:dyDescent="0.25">
      <c r="W873" s="37"/>
      <c r="X873" s="52"/>
      <c r="Y873" s="52"/>
      <c r="Z873" s="37"/>
      <c r="AA873" s="18"/>
      <c r="AB873" s="18"/>
      <c r="AC873" s="18"/>
    </row>
    <row r="874" spans="23:29" customFormat="1" x14ac:dyDescent="0.25">
      <c r="W874" s="37"/>
      <c r="X874" s="52"/>
      <c r="Y874" s="52"/>
      <c r="Z874" s="37"/>
      <c r="AA874" s="18"/>
      <c r="AB874" s="18"/>
      <c r="AC874" s="18"/>
    </row>
  </sheetData>
  <mergeCells count="6">
    <mergeCell ref="W31:Y31"/>
    <mergeCell ref="W32:Z32"/>
    <mergeCell ref="A1:AI1"/>
    <mergeCell ref="DK2:DM2"/>
    <mergeCell ref="AA18:AC18"/>
    <mergeCell ref="A28:B2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R874"/>
  <sheetViews>
    <sheetView topLeftCell="EG1" zoomScale="70" zoomScaleNormal="70" workbookViewId="0">
      <selection activeCell="FQ3" sqref="FQ3:FQ11"/>
    </sheetView>
  </sheetViews>
  <sheetFormatPr defaultRowHeight="15" x14ac:dyDescent="0.25"/>
  <cols>
    <col min="1" max="1" width="6.5703125" customWidth="1"/>
    <col min="2" max="2" width="39.28515625" customWidth="1"/>
    <col min="3" max="3" width="4" style="1" customWidth="1"/>
    <col min="4" max="4" width="5.28515625" style="6" customWidth="1"/>
    <col min="5" max="5" width="7.28515625" customWidth="1"/>
    <col min="6" max="6" width="8.140625" customWidth="1"/>
    <col min="7" max="7" width="4" style="1" customWidth="1"/>
    <col min="8" max="8" width="5.28515625" style="6" customWidth="1"/>
    <col min="9" max="9" width="7.28515625" style="2" customWidth="1"/>
    <col min="10" max="10" width="8.42578125" style="2" customWidth="1"/>
    <col min="11" max="11" width="4" style="1" customWidth="1"/>
    <col min="12" max="12" width="5.28515625" style="6" customWidth="1"/>
    <col min="13" max="13" width="7.85546875" style="2" customWidth="1"/>
    <col min="14" max="14" width="9" style="2" customWidth="1"/>
    <col min="15" max="15" width="4.28515625" style="2" customWidth="1"/>
    <col min="16" max="16" width="4.5703125" style="2" customWidth="1"/>
    <col min="17" max="17" width="7.7109375" style="2" customWidth="1"/>
    <col min="18" max="18" width="8.28515625" style="2" customWidth="1"/>
    <col min="19" max="19" width="4" style="1" customWidth="1"/>
    <col min="20" max="20" width="5.28515625" style="6" customWidth="1"/>
    <col min="21" max="21" width="8" style="2" customWidth="1"/>
    <col min="22" max="22" width="8.140625" style="2" customWidth="1"/>
    <col min="23" max="23" width="3.85546875" customWidth="1"/>
    <col min="24" max="24" width="4.28515625" style="11" customWidth="1"/>
    <col min="25" max="25" width="8" style="11" customWidth="1"/>
    <col min="26" max="26" width="8.28515625" customWidth="1"/>
    <col min="27" max="27" width="4.28515625" style="2" customWidth="1"/>
    <col min="28" max="28" width="5" style="2" customWidth="1"/>
    <col min="29" max="30" width="8.42578125" style="2" customWidth="1"/>
    <col min="31" max="31" width="4" customWidth="1"/>
    <col min="32" max="32" width="5.42578125" customWidth="1"/>
    <col min="33" max="33" width="8" customWidth="1"/>
    <col min="34" max="34" width="7.140625" customWidth="1"/>
    <col min="35" max="35" width="5" customWidth="1"/>
    <col min="36" max="36" width="5.140625" customWidth="1"/>
    <col min="37" max="37" width="7.42578125" customWidth="1"/>
    <col min="38" max="38" width="7.5703125" customWidth="1"/>
    <col min="39" max="40" width="4.7109375" customWidth="1"/>
    <col min="41" max="41" width="7.85546875" customWidth="1"/>
    <col min="42" max="42" width="7.5703125" customWidth="1"/>
    <col min="43" max="43" width="4" customWidth="1"/>
    <col min="44" max="44" width="5.5703125" customWidth="1"/>
    <col min="45" max="45" width="8.42578125" customWidth="1"/>
    <col min="46" max="46" width="8.5703125" customWidth="1"/>
    <col min="47" max="47" width="4.140625" customWidth="1"/>
    <col min="48" max="48" width="4.7109375" customWidth="1"/>
    <col min="49" max="49" width="7.5703125" customWidth="1"/>
    <col min="50" max="50" width="8.42578125" customWidth="1"/>
    <col min="51" max="51" width="4.7109375" customWidth="1"/>
    <col min="52" max="52" width="4.85546875" customWidth="1"/>
    <col min="53" max="53" width="7.28515625" customWidth="1"/>
    <col min="54" max="54" width="7.5703125" customWidth="1"/>
    <col min="55" max="55" width="4.42578125" customWidth="1"/>
    <col min="56" max="56" width="4.85546875" customWidth="1"/>
    <col min="57" max="57" width="7.5703125" customWidth="1"/>
    <col min="58" max="58" width="8" customWidth="1"/>
    <col min="59" max="59" width="4.5703125" customWidth="1"/>
    <col min="60" max="60" width="4.85546875" customWidth="1"/>
    <col min="61" max="61" width="7.5703125" customWidth="1"/>
    <col min="62" max="62" width="8.140625" customWidth="1"/>
    <col min="63" max="63" width="4.7109375" customWidth="1"/>
    <col min="64" max="64" width="4.85546875" customWidth="1"/>
    <col min="65" max="65" width="7.7109375" customWidth="1"/>
    <col min="66" max="66" width="8.28515625" customWidth="1"/>
    <col min="67" max="67" width="5.5703125" customWidth="1"/>
    <col min="68" max="68" width="5.42578125" customWidth="1"/>
    <col min="69" max="69" width="8" customWidth="1"/>
    <col min="70" max="70" width="8.28515625" customWidth="1"/>
    <col min="71" max="71" width="4.42578125" customWidth="1"/>
    <col min="72" max="72" width="4.7109375" customWidth="1"/>
    <col min="73" max="73" width="7.7109375" customWidth="1"/>
    <col min="74" max="74" width="8" customWidth="1"/>
    <col min="75" max="75" width="5" customWidth="1"/>
    <col min="76" max="76" width="5.42578125" customWidth="1"/>
    <col min="77" max="77" width="7.5703125" customWidth="1"/>
    <col min="78" max="78" width="8" customWidth="1"/>
    <col min="79" max="79" width="4.28515625" customWidth="1"/>
    <col min="80" max="80" width="5.5703125" customWidth="1"/>
    <col min="81" max="81" width="7.7109375" customWidth="1"/>
    <col min="82" max="82" width="8" customWidth="1"/>
    <col min="83" max="83" width="4" customWidth="1"/>
    <col min="84" max="84" width="4.5703125" customWidth="1"/>
    <col min="85" max="85" width="7.85546875" customWidth="1"/>
    <col min="86" max="86" width="8" customWidth="1"/>
    <col min="87" max="87" width="4.140625" customWidth="1"/>
    <col min="88" max="88" width="3.5703125" customWidth="1"/>
    <col min="89" max="90" width="8" customWidth="1"/>
    <col min="91" max="91" width="4.85546875" customWidth="1"/>
    <col min="92" max="92" width="5.5703125" customWidth="1"/>
    <col min="93" max="93" width="7.7109375" customWidth="1"/>
    <col min="94" max="94" width="8" customWidth="1"/>
    <col min="95" max="95" width="3.7109375" customWidth="1"/>
    <col min="96" max="96" width="4" customWidth="1"/>
    <col min="97" max="97" width="8.5703125" customWidth="1"/>
    <col min="98" max="98" width="8.140625" customWidth="1"/>
    <col min="99" max="99" width="4.7109375" customWidth="1"/>
    <col min="100" max="100" width="4.140625" customWidth="1"/>
    <col min="101" max="101" width="8.28515625" customWidth="1"/>
    <col min="102" max="102" width="7.5703125" customWidth="1"/>
    <col min="103" max="103" width="4.42578125" customWidth="1"/>
    <col min="104" max="104" width="4.140625" customWidth="1"/>
    <col min="105" max="105" width="8" customWidth="1"/>
    <col min="106" max="106" width="7.7109375" customWidth="1"/>
    <col min="107" max="107" width="4.42578125" customWidth="1"/>
    <col min="108" max="108" width="5" customWidth="1"/>
    <col min="109" max="109" width="8" customWidth="1"/>
    <col min="110" max="110" width="7.7109375" customWidth="1"/>
    <col min="111" max="111" width="3.85546875" customWidth="1"/>
    <col min="112" max="112" width="4.5703125" customWidth="1"/>
    <col min="113" max="114" width="7.85546875" customWidth="1"/>
    <col min="115" max="115" width="4.140625" customWidth="1"/>
    <col min="116" max="116" width="4" customWidth="1"/>
    <col min="117" max="117" width="9" customWidth="1"/>
    <col min="118" max="118" width="8.28515625" customWidth="1"/>
    <col min="119" max="119" width="3.85546875" customWidth="1"/>
    <col min="120" max="120" width="4.5703125" customWidth="1"/>
    <col min="121" max="121" width="7.5703125" customWidth="1"/>
    <col min="122" max="122" width="7.7109375" customWidth="1"/>
    <col min="123" max="123" width="4" customWidth="1"/>
    <col min="124" max="124" width="4.7109375" customWidth="1"/>
    <col min="125" max="125" width="7.5703125" customWidth="1"/>
    <col min="126" max="126" width="9" customWidth="1"/>
    <col min="127" max="128" width="4.7109375" customWidth="1"/>
    <col min="129" max="129" width="7.42578125" customWidth="1"/>
    <col min="130" max="130" width="8.42578125" customWidth="1"/>
    <col min="131" max="131" width="4.7109375" customWidth="1"/>
    <col min="132" max="132" width="5.42578125" customWidth="1"/>
    <col min="133" max="133" width="7.85546875" customWidth="1"/>
    <col min="134" max="134" width="8.42578125" customWidth="1"/>
    <col min="135" max="135" width="3.7109375" customWidth="1"/>
    <col min="136" max="136" width="4" customWidth="1"/>
    <col min="137" max="137" width="8.28515625" customWidth="1"/>
    <col min="138" max="138" width="8" customWidth="1"/>
    <col min="139" max="139" width="4.42578125" customWidth="1"/>
    <col min="140" max="140" width="5" customWidth="1"/>
    <col min="141" max="141" width="7.5703125" customWidth="1"/>
    <col min="142" max="142" width="8" customWidth="1"/>
    <col min="143" max="143" width="4.85546875" customWidth="1"/>
    <col min="144" max="144" width="4.7109375" customWidth="1"/>
    <col min="145" max="145" width="7.5703125" customWidth="1"/>
    <col min="146" max="146" width="8" customWidth="1"/>
    <col min="147" max="148" width="4.7109375" customWidth="1"/>
    <col min="149" max="149" width="8" customWidth="1"/>
    <col min="150" max="150" width="8.42578125" customWidth="1"/>
    <col min="151" max="151" width="4.5703125" customWidth="1"/>
    <col min="152" max="152" width="4.42578125" customWidth="1"/>
    <col min="153" max="153" width="7.5703125" customWidth="1"/>
    <col min="154" max="154" width="7.28515625" customWidth="1"/>
    <col min="155" max="155" width="5" customWidth="1"/>
    <col min="156" max="156" width="4.7109375" customWidth="1"/>
    <col min="157" max="157" width="7.42578125" customWidth="1"/>
    <col min="158" max="158" width="8" customWidth="1"/>
    <col min="159" max="159" width="4.85546875" customWidth="1"/>
    <col min="160" max="160" width="4.42578125" customWidth="1"/>
    <col min="161" max="161" width="8" customWidth="1"/>
    <col min="162" max="162" width="8.42578125" customWidth="1"/>
    <col min="163" max="163" width="5.140625" customWidth="1"/>
    <col min="164" max="164" width="5.5703125" customWidth="1"/>
    <col min="165" max="165" width="7.5703125" customWidth="1"/>
    <col min="166" max="166" width="8" customWidth="1"/>
    <col min="167" max="173" width="7.140625" customWidth="1"/>
  </cols>
  <sheetData>
    <row r="1" spans="1:174" ht="33.75" customHeight="1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spans="1:174" ht="70.5" customHeight="1" thickBot="1" x14ac:dyDescent="0.3">
      <c r="A2" s="23" t="s">
        <v>4</v>
      </c>
      <c r="B2" s="55" t="s">
        <v>5</v>
      </c>
      <c r="C2" s="3" t="s">
        <v>0</v>
      </c>
      <c r="D2" s="9" t="s">
        <v>2</v>
      </c>
      <c r="E2" s="7" t="s">
        <v>1</v>
      </c>
      <c r="F2" s="7" t="s">
        <v>6</v>
      </c>
      <c r="G2" s="3" t="s">
        <v>0</v>
      </c>
      <c r="H2" s="9" t="s">
        <v>2</v>
      </c>
      <c r="I2" s="7" t="s">
        <v>1</v>
      </c>
      <c r="J2" s="7" t="s">
        <v>6</v>
      </c>
      <c r="K2" s="3" t="s">
        <v>0</v>
      </c>
      <c r="L2" s="9" t="s">
        <v>2</v>
      </c>
      <c r="M2" s="7" t="s">
        <v>1</v>
      </c>
      <c r="N2" s="7" t="s">
        <v>6</v>
      </c>
      <c r="O2" s="3" t="s">
        <v>0</v>
      </c>
      <c r="P2" s="9" t="s">
        <v>2</v>
      </c>
      <c r="Q2" s="7" t="s">
        <v>1</v>
      </c>
      <c r="R2" s="7" t="s">
        <v>6</v>
      </c>
      <c r="S2" s="3" t="s">
        <v>0</v>
      </c>
      <c r="T2" s="9" t="s">
        <v>2</v>
      </c>
      <c r="U2" s="7" t="s">
        <v>1</v>
      </c>
      <c r="V2" s="7" t="s">
        <v>6</v>
      </c>
      <c r="W2" s="3" t="s">
        <v>0</v>
      </c>
      <c r="X2" s="9" t="s">
        <v>2</v>
      </c>
      <c r="Y2" s="7" t="s">
        <v>1</v>
      </c>
      <c r="Z2" s="7" t="s">
        <v>6</v>
      </c>
      <c r="AA2" s="3" t="s">
        <v>0</v>
      </c>
      <c r="AB2" s="9" t="s">
        <v>2</v>
      </c>
      <c r="AC2" s="7" t="s">
        <v>1</v>
      </c>
      <c r="AD2" s="7" t="s">
        <v>6</v>
      </c>
      <c r="AE2" s="3" t="s">
        <v>0</v>
      </c>
      <c r="AF2" s="9" t="s">
        <v>2</v>
      </c>
      <c r="AG2" s="7" t="s">
        <v>1</v>
      </c>
      <c r="AH2" s="7" t="s">
        <v>6</v>
      </c>
      <c r="AI2" s="3" t="s">
        <v>0</v>
      </c>
      <c r="AJ2" s="9" t="s">
        <v>2</v>
      </c>
      <c r="AK2" s="7" t="s">
        <v>1</v>
      </c>
      <c r="AL2" s="7" t="s">
        <v>6</v>
      </c>
      <c r="AM2" s="3" t="s">
        <v>0</v>
      </c>
      <c r="AN2" s="9" t="s">
        <v>2</v>
      </c>
      <c r="AO2" s="7" t="s">
        <v>1</v>
      </c>
      <c r="AP2" s="7" t="s">
        <v>6</v>
      </c>
      <c r="AQ2" s="3" t="s">
        <v>0</v>
      </c>
      <c r="AR2" s="9" t="s">
        <v>2</v>
      </c>
      <c r="AS2" s="7" t="s">
        <v>1</v>
      </c>
      <c r="AT2" s="7" t="s">
        <v>6</v>
      </c>
      <c r="AU2" s="3" t="s">
        <v>0</v>
      </c>
      <c r="AV2" s="9" t="s">
        <v>2</v>
      </c>
      <c r="AW2" s="7" t="s">
        <v>1</v>
      </c>
      <c r="AX2" s="7" t="s">
        <v>6</v>
      </c>
      <c r="AY2" s="3" t="s">
        <v>0</v>
      </c>
      <c r="AZ2" s="9" t="s">
        <v>2</v>
      </c>
      <c r="BA2" s="7" t="s">
        <v>1</v>
      </c>
      <c r="BB2" s="7" t="s">
        <v>6</v>
      </c>
      <c r="BC2" s="3" t="s">
        <v>0</v>
      </c>
      <c r="BD2" s="9" t="s">
        <v>2</v>
      </c>
      <c r="BE2" s="7" t="s">
        <v>1</v>
      </c>
      <c r="BF2" s="7" t="s">
        <v>6</v>
      </c>
      <c r="BG2" s="3" t="s">
        <v>0</v>
      </c>
      <c r="BH2" s="9" t="s">
        <v>2</v>
      </c>
      <c r="BI2" s="7" t="s">
        <v>1</v>
      </c>
      <c r="BJ2" s="7" t="s">
        <v>6</v>
      </c>
      <c r="BK2" s="3" t="s">
        <v>0</v>
      </c>
      <c r="BL2" s="9" t="s">
        <v>2</v>
      </c>
      <c r="BM2" s="7" t="s">
        <v>1</v>
      </c>
      <c r="BN2" s="7" t="s">
        <v>6</v>
      </c>
      <c r="BO2" s="3" t="s">
        <v>0</v>
      </c>
      <c r="BP2" s="9" t="s">
        <v>2</v>
      </c>
      <c r="BQ2" s="7" t="s">
        <v>1</v>
      </c>
      <c r="BR2" s="7" t="s">
        <v>6</v>
      </c>
      <c r="BS2" s="3" t="s">
        <v>0</v>
      </c>
      <c r="BT2" s="9" t="s">
        <v>2</v>
      </c>
      <c r="BU2" s="7" t="s">
        <v>1</v>
      </c>
      <c r="BV2" s="7" t="s">
        <v>6</v>
      </c>
      <c r="BW2" s="3" t="s">
        <v>0</v>
      </c>
      <c r="BX2" s="9" t="s">
        <v>2</v>
      </c>
      <c r="BY2" s="7" t="s">
        <v>1</v>
      </c>
      <c r="BZ2" s="7" t="s">
        <v>6</v>
      </c>
      <c r="CA2" s="3" t="s">
        <v>0</v>
      </c>
      <c r="CB2" s="9" t="s">
        <v>2</v>
      </c>
      <c r="CC2" s="7" t="s">
        <v>1</v>
      </c>
      <c r="CD2" s="7" t="s">
        <v>6</v>
      </c>
      <c r="CE2" s="3" t="s">
        <v>0</v>
      </c>
      <c r="CF2" s="9" t="s">
        <v>2</v>
      </c>
      <c r="CG2" s="7" t="s">
        <v>1</v>
      </c>
      <c r="CH2" s="7" t="s">
        <v>6</v>
      </c>
      <c r="CI2" s="3" t="s">
        <v>0</v>
      </c>
      <c r="CJ2" s="9" t="s">
        <v>2</v>
      </c>
      <c r="CK2" s="7" t="s">
        <v>1</v>
      </c>
      <c r="CL2" s="7" t="s">
        <v>6</v>
      </c>
      <c r="CM2" s="3" t="s">
        <v>0</v>
      </c>
      <c r="CN2" s="9" t="s">
        <v>2</v>
      </c>
      <c r="CO2" s="7" t="s">
        <v>1</v>
      </c>
      <c r="CP2" s="7" t="s">
        <v>6</v>
      </c>
      <c r="CQ2" s="3" t="s">
        <v>0</v>
      </c>
      <c r="CR2" s="9" t="s">
        <v>2</v>
      </c>
      <c r="CS2" s="7" t="s">
        <v>1</v>
      </c>
      <c r="CT2" s="7" t="s">
        <v>6</v>
      </c>
      <c r="CU2" s="3" t="s">
        <v>0</v>
      </c>
      <c r="CV2" s="9" t="s">
        <v>2</v>
      </c>
      <c r="CW2" s="7" t="s">
        <v>1</v>
      </c>
      <c r="CX2" s="7" t="s">
        <v>6</v>
      </c>
      <c r="CY2" s="3" t="s">
        <v>0</v>
      </c>
      <c r="CZ2" s="9" t="s">
        <v>2</v>
      </c>
      <c r="DA2" s="7" t="s">
        <v>1</v>
      </c>
      <c r="DB2" s="7" t="s">
        <v>6</v>
      </c>
      <c r="DC2" s="3" t="s">
        <v>0</v>
      </c>
      <c r="DD2" s="9" t="s">
        <v>2</v>
      </c>
      <c r="DE2" s="7" t="s">
        <v>1</v>
      </c>
      <c r="DF2" s="7" t="s">
        <v>6</v>
      </c>
      <c r="DG2" s="3" t="s">
        <v>0</v>
      </c>
      <c r="DH2" s="9" t="s">
        <v>2</v>
      </c>
      <c r="DI2" s="7" t="s">
        <v>1</v>
      </c>
      <c r="DJ2" s="7" t="s">
        <v>6</v>
      </c>
      <c r="DK2" s="3" t="s">
        <v>0</v>
      </c>
      <c r="DL2" s="9" t="s">
        <v>2</v>
      </c>
      <c r="DM2" s="7" t="s">
        <v>1</v>
      </c>
      <c r="DN2" s="7" t="s">
        <v>6</v>
      </c>
      <c r="DO2" s="3" t="s">
        <v>0</v>
      </c>
      <c r="DP2" s="9" t="s">
        <v>2</v>
      </c>
      <c r="DQ2" s="7" t="s">
        <v>1</v>
      </c>
      <c r="DR2" s="7" t="s">
        <v>6</v>
      </c>
      <c r="DS2" s="3" t="s">
        <v>0</v>
      </c>
      <c r="DT2" s="9" t="s">
        <v>2</v>
      </c>
      <c r="DU2" s="7" t="s">
        <v>1</v>
      </c>
      <c r="DV2" s="7" t="s">
        <v>6</v>
      </c>
      <c r="DW2" s="3" t="s">
        <v>0</v>
      </c>
      <c r="DX2" s="9" t="s">
        <v>2</v>
      </c>
      <c r="DY2" s="7" t="s">
        <v>1</v>
      </c>
      <c r="DZ2" s="7" t="s">
        <v>6</v>
      </c>
      <c r="EA2" s="3" t="s">
        <v>0</v>
      </c>
      <c r="EB2" s="9" t="s">
        <v>2</v>
      </c>
      <c r="EC2" s="7" t="s">
        <v>1</v>
      </c>
      <c r="ED2" s="7" t="s">
        <v>6</v>
      </c>
      <c r="EE2" s="3" t="s">
        <v>0</v>
      </c>
      <c r="EF2" s="9" t="s">
        <v>2</v>
      </c>
      <c r="EG2" s="7" t="s">
        <v>1</v>
      </c>
      <c r="EH2" s="7" t="s">
        <v>6</v>
      </c>
      <c r="EI2" s="3" t="s">
        <v>0</v>
      </c>
      <c r="EJ2" s="9" t="s">
        <v>2</v>
      </c>
      <c r="EK2" s="7" t="s">
        <v>1</v>
      </c>
      <c r="EL2" s="7" t="s">
        <v>6</v>
      </c>
      <c r="EM2" s="3" t="s">
        <v>0</v>
      </c>
      <c r="EN2" s="9" t="s">
        <v>2</v>
      </c>
      <c r="EO2" s="7" t="s">
        <v>1</v>
      </c>
      <c r="EP2" s="7" t="s">
        <v>6</v>
      </c>
      <c r="EQ2" s="3" t="s">
        <v>0</v>
      </c>
      <c r="ER2" s="9" t="s">
        <v>2</v>
      </c>
      <c r="ES2" s="7" t="s">
        <v>1</v>
      </c>
      <c r="ET2" s="7" t="s">
        <v>6</v>
      </c>
      <c r="EU2" s="3" t="s">
        <v>0</v>
      </c>
      <c r="EV2" s="9" t="s">
        <v>2</v>
      </c>
      <c r="EW2" s="7" t="s">
        <v>1</v>
      </c>
      <c r="EX2" s="7" t="s">
        <v>6</v>
      </c>
      <c r="EY2" s="3" t="s">
        <v>0</v>
      </c>
      <c r="EZ2" s="9" t="s">
        <v>2</v>
      </c>
      <c r="FA2" s="7" t="s">
        <v>1</v>
      </c>
      <c r="FB2" s="7" t="s">
        <v>6</v>
      </c>
      <c r="FC2" s="3" t="s">
        <v>0</v>
      </c>
      <c r="FD2" s="9" t="s">
        <v>2</v>
      </c>
      <c r="FE2" s="7" t="s">
        <v>1</v>
      </c>
      <c r="FF2" s="7" t="s">
        <v>6</v>
      </c>
      <c r="FG2" s="3" t="s">
        <v>0</v>
      </c>
      <c r="FH2" s="9" t="s">
        <v>2</v>
      </c>
      <c r="FI2" s="7" t="s">
        <v>1</v>
      </c>
      <c r="FJ2" s="7" t="s">
        <v>6</v>
      </c>
      <c r="FK2" s="49" t="s">
        <v>19</v>
      </c>
      <c r="FL2" s="10" t="s">
        <v>20</v>
      </c>
      <c r="FM2" s="10" t="s">
        <v>21</v>
      </c>
      <c r="FN2" s="10" t="s">
        <v>22</v>
      </c>
      <c r="FO2" s="81" t="s">
        <v>23</v>
      </c>
      <c r="FP2" s="81"/>
      <c r="FQ2" s="81"/>
      <c r="FR2" s="22" t="s">
        <v>24</v>
      </c>
    </row>
    <row r="3" spans="1:174" ht="72" customHeight="1" thickBot="1" x14ac:dyDescent="0.3">
      <c r="A3" s="21">
        <v>1</v>
      </c>
      <c r="B3" s="30" t="s">
        <v>13</v>
      </c>
      <c r="C3" s="3">
        <v>10</v>
      </c>
      <c r="D3" s="3">
        <v>10</v>
      </c>
      <c r="E3" s="12">
        <f>D3/C3</f>
        <v>1</v>
      </c>
      <c r="F3" s="12">
        <f>POWER(D3-$FM3,2)</f>
        <v>5.609418282548476</v>
      </c>
      <c r="G3" s="3">
        <v>9</v>
      </c>
      <c r="H3" s="5">
        <v>9</v>
      </c>
      <c r="I3" s="12">
        <f>H3/G3</f>
        <v>1</v>
      </c>
      <c r="J3" s="12">
        <f>POWER(H3-$FM3,2)</f>
        <v>1.872576177285318</v>
      </c>
      <c r="K3" s="3">
        <v>10</v>
      </c>
      <c r="L3" s="5">
        <v>10</v>
      </c>
      <c r="M3" s="12">
        <f>L3/K3</f>
        <v>1</v>
      </c>
      <c r="N3" s="12">
        <f>POWER(L3-$FM3,2)</f>
        <v>5.609418282548476</v>
      </c>
      <c r="O3" s="3">
        <v>9</v>
      </c>
      <c r="P3" s="5">
        <v>9</v>
      </c>
      <c r="Q3" s="12">
        <f>P3/O3</f>
        <v>1</v>
      </c>
      <c r="R3" s="12">
        <f>POWER(P3-$FM3,2)</f>
        <v>1.872576177285318</v>
      </c>
      <c r="S3" s="3">
        <v>7</v>
      </c>
      <c r="T3" s="26">
        <v>7</v>
      </c>
      <c r="U3" s="12">
        <f>T3/S3</f>
        <v>1</v>
      </c>
      <c r="V3" s="12">
        <f>POWER(T3-$FM3,2)</f>
        <v>0.39889196675900301</v>
      </c>
      <c r="W3" s="3">
        <v>8</v>
      </c>
      <c r="X3" s="5">
        <v>8</v>
      </c>
      <c r="Y3" s="12">
        <f>X3/W3</f>
        <v>1</v>
      </c>
      <c r="Z3" s="12">
        <f>POWER(X3-$FM3,2)</f>
        <v>0.13573407202216053</v>
      </c>
      <c r="AA3" s="3">
        <v>6</v>
      </c>
      <c r="AB3" s="5">
        <v>6</v>
      </c>
      <c r="AC3" s="12">
        <f>AB3/AA3</f>
        <v>1</v>
      </c>
      <c r="AD3" s="12">
        <f>POWER(AB3-$FM3,2)</f>
        <v>2.6620498614958454</v>
      </c>
      <c r="AE3" s="3">
        <v>10</v>
      </c>
      <c r="AF3" s="5">
        <v>10</v>
      </c>
      <c r="AG3" s="12">
        <f>AF3/AE3</f>
        <v>1</v>
      </c>
      <c r="AH3" s="12">
        <f>POWER(AF3-$FM3,2)</f>
        <v>5.609418282548476</v>
      </c>
      <c r="AI3" s="3">
        <v>10</v>
      </c>
      <c r="AJ3" s="5">
        <v>10</v>
      </c>
      <c r="AK3" s="12">
        <f>AJ3/AI3</f>
        <v>1</v>
      </c>
      <c r="AL3" s="12">
        <f>POWER(AJ3-$FM3,2)</f>
        <v>5.609418282548476</v>
      </c>
      <c r="AM3" s="3">
        <v>7</v>
      </c>
      <c r="AN3" s="5">
        <v>7</v>
      </c>
      <c r="AO3" s="12">
        <f>AN3/AM3</f>
        <v>1</v>
      </c>
      <c r="AP3" s="12">
        <f>POWER(AN3-$FM3,2)</f>
        <v>0.39889196675900301</v>
      </c>
      <c r="AQ3" s="3">
        <v>6</v>
      </c>
      <c r="AR3" s="5">
        <v>6</v>
      </c>
      <c r="AS3" s="12">
        <f>AR3/AQ3</f>
        <v>1</v>
      </c>
      <c r="AT3" s="12">
        <f>POWER(AR3-$FM3,2)</f>
        <v>2.6620498614958454</v>
      </c>
      <c r="AU3" s="3">
        <v>7</v>
      </c>
      <c r="AV3" s="5">
        <v>7</v>
      </c>
      <c r="AW3" s="12">
        <f>AV3/AU3</f>
        <v>1</v>
      </c>
      <c r="AX3" s="12">
        <f>POWER(AV3-$FM3,2)</f>
        <v>0.39889196675900301</v>
      </c>
      <c r="AY3" s="3">
        <v>7</v>
      </c>
      <c r="AZ3" s="5">
        <v>6</v>
      </c>
      <c r="BA3" s="12">
        <f>AZ3/AY3</f>
        <v>0.8571428571428571</v>
      </c>
      <c r="BB3" s="12">
        <f>POWER(AZ3-$FM3,2)</f>
        <v>2.6620498614958454</v>
      </c>
      <c r="BC3" s="3">
        <v>6</v>
      </c>
      <c r="BD3" s="5">
        <v>5</v>
      </c>
      <c r="BE3" s="12">
        <f>BD3/BC3</f>
        <v>0.83333333333333337</v>
      </c>
      <c r="BF3" s="12">
        <f>POWER(BD3-$FM3,2)</f>
        <v>6.9252077562326884</v>
      </c>
      <c r="BG3" s="3">
        <v>5</v>
      </c>
      <c r="BH3" s="5">
        <v>5</v>
      </c>
      <c r="BI3" s="12">
        <f>BH3/BG3</f>
        <v>1</v>
      </c>
      <c r="BJ3" s="12">
        <f>POWER(BH3-$FM3,2)</f>
        <v>6.9252077562326884</v>
      </c>
      <c r="BK3" s="3">
        <v>8</v>
      </c>
      <c r="BL3" s="5">
        <v>8</v>
      </c>
      <c r="BM3" s="12">
        <f>BL3/BK3</f>
        <v>1</v>
      </c>
      <c r="BN3" s="12">
        <f>POWER(BL3-$FM3,2)</f>
        <v>0.13573407202216053</v>
      </c>
      <c r="BO3" s="3">
        <v>10</v>
      </c>
      <c r="BP3" s="5">
        <v>10</v>
      </c>
      <c r="BQ3" s="12">
        <f>BP3/BO3</f>
        <v>1</v>
      </c>
      <c r="BR3" s="12">
        <f>POWER(BP3-$FM3,2)</f>
        <v>5.609418282548476</v>
      </c>
      <c r="BS3" s="3">
        <v>6</v>
      </c>
      <c r="BT3" s="5">
        <v>6</v>
      </c>
      <c r="BU3" s="12">
        <f>BT3/BS3</f>
        <v>1</v>
      </c>
      <c r="BV3" s="12">
        <f>POWER(BT3-$FM3,2)</f>
        <v>2.6620498614958454</v>
      </c>
      <c r="BW3" s="3">
        <v>7</v>
      </c>
      <c r="BX3" s="5">
        <v>6</v>
      </c>
      <c r="BY3" s="12">
        <f>BX3/BW3</f>
        <v>0.8571428571428571</v>
      </c>
      <c r="BZ3" s="12">
        <f>POWER(BX3-$FM3,2)</f>
        <v>2.6620498614958454</v>
      </c>
      <c r="CA3" s="3"/>
      <c r="CB3" s="5"/>
      <c r="CC3" s="12"/>
      <c r="CD3" s="12"/>
      <c r="CE3" s="3"/>
      <c r="CF3" s="5"/>
      <c r="CG3" s="12"/>
      <c r="CH3" s="12"/>
      <c r="CI3" s="3"/>
      <c r="CJ3" s="5"/>
      <c r="CK3" s="12"/>
      <c r="CL3" s="12"/>
      <c r="CM3" s="3"/>
      <c r="CN3" s="5"/>
      <c r="CO3" s="12"/>
      <c r="CP3" s="12"/>
      <c r="CQ3" s="3"/>
      <c r="CR3" s="5"/>
      <c r="CS3" s="12"/>
      <c r="CT3" s="12"/>
      <c r="CU3" s="3"/>
      <c r="CV3" s="5"/>
      <c r="CW3" s="12"/>
      <c r="CX3" s="12"/>
      <c r="CY3" s="3"/>
      <c r="CZ3" s="5"/>
      <c r="DA3" s="12"/>
      <c r="DB3" s="12"/>
      <c r="DC3" s="3"/>
      <c r="DD3" s="5"/>
      <c r="DE3" s="12"/>
      <c r="DF3" s="12"/>
      <c r="DG3" s="3"/>
      <c r="DH3" s="5"/>
      <c r="DI3" s="12"/>
      <c r="DJ3" s="12"/>
      <c r="DK3" s="3"/>
      <c r="DL3" s="5"/>
      <c r="DM3" s="12"/>
      <c r="DN3" s="12"/>
      <c r="DO3" s="3"/>
      <c r="DP3" s="5"/>
      <c r="DQ3" s="12"/>
      <c r="DR3" s="12"/>
      <c r="DS3" s="3"/>
      <c r="DT3" s="5"/>
      <c r="DU3" s="12"/>
      <c r="DV3" s="12"/>
      <c r="DW3" s="3"/>
      <c r="DX3" s="5"/>
      <c r="DY3" s="12"/>
      <c r="DZ3" s="12"/>
      <c r="EA3" s="3"/>
      <c r="EB3" s="5"/>
      <c r="EC3" s="12"/>
      <c r="ED3" s="12"/>
      <c r="EE3" s="3"/>
      <c r="EF3" s="5"/>
      <c r="EG3" s="12"/>
      <c r="EH3" s="12"/>
      <c r="EI3" s="3"/>
      <c r="EJ3" s="5"/>
      <c r="EK3" s="12"/>
      <c r="EL3" s="12"/>
      <c r="EM3" s="3"/>
      <c r="EN3" s="5"/>
      <c r="EO3" s="12"/>
      <c r="EP3" s="12"/>
      <c r="EQ3" s="3"/>
      <c r="ER3" s="5"/>
      <c r="ES3" s="12"/>
      <c r="ET3" s="12"/>
      <c r="EU3" s="3"/>
      <c r="EV3" s="5"/>
      <c r="EW3" s="12"/>
      <c r="EX3" s="12"/>
      <c r="EY3" s="3"/>
      <c r="EZ3" s="5"/>
      <c r="FA3" s="12"/>
      <c r="FB3" s="12"/>
      <c r="FC3" s="3"/>
      <c r="FD3" s="5"/>
      <c r="FE3" s="12"/>
      <c r="FF3" s="12"/>
      <c r="FG3" s="3"/>
      <c r="FH3" s="5"/>
      <c r="FI3" s="12"/>
      <c r="FJ3" s="12"/>
      <c r="FK3" s="4">
        <f>COUNT(C3,G3,K3,O3,S3,W3,AA3,AE3,AI3,AM3,AQ3,AU3,AY3,BC3,BG3,BK3,BO3,BS3,BW3,CA3,CE3,CI3,CM3,CQ3,CU3,CY3,DC3,DG3,DK3,DO3,DS3,DW3,EA3,EE3,EI3,EM3,EQ3,EU3,EY3,FC3,FG3)</f>
        <v>19</v>
      </c>
      <c r="FL3" s="15">
        <f>(E3+I3+M3+Q3+U3+Y3+AC3+AG3+AK3+AO3+AS3+AW3+BA3+BE3+BI3+BM3+BQ3+BU3+BY3+CC3+CG3+CK3+CO3+CS3+CW3+DA3+DE3+DI3+DM3+DQ3+DU3+DY3+EC3+EG3+EK3+EO3+ES3+EW3+FA3+FE3+FI3)*100/FK3</f>
        <v>97.61904761904762</v>
      </c>
      <c r="FM3" s="15">
        <f>AVERAGE(D3,H3,L3,P3,T3,X3,AB3,AF3,AJ3,AN3,AR3,AV3,AZ3,BD3,BH3,BL3,BP3,BT3,BX3,CB3,CF3,CJ3,CN3,CR3,CV3,CZ3,DD3,DH3,DL3,DP3,DT3,DX3,EB3,EF3,EJ3,EN3,ER3,EV3,EZ3,FD3,FH3)</f>
        <v>7.6315789473684212</v>
      </c>
      <c r="FN3" s="15">
        <f>SQRT((F3+J3+N3+R3+V3+Z3+AD3+AH3+AL3+AP3+AT3+AX3+BB3+BF3+BJ3+BN3+BR3++BV3+BZ3+CD3+CH3+CL3+CP3+CT3+CX3+DB3+DF3+DJ3+DN3+DR3+DV3+DZ3+ED3+EH3+EL3+EP3+ET3+EX3+FB3+FF3+FJ3)/FK3)</f>
        <v>1.783270983799728</v>
      </c>
      <c r="FO3" s="16">
        <f>FL3</f>
        <v>97.61904761904762</v>
      </c>
      <c r="FP3" s="17" t="s">
        <v>3</v>
      </c>
      <c r="FQ3" s="24">
        <f>FN3</f>
        <v>1.783270983799728</v>
      </c>
      <c r="FR3" s="4" t="str">
        <f>IF(FL3&lt;40,"неудовлетворительно",IF((FL3&gt;=40)*AND(FL3&lt;60),"удовлетворительно",IF((FL3&gt;=60)*AND(FL3&lt;80),"хорошо","отлично")))</f>
        <v>отлично</v>
      </c>
    </row>
    <row r="4" spans="1:174" ht="39.75" customHeight="1" thickBot="1" x14ac:dyDescent="0.3">
      <c r="A4" s="21">
        <v>2</v>
      </c>
      <c r="B4" s="31" t="s">
        <v>14</v>
      </c>
      <c r="C4" s="3">
        <v>10</v>
      </c>
      <c r="D4" s="3">
        <v>10</v>
      </c>
      <c r="E4" s="12">
        <f t="shared" ref="E4:E14" si="0">D4/C4</f>
        <v>1</v>
      </c>
      <c r="F4" s="12">
        <f t="shared" ref="F4:F11" si="1">POWER(D4-$FM4,2)</f>
        <v>7.2049861495844869</v>
      </c>
      <c r="G4" s="3">
        <v>9</v>
      </c>
      <c r="H4" s="5">
        <v>9</v>
      </c>
      <c r="I4" s="12">
        <f t="shared" ref="I4:I14" si="2">H4/G4</f>
        <v>1</v>
      </c>
      <c r="J4" s="12">
        <f t="shared" ref="J4:J11" si="3">POWER(H4-$FM4,2)</f>
        <v>2.8365650969529081</v>
      </c>
      <c r="K4" s="3">
        <v>10</v>
      </c>
      <c r="L4" s="5">
        <v>10</v>
      </c>
      <c r="M4" s="12">
        <f t="shared" ref="M4:M14" si="4">L4/K4</f>
        <v>1</v>
      </c>
      <c r="N4" s="12">
        <f t="shared" ref="N4:N11" si="5">POWER(L4-$FM4,2)</f>
        <v>7.2049861495844869</v>
      </c>
      <c r="O4" s="3">
        <v>9</v>
      </c>
      <c r="P4" s="5">
        <v>9</v>
      </c>
      <c r="Q4" s="12">
        <f t="shared" ref="Q4:Q14" si="6">P4/O4</f>
        <v>1</v>
      </c>
      <c r="R4" s="12">
        <f t="shared" ref="R4:R11" si="7">POWER(P4-$FM4,2)</f>
        <v>2.8365650969529081</v>
      </c>
      <c r="S4" s="3">
        <v>6</v>
      </c>
      <c r="T4" s="3">
        <v>4</v>
      </c>
      <c r="U4" s="12">
        <f t="shared" ref="U4:U14" si="8">T4/S4</f>
        <v>0.66666666666666663</v>
      </c>
      <c r="V4" s="12">
        <f t="shared" ref="V4:V11" si="9">POWER(T4-$FM4,2)</f>
        <v>10.994459833795014</v>
      </c>
      <c r="W4" s="3">
        <v>6</v>
      </c>
      <c r="X4" s="5">
        <v>4</v>
      </c>
      <c r="Y4" s="12">
        <f t="shared" ref="Y4:Y14" si="10">X4/W4</f>
        <v>0.66666666666666663</v>
      </c>
      <c r="Z4" s="12">
        <f t="shared" ref="Z4:Z11" si="11">POWER(X4-$FM4,2)</f>
        <v>10.994459833795014</v>
      </c>
      <c r="AA4" s="3">
        <v>6</v>
      </c>
      <c r="AB4" s="5">
        <v>6</v>
      </c>
      <c r="AC4" s="12">
        <f t="shared" ref="AC4:AC14" si="12">AB4/AA4</f>
        <v>1</v>
      </c>
      <c r="AD4" s="12">
        <f t="shared" ref="AD4:AD11" si="13">POWER(AB4-$FM4,2)</f>
        <v>1.7313019390581721</v>
      </c>
      <c r="AE4" s="3">
        <v>10</v>
      </c>
      <c r="AF4" s="5">
        <v>10</v>
      </c>
      <c r="AG4" s="12">
        <f t="shared" ref="AG4:AG14" si="14">AF4/AE4</f>
        <v>1</v>
      </c>
      <c r="AH4" s="12">
        <f t="shared" ref="AH4:AH11" si="15">POWER(AF4-$FM4,2)</f>
        <v>7.2049861495844869</v>
      </c>
      <c r="AI4" s="3">
        <v>10</v>
      </c>
      <c r="AJ4" s="5">
        <v>10</v>
      </c>
      <c r="AK4" s="12">
        <f t="shared" ref="AK4:AK14" si="16">AJ4/AI4</f>
        <v>1</v>
      </c>
      <c r="AL4" s="12">
        <f t="shared" ref="AL4:AL11" si="17">POWER(AJ4-$FM4,2)</f>
        <v>7.2049861495844869</v>
      </c>
      <c r="AM4" s="3">
        <v>6</v>
      </c>
      <c r="AN4" s="5">
        <v>6</v>
      </c>
      <c r="AO4" s="12">
        <f t="shared" ref="AO4:AO14" si="18">AN4/AM4</f>
        <v>1</v>
      </c>
      <c r="AP4" s="12">
        <f t="shared" ref="AP4:AP11" si="19">POWER(AN4-$FM4,2)</f>
        <v>1.7313019390581721</v>
      </c>
      <c r="AQ4" s="3">
        <v>6</v>
      </c>
      <c r="AR4" s="5">
        <v>6</v>
      </c>
      <c r="AS4" s="12">
        <f t="shared" ref="AS4:AS14" si="20">AR4/AQ4</f>
        <v>1</v>
      </c>
      <c r="AT4" s="12">
        <f t="shared" ref="AT4:AT11" si="21">POWER(AR4-$FM4,2)</f>
        <v>1.7313019390581721</v>
      </c>
      <c r="AU4" s="3">
        <v>8</v>
      </c>
      <c r="AV4" s="5">
        <v>8</v>
      </c>
      <c r="AW4" s="12">
        <f t="shared" ref="AW4:AW11" si="22">AV4/AU4</f>
        <v>1</v>
      </c>
      <c r="AX4" s="12">
        <f t="shared" ref="AX4:AX11" si="23">POWER(AV4-$FM4,2)</f>
        <v>0.4681440443213295</v>
      </c>
      <c r="AY4" s="3">
        <v>6</v>
      </c>
      <c r="AZ4" s="5">
        <v>6</v>
      </c>
      <c r="BA4" s="12">
        <f t="shared" ref="BA4:BA11" si="24">AZ4/AY4</f>
        <v>1</v>
      </c>
      <c r="BB4" s="12">
        <f t="shared" ref="BB4:BB11" si="25">POWER(AZ4-$FM4,2)</f>
        <v>1.7313019390581721</v>
      </c>
      <c r="BC4" s="3">
        <v>7</v>
      </c>
      <c r="BD4" s="5">
        <v>6</v>
      </c>
      <c r="BE4" s="12">
        <f t="shared" ref="BE4:BE11" si="26">BD4/BC4</f>
        <v>0.8571428571428571</v>
      </c>
      <c r="BF4" s="12">
        <f t="shared" ref="BF4:BF11" si="27">POWER(BD4-$FM4,2)</f>
        <v>1.7313019390581721</v>
      </c>
      <c r="BG4" s="3">
        <v>6</v>
      </c>
      <c r="BH4" s="5">
        <v>6</v>
      </c>
      <c r="BI4" s="12">
        <f t="shared" ref="BI4:BI11" si="28">BH4/BG4</f>
        <v>1</v>
      </c>
      <c r="BJ4" s="12">
        <f t="shared" ref="BJ4:BJ14" si="29">POWER(BH4-$FM4,2)</f>
        <v>1.7313019390581721</v>
      </c>
      <c r="BK4" s="3">
        <v>9</v>
      </c>
      <c r="BL4" s="5">
        <v>9</v>
      </c>
      <c r="BM4" s="12">
        <f t="shared" ref="BM4:BM11" si="30">BL4/BK4</f>
        <v>1</v>
      </c>
      <c r="BN4" s="12">
        <f t="shared" ref="BN4:BN11" si="31">POWER(BL4-$FM4,2)</f>
        <v>2.8365650969529081</v>
      </c>
      <c r="BO4" s="3">
        <v>10</v>
      </c>
      <c r="BP4" s="5">
        <v>10</v>
      </c>
      <c r="BQ4" s="12">
        <f t="shared" ref="BQ4:BQ11" si="32">BP4/BO4</f>
        <v>1</v>
      </c>
      <c r="BR4" s="12">
        <f t="shared" ref="BR4:BR11" si="33">POWER(BP4-$FM4,2)</f>
        <v>7.2049861495844869</v>
      </c>
      <c r="BS4" s="3">
        <v>5</v>
      </c>
      <c r="BT4" s="5">
        <v>4</v>
      </c>
      <c r="BU4" s="12">
        <f t="shared" ref="BU4:BU11" si="34">BT4/BS4</f>
        <v>0.8</v>
      </c>
      <c r="BV4" s="12">
        <f t="shared" ref="BV4:BV11" si="35">POWER(BT4-$FM4,2)</f>
        <v>10.994459833795014</v>
      </c>
      <c r="BW4" s="3">
        <v>6</v>
      </c>
      <c r="BX4" s="5">
        <v>6</v>
      </c>
      <c r="BY4" s="12">
        <f t="shared" ref="BY4:BY11" si="36">BX4/BW4</f>
        <v>1</v>
      </c>
      <c r="BZ4" s="12">
        <f t="shared" ref="BZ4:BZ11" si="37">POWER(BX4-$FM4,2)</f>
        <v>1.7313019390581721</v>
      </c>
      <c r="CA4" s="3"/>
      <c r="CB4" s="5"/>
      <c r="CC4" s="12"/>
      <c r="CD4" s="12"/>
      <c r="CE4" s="3"/>
      <c r="CF4" s="5"/>
      <c r="CG4" s="12"/>
      <c r="CH4" s="12"/>
      <c r="CI4" s="3"/>
      <c r="CJ4" s="5"/>
      <c r="CK4" s="12"/>
      <c r="CL4" s="12"/>
      <c r="CM4" s="3"/>
      <c r="CN4" s="5"/>
      <c r="CO4" s="12"/>
      <c r="CP4" s="12"/>
      <c r="CQ4" s="3"/>
      <c r="CR4" s="5"/>
      <c r="CS4" s="12"/>
      <c r="CT4" s="12"/>
      <c r="CU4" s="3"/>
      <c r="CV4" s="5"/>
      <c r="CW4" s="12"/>
      <c r="CX4" s="12"/>
      <c r="CY4" s="3"/>
      <c r="CZ4" s="5"/>
      <c r="DA4" s="12"/>
      <c r="DB4" s="12"/>
      <c r="DC4" s="3"/>
      <c r="DD4" s="5"/>
      <c r="DE4" s="12"/>
      <c r="DF4" s="12"/>
      <c r="DG4" s="3"/>
      <c r="DH4" s="5"/>
      <c r="DI4" s="12"/>
      <c r="DJ4" s="12"/>
      <c r="DK4" s="3"/>
      <c r="DL4" s="5"/>
      <c r="DM4" s="12"/>
      <c r="DN4" s="12"/>
      <c r="DO4" s="3"/>
      <c r="DP4" s="5"/>
      <c r="DQ4" s="12"/>
      <c r="DR4" s="12"/>
      <c r="DS4" s="3"/>
      <c r="DT4" s="5"/>
      <c r="DU4" s="12"/>
      <c r="DV4" s="12"/>
      <c r="DW4" s="3"/>
      <c r="DX4" s="5"/>
      <c r="DY4" s="12"/>
      <c r="DZ4" s="12"/>
      <c r="EA4" s="3"/>
      <c r="EB4" s="5"/>
      <c r="EC4" s="12"/>
      <c r="ED4" s="12"/>
      <c r="EE4" s="3"/>
      <c r="EF4" s="5"/>
      <c r="EG4" s="12"/>
      <c r="EH4" s="12"/>
      <c r="EI4" s="3"/>
      <c r="EJ4" s="5"/>
      <c r="EK4" s="12"/>
      <c r="EL4" s="12"/>
      <c r="EM4" s="3"/>
      <c r="EN4" s="5"/>
      <c r="EO4" s="12"/>
      <c r="EP4" s="12"/>
      <c r="EQ4" s="3"/>
      <c r="ER4" s="5"/>
      <c r="ES4" s="12"/>
      <c r="ET4" s="12"/>
      <c r="EU4" s="3"/>
      <c r="EV4" s="5"/>
      <c r="EW4" s="12"/>
      <c r="EX4" s="12"/>
      <c r="EY4" s="3"/>
      <c r="EZ4" s="5"/>
      <c r="FA4" s="12"/>
      <c r="FB4" s="12"/>
      <c r="FC4" s="3"/>
      <c r="FD4" s="5"/>
      <c r="FE4" s="12"/>
      <c r="FF4" s="12"/>
      <c r="FG4" s="3"/>
      <c r="FH4" s="5"/>
      <c r="FI4" s="12"/>
      <c r="FJ4" s="12"/>
      <c r="FK4" s="4">
        <f t="shared" ref="FK4:FK11" si="38">COUNT(C4,G4,K4,O4,S4,W4,AA4,AE4,AI4,AM4,AQ4,AU4,AY4,BC4,BG4,BK4,BO4,BS4,BW4,CA4,CE4,CI4,CM4,CQ4,CU4,CY4,DC4,DG4,DK4,DO4,DS4,DW4,EA4,EE4,EI4,EM4,EQ4,EU4,EY4,FC4,FG4)</f>
        <v>19</v>
      </c>
      <c r="FL4" s="15">
        <f t="shared" ref="FL4:FL14" si="39">(E4+I4+M4+Q4+U4+Y4+AC4+AG4+AK4+AO4+AS4+AW4+BA4+BE4+BI4+BM4+BQ4+BU4+BY4+CC4+CG4+CK4+CO4+CS4+CW4+DA4+DE4+DI4+DM4+DQ4+DU4+DY4+EC4+EG4+EK4+EO4+ES4+EW4+FA4+FE4+FI4)*100/FK4</f>
        <v>94.686716791979947</v>
      </c>
      <c r="FM4" s="15">
        <f t="shared" ref="FM4:FM14" si="40">AVERAGE(D4,H4,L4,P4,T4,X4,AB4,AF4,AJ4,AN4,AR4,AV4,AZ4,BD4,BH4,BL4,BP4,BT4,BX4,CB4,CF4,CJ4,CN4,CR4,CV4,CZ4,DD4,DH4,DL4,DP4,DT4,DX4,EB4,EF4,EJ4,EN4,ER4,EV4,EZ4,FD4,FH4)</f>
        <v>7.3157894736842106</v>
      </c>
      <c r="FN4" s="15">
        <f t="shared" ref="FN4:FN11" si="41">SQRT((F4+J4+N4+R4+V4+Z4+AD4+AH4+AL4+AP4+AT4+AX4+BB4+BF4+BJ4+BN4+BR4++BV4+BZ4+CD4+CH4+CL4+CP4+CT4+CX4+DB4+DF4+DJ4+DN4+DR4+DV4+DZ4+ED4+EH4+EL4+EP4+ET4+EX4+FB4+FF4+FJ4)/FK4)</f>
        <v>2.1777011437449683</v>
      </c>
      <c r="FO4" s="16">
        <f t="shared" ref="FO4:FO11" si="42">FL4</f>
        <v>94.686716791979947</v>
      </c>
      <c r="FP4" s="17" t="s">
        <v>3</v>
      </c>
      <c r="FQ4" s="24">
        <f t="shared" ref="FQ4:FQ11" si="43">FN4</f>
        <v>2.1777011437449683</v>
      </c>
      <c r="FR4" s="4" t="str">
        <f t="shared" ref="FR4:FR11" si="44">IF(FL4&lt;40,"неудовлетворительно",IF((FL4&gt;=40)*AND(FL4&lt;60),"удовлетворительно",IF((FL4&gt;=60)*AND(FL4&lt;80),"хорошо","отлично")))</f>
        <v>отлично</v>
      </c>
    </row>
    <row r="5" spans="1:174" ht="52.5" customHeight="1" thickBot="1" x14ac:dyDescent="0.3">
      <c r="A5" s="21">
        <v>3</v>
      </c>
      <c r="B5" s="31" t="s">
        <v>15</v>
      </c>
      <c r="C5" s="3">
        <v>10</v>
      </c>
      <c r="D5" s="3">
        <v>10</v>
      </c>
      <c r="E5" s="12">
        <f t="shared" si="0"/>
        <v>1</v>
      </c>
      <c r="F5" s="12">
        <f t="shared" si="1"/>
        <v>3.016620498614957</v>
      </c>
      <c r="G5" s="3">
        <v>9</v>
      </c>
      <c r="H5" s="5">
        <v>9</v>
      </c>
      <c r="I5" s="12">
        <f t="shared" si="2"/>
        <v>1</v>
      </c>
      <c r="J5" s="12">
        <f t="shared" si="3"/>
        <v>0.54293628808864214</v>
      </c>
      <c r="K5" s="3">
        <v>10</v>
      </c>
      <c r="L5" s="5">
        <v>10</v>
      </c>
      <c r="M5" s="12">
        <f t="shared" si="4"/>
        <v>1</v>
      </c>
      <c r="N5" s="12">
        <f t="shared" si="5"/>
        <v>3.016620498614957</v>
      </c>
      <c r="O5" s="3">
        <v>9</v>
      </c>
      <c r="P5" s="5">
        <v>9</v>
      </c>
      <c r="Q5" s="12">
        <f t="shared" si="6"/>
        <v>1</v>
      </c>
      <c r="R5" s="12">
        <f t="shared" si="7"/>
        <v>0.54293628808864214</v>
      </c>
      <c r="S5" s="3">
        <v>8</v>
      </c>
      <c r="T5" s="26">
        <v>8</v>
      </c>
      <c r="U5" s="12">
        <f t="shared" si="8"/>
        <v>1</v>
      </c>
      <c r="V5" s="12">
        <f t="shared" si="9"/>
        <v>6.9252077562327069E-2</v>
      </c>
      <c r="W5" s="3">
        <v>8</v>
      </c>
      <c r="X5" s="5">
        <v>8</v>
      </c>
      <c r="Y5" s="12">
        <f t="shared" si="10"/>
        <v>1</v>
      </c>
      <c r="Z5" s="12">
        <f t="shared" si="11"/>
        <v>6.9252077562327069E-2</v>
      </c>
      <c r="AA5" s="3">
        <v>8</v>
      </c>
      <c r="AB5" s="5">
        <v>8</v>
      </c>
      <c r="AC5" s="12">
        <f t="shared" si="12"/>
        <v>1</v>
      </c>
      <c r="AD5" s="12">
        <f t="shared" si="13"/>
        <v>6.9252077562327069E-2</v>
      </c>
      <c r="AE5" s="3">
        <v>10</v>
      </c>
      <c r="AF5" s="5">
        <v>10</v>
      </c>
      <c r="AG5" s="12">
        <f t="shared" si="14"/>
        <v>1</v>
      </c>
      <c r="AH5" s="12">
        <f t="shared" si="15"/>
        <v>3.016620498614957</v>
      </c>
      <c r="AI5" s="3">
        <v>10</v>
      </c>
      <c r="AJ5" s="5">
        <v>10</v>
      </c>
      <c r="AK5" s="12">
        <f t="shared" si="16"/>
        <v>1</v>
      </c>
      <c r="AL5" s="12">
        <f t="shared" si="17"/>
        <v>3.016620498614957</v>
      </c>
      <c r="AM5" s="3">
        <v>7</v>
      </c>
      <c r="AN5" s="5">
        <v>7</v>
      </c>
      <c r="AO5" s="12">
        <f t="shared" si="18"/>
        <v>1</v>
      </c>
      <c r="AP5" s="12">
        <f t="shared" si="19"/>
        <v>1.5955678670360121</v>
      </c>
      <c r="AQ5" s="3">
        <v>7</v>
      </c>
      <c r="AR5" s="5">
        <v>7</v>
      </c>
      <c r="AS5" s="12">
        <f t="shared" si="20"/>
        <v>1</v>
      </c>
      <c r="AT5" s="12">
        <f t="shared" si="21"/>
        <v>1.5955678670360121</v>
      </c>
      <c r="AU5" s="3">
        <v>7</v>
      </c>
      <c r="AV5" s="5">
        <v>7</v>
      </c>
      <c r="AW5" s="12">
        <f t="shared" si="22"/>
        <v>1</v>
      </c>
      <c r="AX5" s="12">
        <f t="shared" si="23"/>
        <v>1.5955678670360121</v>
      </c>
      <c r="AY5" s="3">
        <v>7</v>
      </c>
      <c r="AZ5" s="5">
        <v>7</v>
      </c>
      <c r="BA5" s="12">
        <f t="shared" si="24"/>
        <v>1</v>
      </c>
      <c r="BB5" s="12">
        <f t="shared" si="25"/>
        <v>1.5955678670360121</v>
      </c>
      <c r="BC5" s="3">
        <v>7</v>
      </c>
      <c r="BD5" s="5">
        <v>7</v>
      </c>
      <c r="BE5" s="12">
        <f t="shared" si="26"/>
        <v>1</v>
      </c>
      <c r="BF5" s="12">
        <f t="shared" si="27"/>
        <v>1.5955678670360121</v>
      </c>
      <c r="BG5" s="3">
        <v>8</v>
      </c>
      <c r="BH5" s="5">
        <v>8</v>
      </c>
      <c r="BI5" s="12">
        <f t="shared" si="28"/>
        <v>1</v>
      </c>
      <c r="BJ5" s="12">
        <f t="shared" si="29"/>
        <v>6.9252077562327069E-2</v>
      </c>
      <c r="BK5" s="3">
        <v>8</v>
      </c>
      <c r="BL5" s="5">
        <v>8</v>
      </c>
      <c r="BM5" s="12">
        <f t="shared" si="30"/>
        <v>1</v>
      </c>
      <c r="BN5" s="12">
        <f t="shared" si="31"/>
        <v>6.9252077562327069E-2</v>
      </c>
      <c r="BO5" s="3">
        <v>10</v>
      </c>
      <c r="BP5" s="5">
        <v>10</v>
      </c>
      <c r="BQ5" s="12">
        <f t="shared" si="32"/>
        <v>1</v>
      </c>
      <c r="BR5" s="12">
        <f t="shared" si="33"/>
        <v>3.016620498614957</v>
      </c>
      <c r="BS5" s="3">
        <v>7</v>
      </c>
      <c r="BT5" s="5">
        <v>7</v>
      </c>
      <c r="BU5" s="12">
        <f t="shared" si="34"/>
        <v>1</v>
      </c>
      <c r="BV5" s="12">
        <f t="shared" si="35"/>
        <v>1.5955678670360121</v>
      </c>
      <c r="BW5" s="3">
        <v>7</v>
      </c>
      <c r="BX5" s="5">
        <v>7</v>
      </c>
      <c r="BY5" s="12">
        <f t="shared" si="36"/>
        <v>1</v>
      </c>
      <c r="BZ5" s="12">
        <f t="shared" si="37"/>
        <v>1.5955678670360121</v>
      </c>
      <c r="CA5" s="3"/>
      <c r="CB5" s="5"/>
      <c r="CC5" s="12"/>
      <c r="CD5" s="12"/>
      <c r="CE5" s="3"/>
      <c r="CF5" s="5"/>
      <c r="CG5" s="12"/>
      <c r="CH5" s="12"/>
      <c r="CI5" s="3"/>
      <c r="CJ5" s="5"/>
      <c r="CK5" s="12"/>
      <c r="CL5" s="12"/>
      <c r="CM5" s="3"/>
      <c r="CN5" s="5"/>
      <c r="CO5" s="12"/>
      <c r="CP5" s="12"/>
      <c r="CQ5" s="3"/>
      <c r="CR5" s="5"/>
      <c r="CS5" s="12"/>
      <c r="CT5" s="12"/>
      <c r="CU5" s="3"/>
      <c r="CV5" s="5"/>
      <c r="CW5" s="12"/>
      <c r="CX5" s="12"/>
      <c r="CY5" s="3"/>
      <c r="CZ5" s="5"/>
      <c r="DA5" s="12"/>
      <c r="DB5" s="12"/>
      <c r="DC5" s="3"/>
      <c r="DD5" s="5"/>
      <c r="DE5" s="12"/>
      <c r="DF5" s="12"/>
      <c r="DG5" s="3"/>
      <c r="DH5" s="5"/>
      <c r="DI5" s="12"/>
      <c r="DJ5" s="12"/>
      <c r="DK5" s="3"/>
      <c r="DL5" s="5"/>
      <c r="DM5" s="12"/>
      <c r="DN5" s="12"/>
      <c r="DO5" s="3"/>
      <c r="DP5" s="5"/>
      <c r="DQ5" s="12"/>
      <c r="DR5" s="12"/>
      <c r="DS5" s="3"/>
      <c r="DT5" s="5"/>
      <c r="DU5" s="12"/>
      <c r="DV5" s="12"/>
      <c r="DW5" s="3"/>
      <c r="DX5" s="5"/>
      <c r="DY5" s="12"/>
      <c r="DZ5" s="12"/>
      <c r="EA5" s="3"/>
      <c r="EB5" s="5"/>
      <c r="EC5" s="12"/>
      <c r="ED5" s="12"/>
      <c r="EE5" s="3"/>
      <c r="EF5" s="5"/>
      <c r="EG5" s="12"/>
      <c r="EH5" s="12"/>
      <c r="EI5" s="3"/>
      <c r="EJ5" s="5"/>
      <c r="EK5" s="12"/>
      <c r="EL5" s="12"/>
      <c r="EM5" s="3"/>
      <c r="EN5" s="5"/>
      <c r="EO5" s="12"/>
      <c r="EP5" s="12"/>
      <c r="EQ5" s="3"/>
      <c r="ER5" s="5"/>
      <c r="ES5" s="12"/>
      <c r="ET5" s="12"/>
      <c r="EU5" s="3"/>
      <c r="EV5" s="5"/>
      <c r="EW5" s="12"/>
      <c r="EX5" s="12"/>
      <c r="EY5" s="3"/>
      <c r="EZ5" s="5"/>
      <c r="FA5" s="12"/>
      <c r="FB5" s="12"/>
      <c r="FC5" s="3"/>
      <c r="FD5" s="5"/>
      <c r="FE5" s="12"/>
      <c r="FF5" s="12"/>
      <c r="FG5" s="3"/>
      <c r="FH5" s="5"/>
      <c r="FI5" s="12"/>
      <c r="FJ5" s="12"/>
      <c r="FK5" s="4">
        <f t="shared" si="38"/>
        <v>19</v>
      </c>
      <c r="FL5" s="15">
        <f t="shared" si="39"/>
        <v>100</v>
      </c>
      <c r="FM5" s="15">
        <f t="shared" si="40"/>
        <v>8.2631578947368425</v>
      </c>
      <c r="FN5" s="15">
        <f t="shared" si="41"/>
        <v>1.2070889411768124</v>
      </c>
      <c r="FO5" s="16">
        <f t="shared" si="42"/>
        <v>100</v>
      </c>
      <c r="FP5" s="17" t="s">
        <v>3</v>
      </c>
      <c r="FQ5" s="24">
        <f t="shared" si="43"/>
        <v>1.2070889411768124</v>
      </c>
      <c r="FR5" s="4" t="str">
        <f t="shared" si="44"/>
        <v>отлично</v>
      </c>
    </row>
    <row r="6" spans="1:174" ht="30.75" customHeight="1" thickBot="1" x14ac:dyDescent="0.3">
      <c r="A6" s="21">
        <v>4</v>
      </c>
      <c r="B6" s="31" t="s">
        <v>10</v>
      </c>
      <c r="C6" s="3">
        <v>10</v>
      </c>
      <c r="D6" s="3">
        <v>10</v>
      </c>
      <c r="E6" s="8">
        <f t="shared" si="0"/>
        <v>1</v>
      </c>
      <c r="F6" s="12">
        <f t="shared" si="1"/>
        <v>6.6509695290858701</v>
      </c>
      <c r="G6" s="3">
        <v>9</v>
      </c>
      <c r="H6" s="5">
        <v>9</v>
      </c>
      <c r="I6" s="12">
        <f t="shared" si="2"/>
        <v>1</v>
      </c>
      <c r="J6" s="12">
        <f t="shared" si="3"/>
        <v>2.4930747922437662</v>
      </c>
      <c r="K6" s="3">
        <v>10</v>
      </c>
      <c r="L6" s="5">
        <v>10</v>
      </c>
      <c r="M6" s="12">
        <f t="shared" si="4"/>
        <v>1</v>
      </c>
      <c r="N6" s="12">
        <f t="shared" si="5"/>
        <v>6.6509695290858701</v>
      </c>
      <c r="O6" s="3">
        <v>9</v>
      </c>
      <c r="P6" s="5">
        <v>9</v>
      </c>
      <c r="Q6" s="12">
        <f t="shared" si="6"/>
        <v>1</v>
      </c>
      <c r="R6" s="12">
        <f t="shared" si="7"/>
        <v>2.4930747922437662</v>
      </c>
      <c r="S6" s="3">
        <v>4</v>
      </c>
      <c r="T6" s="26">
        <v>4</v>
      </c>
      <c r="U6" s="12">
        <f t="shared" si="8"/>
        <v>1</v>
      </c>
      <c r="V6" s="12">
        <f t="shared" si="9"/>
        <v>11.703601108033244</v>
      </c>
      <c r="W6" s="3">
        <v>4</v>
      </c>
      <c r="X6" s="5">
        <v>4</v>
      </c>
      <c r="Y6" s="12">
        <f t="shared" si="10"/>
        <v>1</v>
      </c>
      <c r="Z6" s="12">
        <f t="shared" si="11"/>
        <v>11.703601108033244</v>
      </c>
      <c r="AA6" s="3">
        <v>6</v>
      </c>
      <c r="AB6" s="5">
        <v>6</v>
      </c>
      <c r="AC6" s="12">
        <f t="shared" si="12"/>
        <v>1</v>
      </c>
      <c r="AD6" s="12">
        <f t="shared" si="13"/>
        <v>2.0193905817174529</v>
      </c>
      <c r="AE6" s="3">
        <v>10</v>
      </c>
      <c r="AF6" s="5">
        <v>10</v>
      </c>
      <c r="AG6" s="12">
        <f t="shared" si="14"/>
        <v>1</v>
      </c>
      <c r="AH6" s="12">
        <f t="shared" si="15"/>
        <v>6.6509695290858701</v>
      </c>
      <c r="AI6" s="3">
        <v>10</v>
      </c>
      <c r="AJ6" s="5">
        <v>10</v>
      </c>
      <c r="AK6" s="12">
        <f t="shared" si="16"/>
        <v>1</v>
      </c>
      <c r="AL6" s="12">
        <f t="shared" si="17"/>
        <v>6.6509695290858701</v>
      </c>
      <c r="AM6" s="3">
        <v>7</v>
      </c>
      <c r="AN6" s="5">
        <v>7</v>
      </c>
      <c r="AO6" s="12">
        <f t="shared" si="18"/>
        <v>1</v>
      </c>
      <c r="AP6" s="12">
        <f t="shared" si="19"/>
        <v>0.17728531855955715</v>
      </c>
      <c r="AQ6" s="3">
        <v>7</v>
      </c>
      <c r="AR6" s="5">
        <v>6</v>
      </c>
      <c r="AS6" s="12">
        <f t="shared" si="20"/>
        <v>0.8571428571428571</v>
      </c>
      <c r="AT6" s="12">
        <f t="shared" si="21"/>
        <v>2.0193905817174529</v>
      </c>
      <c r="AU6" s="3">
        <v>8</v>
      </c>
      <c r="AV6" s="5">
        <v>7</v>
      </c>
      <c r="AW6" s="12">
        <f t="shared" si="22"/>
        <v>0.875</v>
      </c>
      <c r="AX6" s="12">
        <f t="shared" si="23"/>
        <v>0.17728531855955715</v>
      </c>
      <c r="AY6" s="3">
        <v>8</v>
      </c>
      <c r="AZ6" s="5">
        <v>7</v>
      </c>
      <c r="BA6" s="12">
        <f t="shared" si="24"/>
        <v>0.875</v>
      </c>
      <c r="BB6" s="12">
        <f t="shared" si="25"/>
        <v>0.17728531855955715</v>
      </c>
      <c r="BC6" s="3">
        <v>6</v>
      </c>
      <c r="BD6" s="5">
        <v>5</v>
      </c>
      <c r="BE6" s="12">
        <f t="shared" si="26"/>
        <v>0.83333333333333337</v>
      </c>
      <c r="BF6" s="12">
        <f t="shared" si="27"/>
        <v>5.861495844875348</v>
      </c>
      <c r="BG6" s="3">
        <v>6</v>
      </c>
      <c r="BH6" s="5">
        <v>6</v>
      </c>
      <c r="BI6" s="12">
        <f t="shared" si="28"/>
        <v>1</v>
      </c>
      <c r="BJ6" s="12">
        <f t="shared" si="29"/>
        <v>2.0193905817174529</v>
      </c>
      <c r="BK6" s="3">
        <v>7</v>
      </c>
      <c r="BL6" s="5">
        <v>7</v>
      </c>
      <c r="BM6" s="12">
        <f t="shared" si="30"/>
        <v>1</v>
      </c>
      <c r="BN6" s="12">
        <f t="shared" si="31"/>
        <v>0.17728531855955715</v>
      </c>
      <c r="BO6" s="3">
        <v>10</v>
      </c>
      <c r="BP6" s="5">
        <v>10</v>
      </c>
      <c r="BQ6" s="12">
        <f t="shared" si="32"/>
        <v>1</v>
      </c>
      <c r="BR6" s="12">
        <f t="shared" si="33"/>
        <v>6.6509695290858701</v>
      </c>
      <c r="BS6" s="3">
        <v>10</v>
      </c>
      <c r="BT6" s="5">
        <v>10</v>
      </c>
      <c r="BU6" s="12">
        <f t="shared" si="34"/>
        <v>1</v>
      </c>
      <c r="BV6" s="12">
        <f t="shared" si="35"/>
        <v>6.6509695290858701</v>
      </c>
      <c r="BW6" s="3">
        <v>5</v>
      </c>
      <c r="BX6" s="5">
        <v>4</v>
      </c>
      <c r="BY6" s="12">
        <f t="shared" si="36"/>
        <v>0.8</v>
      </c>
      <c r="BZ6" s="12">
        <f t="shared" si="37"/>
        <v>11.703601108033244</v>
      </c>
      <c r="CA6" s="3"/>
      <c r="CB6" s="5"/>
      <c r="CC6" s="12"/>
      <c r="CD6" s="12"/>
      <c r="CE6" s="3"/>
      <c r="CF6" s="5"/>
      <c r="CG6" s="12"/>
      <c r="CH6" s="12"/>
      <c r="CI6" s="3"/>
      <c r="CJ6" s="5"/>
      <c r="CK6" s="12"/>
      <c r="CL6" s="12"/>
      <c r="CM6" s="3"/>
      <c r="CN6" s="5"/>
      <c r="CO6" s="12"/>
      <c r="CP6" s="12"/>
      <c r="CQ6" s="3"/>
      <c r="CR6" s="5"/>
      <c r="CS6" s="12"/>
      <c r="CT6" s="12"/>
      <c r="CU6" s="3"/>
      <c r="CV6" s="5"/>
      <c r="CW6" s="12"/>
      <c r="CX6" s="12"/>
      <c r="CY6" s="3"/>
      <c r="CZ6" s="5"/>
      <c r="DA6" s="12"/>
      <c r="DB6" s="12"/>
      <c r="DC6" s="3"/>
      <c r="DD6" s="5"/>
      <c r="DE6" s="12"/>
      <c r="DF6" s="12"/>
      <c r="DG6" s="3"/>
      <c r="DH6" s="5"/>
      <c r="DI6" s="12"/>
      <c r="DJ6" s="12"/>
      <c r="DK6" s="3"/>
      <c r="DL6" s="5"/>
      <c r="DM6" s="12"/>
      <c r="DN6" s="12"/>
      <c r="DO6" s="3"/>
      <c r="DP6" s="5"/>
      <c r="DQ6" s="12"/>
      <c r="DR6" s="12"/>
      <c r="DS6" s="3"/>
      <c r="DT6" s="5"/>
      <c r="DU6" s="12"/>
      <c r="DV6" s="12"/>
      <c r="DW6" s="3"/>
      <c r="DX6" s="5"/>
      <c r="DY6" s="12"/>
      <c r="DZ6" s="12"/>
      <c r="EA6" s="3"/>
      <c r="EB6" s="5"/>
      <c r="EC6" s="12"/>
      <c r="ED6" s="12"/>
      <c r="EE6" s="3"/>
      <c r="EF6" s="5"/>
      <c r="EG6" s="12"/>
      <c r="EH6" s="12"/>
      <c r="EI6" s="3"/>
      <c r="EJ6" s="5"/>
      <c r="EK6" s="12"/>
      <c r="EL6" s="12"/>
      <c r="EM6" s="3"/>
      <c r="EN6" s="5"/>
      <c r="EO6" s="12"/>
      <c r="EP6" s="12"/>
      <c r="EQ6" s="3"/>
      <c r="ER6" s="5"/>
      <c r="ES6" s="12"/>
      <c r="ET6" s="12"/>
      <c r="EU6" s="3"/>
      <c r="EV6" s="5"/>
      <c r="EW6" s="12"/>
      <c r="EX6" s="12"/>
      <c r="EY6" s="3"/>
      <c r="EZ6" s="5"/>
      <c r="FA6" s="12"/>
      <c r="FB6" s="12"/>
      <c r="FC6" s="3"/>
      <c r="FD6" s="5"/>
      <c r="FE6" s="12"/>
      <c r="FF6" s="12"/>
      <c r="FG6" s="3"/>
      <c r="FH6" s="5"/>
      <c r="FI6" s="12"/>
      <c r="FJ6" s="12"/>
      <c r="FK6" s="4">
        <f t="shared" si="38"/>
        <v>19</v>
      </c>
      <c r="FL6" s="15">
        <f t="shared" si="39"/>
        <v>96.002506265664167</v>
      </c>
      <c r="FM6" s="15">
        <f t="shared" si="40"/>
        <v>7.4210526315789478</v>
      </c>
      <c r="FN6" s="15">
        <f t="shared" si="41"/>
        <v>2.2080186277266347</v>
      </c>
      <c r="FO6" s="16">
        <f t="shared" si="42"/>
        <v>96.002506265664167</v>
      </c>
      <c r="FP6" s="17" t="s">
        <v>3</v>
      </c>
      <c r="FQ6" s="24">
        <f t="shared" si="43"/>
        <v>2.2080186277266347</v>
      </c>
      <c r="FR6" s="4" t="str">
        <f t="shared" si="44"/>
        <v>отлично</v>
      </c>
    </row>
    <row r="7" spans="1:174" ht="54" customHeight="1" thickBot="1" x14ac:dyDescent="0.3">
      <c r="A7" s="21">
        <v>5</v>
      </c>
      <c r="B7" s="31" t="s">
        <v>11</v>
      </c>
      <c r="C7" s="3">
        <v>10</v>
      </c>
      <c r="D7" s="3">
        <v>10</v>
      </c>
      <c r="E7" s="8">
        <f t="shared" si="0"/>
        <v>1</v>
      </c>
      <c r="F7" s="12">
        <f t="shared" si="1"/>
        <v>6.3822714681440438</v>
      </c>
      <c r="G7" s="3">
        <v>9</v>
      </c>
      <c r="H7" s="5">
        <v>9</v>
      </c>
      <c r="I7" s="12">
        <f t="shared" si="2"/>
        <v>1</v>
      </c>
      <c r="J7" s="12">
        <f t="shared" si="3"/>
        <v>2.3296398891966756</v>
      </c>
      <c r="K7" s="3">
        <v>10</v>
      </c>
      <c r="L7" s="5">
        <v>10</v>
      </c>
      <c r="M7" s="12">
        <f t="shared" si="4"/>
        <v>1</v>
      </c>
      <c r="N7" s="12">
        <f t="shared" si="5"/>
        <v>6.3822714681440438</v>
      </c>
      <c r="O7" s="3">
        <v>9</v>
      </c>
      <c r="P7" s="5">
        <v>9</v>
      </c>
      <c r="Q7" s="12">
        <f t="shared" si="6"/>
        <v>1</v>
      </c>
      <c r="R7" s="12">
        <f t="shared" si="7"/>
        <v>2.3296398891966756</v>
      </c>
      <c r="S7" s="3">
        <v>5</v>
      </c>
      <c r="T7" s="26">
        <v>4</v>
      </c>
      <c r="U7" s="12">
        <f t="shared" si="8"/>
        <v>0.8</v>
      </c>
      <c r="V7" s="12">
        <f t="shared" si="9"/>
        <v>12.066481994459835</v>
      </c>
      <c r="W7" s="3">
        <v>5</v>
      </c>
      <c r="X7" s="5">
        <v>5</v>
      </c>
      <c r="Y7" s="12">
        <f t="shared" si="10"/>
        <v>1</v>
      </c>
      <c r="Z7" s="12">
        <f t="shared" si="11"/>
        <v>6.1191135734072031</v>
      </c>
      <c r="AA7" s="3">
        <v>5</v>
      </c>
      <c r="AB7" s="5">
        <v>4</v>
      </c>
      <c r="AC7" s="12">
        <f t="shared" si="12"/>
        <v>0.8</v>
      </c>
      <c r="AD7" s="12">
        <f t="shared" si="13"/>
        <v>12.066481994459835</v>
      </c>
      <c r="AE7" s="3">
        <v>10</v>
      </c>
      <c r="AF7" s="5">
        <v>10</v>
      </c>
      <c r="AG7" s="12">
        <f t="shared" si="14"/>
        <v>1</v>
      </c>
      <c r="AH7" s="12">
        <f t="shared" si="15"/>
        <v>6.3822714681440438</v>
      </c>
      <c r="AI7" s="3">
        <v>10</v>
      </c>
      <c r="AJ7" s="5">
        <v>10</v>
      </c>
      <c r="AK7" s="12">
        <f t="shared" si="16"/>
        <v>1</v>
      </c>
      <c r="AL7" s="12">
        <f t="shared" si="17"/>
        <v>6.3822714681440438</v>
      </c>
      <c r="AM7" s="3">
        <v>7</v>
      </c>
      <c r="AN7" s="5">
        <v>7</v>
      </c>
      <c r="AO7" s="12">
        <f t="shared" si="18"/>
        <v>1</v>
      </c>
      <c r="AP7" s="12">
        <f t="shared" si="19"/>
        <v>0.22437673130193919</v>
      </c>
      <c r="AQ7" s="3">
        <v>6</v>
      </c>
      <c r="AR7" s="5">
        <v>6</v>
      </c>
      <c r="AS7" s="12">
        <f t="shared" si="20"/>
        <v>1</v>
      </c>
      <c r="AT7" s="12">
        <f t="shared" si="21"/>
        <v>2.1717451523545712</v>
      </c>
      <c r="AU7" s="3">
        <v>9</v>
      </c>
      <c r="AV7" s="5">
        <v>9</v>
      </c>
      <c r="AW7" s="12">
        <f t="shared" si="22"/>
        <v>1</v>
      </c>
      <c r="AX7" s="12">
        <f t="shared" si="23"/>
        <v>2.3296398891966756</v>
      </c>
      <c r="AY7" s="3">
        <v>7</v>
      </c>
      <c r="AZ7" s="5">
        <v>6</v>
      </c>
      <c r="BA7" s="12">
        <f t="shared" si="24"/>
        <v>0.8571428571428571</v>
      </c>
      <c r="BB7" s="12">
        <f t="shared" si="25"/>
        <v>2.1717451523545712</v>
      </c>
      <c r="BC7" s="3">
        <v>7</v>
      </c>
      <c r="BD7" s="5">
        <v>6</v>
      </c>
      <c r="BE7" s="12">
        <f t="shared" si="26"/>
        <v>0.8571428571428571</v>
      </c>
      <c r="BF7" s="12">
        <f t="shared" si="27"/>
        <v>2.1717451523545712</v>
      </c>
      <c r="BG7" s="3">
        <v>7</v>
      </c>
      <c r="BH7" s="5">
        <v>7</v>
      </c>
      <c r="BI7" s="12">
        <f t="shared" si="28"/>
        <v>1</v>
      </c>
      <c r="BJ7" s="12">
        <f t="shared" si="29"/>
        <v>0.22437673130193919</v>
      </c>
      <c r="BK7" s="3">
        <v>9</v>
      </c>
      <c r="BL7" s="5">
        <v>9</v>
      </c>
      <c r="BM7" s="12">
        <f t="shared" si="30"/>
        <v>1</v>
      </c>
      <c r="BN7" s="12">
        <f t="shared" si="31"/>
        <v>2.3296398891966756</v>
      </c>
      <c r="BO7" s="3">
        <v>10</v>
      </c>
      <c r="BP7" s="5">
        <v>10</v>
      </c>
      <c r="BQ7" s="12">
        <f t="shared" si="32"/>
        <v>1</v>
      </c>
      <c r="BR7" s="12">
        <f t="shared" si="33"/>
        <v>6.3822714681440438</v>
      </c>
      <c r="BS7" s="3">
        <v>7</v>
      </c>
      <c r="BT7" s="5">
        <v>7</v>
      </c>
      <c r="BU7" s="12">
        <f t="shared" si="34"/>
        <v>1</v>
      </c>
      <c r="BV7" s="12">
        <f t="shared" si="35"/>
        <v>0.22437673130193919</v>
      </c>
      <c r="BW7" s="3">
        <v>4</v>
      </c>
      <c r="BX7" s="5">
        <v>4</v>
      </c>
      <c r="BY7" s="12">
        <f t="shared" si="36"/>
        <v>1</v>
      </c>
      <c r="BZ7" s="12">
        <f t="shared" si="37"/>
        <v>12.066481994459835</v>
      </c>
      <c r="CA7" s="3"/>
      <c r="CB7" s="5"/>
      <c r="CC7" s="12"/>
      <c r="CD7" s="12"/>
      <c r="CE7" s="3"/>
      <c r="CF7" s="5"/>
      <c r="CG7" s="12"/>
      <c r="CH7" s="12"/>
      <c r="CI7" s="3"/>
      <c r="CJ7" s="5"/>
      <c r="CK7" s="12"/>
      <c r="CL7" s="12"/>
      <c r="CM7" s="3"/>
      <c r="CN7" s="5"/>
      <c r="CO7" s="12"/>
      <c r="CP7" s="12"/>
      <c r="CQ7" s="3"/>
      <c r="CR7" s="5"/>
      <c r="CS7" s="12"/>
      <c r="CT7" s="12"/>
      <c r="CU7" s="3"/>
      <c r="CV7" s="5"/>
      <c r="CW7" s="12"/>
      <c r="CX7" s="12"/>
      <c r="CY7" s="3"/>
      <c r="CZ7" s="5"/>
      <c r="DA7" s="12"/>
      <c r="DB7" s="12"/>
      <c r="DC7" s="3"/>
      <c r="DD7" s="5"/>
      <c r="DE7" s="12"/>
      <c r="DF7" s="12"/>
      <c r="DG7" s="3"/>
      <c r="DH7" s="5"/>
      <c r="DI7" s="12"/>
      <c r="DJ7" s="12"/>
      <c r="DK7" s="5"/>
      <c r="DL7" s="50"/>
      <c r="DM7" s="12"/>
      <c r="DN7" s="12"/>
      <c r="DO7" s="3"/>
      <c r="DP7" s="5"/>
      <c r="DQ7" s="12"/>
      <c r="DR7" s="12"/>
      <c r="DS7" s="3"/>
      <c r="DT7" s="5"/>
      <c r="DU7" s="12"/>
      <c r="DV7" s="12"/>
      <c r="DW7" s="3"/>
      <c r="DX7" s="5"/>
      <c r="DY7" s="12"/>
      <c r="DZ7" s="12"/>
      <c r="EA7" s="3"/>
      <c r="EB7" s="5"/>
      <c r="EC7" s="12"/>
      <c r="ED7" s="12"/>
      <c r="EE7" s="3"/>
      <c r="EF7" s="5"/>
      <c r="EG7" s="12"/>
      <c r="EH7" s="12"/>
      <c r="EI7" s="3"/>
      <c r="EJ7" s="5"/>
      <c r="EK7" s="12"/>
      <c r="EL7" s="12"/>
      <c r="EM7" s="3"/>
      <c r="EN7" s="5"/>
      <c r="EO7" s="12"/>
      <c r="EP7" s="12"/>
      <c r="EQ7" s="3"/>
      <c r="ER7" s="5"/>
      <c r="ES7" s="12"/>
      <c r="ET7" s="12"/>
      <c r="EU7" s="3"/>
      <c r="EV7" s="5"/>
      <c r="EW7" s="12"/>
      <c r="EX7" s="12"/>
      <c r="EY7" s="3"/>
      <c r="EZ7" s="5"/>
      <c r="FA7" s="12"/>
      <c r="FB7" s="12"/>
      <c r="FC7" s="3"/>
      <c r="FD7" s="5"/>
      <c r="FE7" s="12"/>
      <c r="FF7" s="12"/>
      <c r="FG7" s="3"/>
      <c r="FH7" s="5"/>
      <c r="FI7" s="12"/>
      <c r="FJ7" s="12"/>
      <c r="FK7" s="4">
        <f t="shared" si="38"/>
        <v>19</v>
      </c>
      <c r="FL7" s="15">
        <f t="shared" si="39"/>
        <v>96.390977443609032</v>
      </c>
      <c r="FM7" s="15">
        <f t="shared" si="40"/>
        <v>7.4736842105263159</v>
      </c>
      <c r="FN7" s="15">
        <f t="shared" si="41"/>
        <v>2.1853199465291255</v>
      </c>
      <c r="FO7" s="16">
        <f t="shared" si="42"/>
        <v>96.390977443609032</v>
      </c>
      <c r="FP7" s="17" t="s">
        <v>3</v>
      </c>
      <c r="FQ7" s="24">
        <f t="shared" si="43"/>
        <v>2.1853199465291255</v>
      </c>
      <c r="FR7" s="4" t="str">
        <f t="shared" si="44"/>
        <v>отлично</v>
      </c>
    </row>
    <row r="8" spans="1:174" ht="48.75" customHeight="1" thickBot="1" x14ac:dyDescent="0.3">
      <c r="A8" s="21">
        <v>6</v>
      </c>
      <c r="B8" s="31" t="s">
        <v>12</v>
      </c>
      <c r="C8" s="3">
        <v>10</v>
      </c>
      <c r="D8" s="3">
        <v>10</v>
      </c>
      <c r="E8" s="8">
        <f t="shared" si="0"/>
        <v>1</v>
      </c>
      <c r="F8" s="12">
        <f t="shared" si="1"/>
        <v>3.7922437673130203</v>
      </c>
      <c r="G8" s="3">
        <v>9</v>
      </c>
      <c r="H8" s="5">
        <v>9</v>
      </c>
      <c r="I8" s="12">
        <f t="shared" si="2"/>
        <v>1</v>
      </c>
      <c r="J8" s="12">
        <f t="shared" si="3"/>
        <v>0.89750692520775677</v>
      </c>
      <c r="K8" s="3">
        <v>10</v>
      </c>
      <c r="L8" s="5">
        <v>10</v>
      </c>
      <c r="M8" s="12">
        <f t="shared" si="4"/>
        <v>1</v>
      </c>
      <c r="N8" s="12">
        <f t="shared" si="5"/>
        <v>3.7922437673130203</v>
      </c>
      <c r="O8" s="3">
        <v>9</v>
      </c>
      <c r="P8" s="5">
        <v>9</v>
      </c>
      <c r="Q8" s="12">
        <f t="shared" si="6"/>
        <v>1</v>
      </c>
      <c r="R8" s="12">
        <f t="shared" si="7"/>
        <v>0.89750692520775677</v>
      </c>
      <c r="S8" s="3">
        <v>6</v>
      </c>
      <c r="T8" s="26">
        <v>6</v>
      </c>
      <c r="U8" s="12">
        <f t="shared" si="8"/>
        <v>1</v>
      </c>
      <c r="V8" s="12">
        <f t="shared" si="9"/>
        <v>4.2132963988919654</v>
      </c>
      <c r="W8" s="3">
        <v>6</v>
      </c>
      <c r="X8" s="5">
        <v>6</v>
      </c>
      <c r="Y8" s="12">
        <f t="shared" si="10"/>
        <v>1</v>
      </c>
      <c r="Z8" s="12">
        <f t="shared" si="11"/>
        <v>4.2132963988919654</v>
      </c>
      <c r="AA8" s="3">
        <v>7</v>
      </c>
      <c r="AB8" s="5">
        <v>6</v>
      </c>
      <c r="AC8" s="12">
        <f t="shared" si="12"/>
        <v>0.8571428571428571</v>
      </c>
      <c r="AD8" s="12">
        <f t="shared" si="13"/>
        <v>4.2132963988919654</v>
      </c>
      <c r="AE8" s="3">
        <v>10</v>
      </c>
      <c r="AF8" s="5">
        <v>10</v>
      </c>
      <c r="AG8" s="12">
        <f t="shared" si="14"/>
        <v>1</v>
      </c>
      <c r="AH8" s="12">
        <f t="shared" si="15"/>
        <v>3.7922437673130203</v>
      </c>
      <c r="AI8" s="3">
        <v>10</v>
      </c>
      <c r="AJ8" s="5">
        <v>10</v>
      </c>
      <c r="AK8" s="12">
        <f t="shared" si="16"/>
        <v>1</v>
      </c>
      <c r="AL8" s="12">
        <f t="shared" si="17"/>
        <v>3.7922437673130203</v>
      </c>
      <c r="AM8" s="3">
        <v>8</v>
      </c>
      <c r="AN8" s="5">
        <v>8</v>
      </c>
      <c r="AO8" s="12">
        <f t="shared" si="18"/>
        <v>1</v>
      </c>
      <c r="AP8" s="12">
        <f t="shared" si="19"/>
        <v>2.7700831024930453E-3</v>
      </c>
      <c r="AQ8" s="3">
        <v>7</v>
      </c>
      <c r="AR8" s="5">
        <v>7</v>
      </c>
      <c r="AS8" s="12">
        <f t="shared" si="20"/>
        <v>1</v>
      </c>
      <c r="AT8" s="12">
        <f t="shared" si="21"/>
        <v>1.1080332409972293</v>
      </c>
      <c r="AU8" s="3">
        <v>8</v>
      </c>
      <c r="AV8" s="5">
        <v>8</v>
      </c>
      <c r="AW8" s="12">
        <f t="shared" si="22"/>
        <v>1</v>
      </c>
      <c r="AX8" s="12">
        <f t="shared" si="23"/>
        <v>2.7700831024930453E-3</v>
      </c>
      <c r="AY8" s="3">
        <v>9</v>
      </c>
      <c r="AZ8" s="5">
        <v>9</v>
      </c>
      <c r="BA8" s="12">
        <f t="shared" si="24"/>
        <v>1</v>
      </c>
      <c r="BB8" s="12">
        <f t="shared" si="25"/>
        <v>0.89750692520775677</v>
      </c>
      <c r="BC8" s="3">
        <v>8</v>
      </c>
      <c r="BD8" s="5">
        <v>7</v>
      </c>
      <c r="BE8" s="12">
        <f t="shared" si="26"/>
        <v>0.875</v>
      </c>
      <c r="BF8" s="12">
        <f t="shared" si="27"/>
        <v>1.1080332409972293</v>
      </c>
      <c r="BG8" s="3">
        <v>6</v>
      </c>
      <c r="BH8" s="5">
        <v>6</v>
      </c>
      <c r="BI8" s="12">
        <f t="shared" si="28"/>
        <v>1</v>
      </c>
      <c r="BJ8" s="12">
        <f t="shared" si="29"/>
        <v>4.2132963988919654</v>
      </c>
      <c r="BK8" s="3">
        <v>7</v>
      </c>
      <c r="BL8" s="5">
        <v>7</v>
      </c>
      <c r="BM8" s="12">
        <f t="shared" si="30"/>
        <v>1</v>
      </c>
      <c r="BN8" s="12">
        <f t="shared" si="31"/>
        <v>1.1080332409972293</v>
      </c>
      <c r="BO8" s="3">
        <v>10</v>
      </c>
      <c r="BP8" s="5">
        <v>10</v>
      </c>
      <c r="BQ8" s="12">
        <f t="shared" si="32"/>
        <v>1</v>
      </c>
      <c r="BR8" s="12">
        <f t="shared" si="33"/>
        <v>3.7922437673130203</v>
      </c>
      <c r="BS8" s="3">
        <v>8</v>
      </c>
      <c r="BT8" s="5">
        <v>7</v>
      </c>
      <c r="BU8" s="12">
        <f t="shared" si="34"/>
        <v>0.875</v>
      </c>
      <c r="BV8" s="12">
        <f t="shared" si="35"/>
        <v>1.1080332409972293</v>
      </c>
      <c r="BW8" s="3">
        <v>8</v>
      </c>
      <c r="BX8" s="5">
        <v>8</v>
      </c>
      <c r="BY8" s="12">
        <f t="shared" si="36"/>
        <v>1</v>
      </c>
      <c r="BZ8" s="12">
        <f t="shared" si="37"/>
        <v>2.7700831024930453E-3</v>
      </c>
      <c r="CA8" s="3"/>
      <c r="CB8" s="5"/>
      <c r="CC8" s="12"/>
      <c r="CD8" s="12"/>
      <c r="CE8" s="3"/>
      <c r="CF8" s="5"/>
      <c r="CG8" s="12"/>
      <c r="CH8" s="12"/>
      <c r="CI8" s="3"/>
      <c r="CJ8" s="5"/>
      <c r="CK8" s="12"/>
      <c r="CL8" s="12"/>
      <c r="CM8" s="3"/>
      <c r="CN8" s="5"/>
      <c r="CO8" s="12"/>
      <c r="CP8" s="12"/>
      <c r="CQ8" s="3"/>
      <c r="CR8" s="5"/>
      <c r="CS8" s="12"/>
      <c r="CT8" s="12"/>
      <c r="CU8" s="3"/>
      <c r="CV8" s="5"/>
      <c r="CW8" s="12"/>
      <c r="CX8" s="12"/>
      <c r="CY8" s="3"/>
      <c r="CZ8" s="5"/>
      <c r="DA8" s="12"/>
      <c r="DB8" s="12"/>
      <c r="DC8" s="3"/>
      <c r="DD8" s="5"/>
      <c r="DE8" s="12"/>
      <c r="DF8" s="12"/>
      <c r="DG8" s="3"/>
      <c r="DH8" s="5"/>
      <c r="DI8" s="12"/>
      <c r="DJ8" s="12"/>
      <c r="DK8" s="3"/>
      <c r="DL8" s="5"/>
      <c r="DM8" s="12"/>
      <c r="DN8" s="12"/>
      <c r="DO8" s="3"/>
      <c r="DP8" s="5"/>
      <c r="DQ8" s="12"/>
      <c r="DR8" s="12"/>
      <c r="DS8" s="3"/>
      <c r="DT8" s="5"/>
      <c r="DU8" s="12"/>
      <c r="DV8" s="12"/>
      <c r="DW8" s="3"/>
      <c r="DX8" s="5"/>
      <c r="DY8" s="12"/>
      <c r="DZ8" s="12"/>
      <c r="EA8" s="3"/>
      <c r="EB8" s="5"/>
      <c r="EC8" s="12"/>
      <c r="ED8" s="12"/>
      <c r="EE8" s="3"/>
      <c r="EF8" s="5"/>
      <c r="EG8" s="12"/>
      <c r="EH8" s="12"/>
      <c r="EI8" s="3"/>
      <c r="EJ8" s="5"/>
      <c r="EK8" s="12"/>
      <c r="EL8" s="12"/>
      <c r="EM8" s="3"/>
      <c r="EN8" s="5"/>
      <c r="EO8" s="12"/>
      <c r="EP8" s="12"/>
      <c r="EQ8" s="3"/>
      <c r="ER8" s="5"/>
      <c r="ES8" s="12"/>
      <c r="ET8" s="12"/>
      <c r="EU8" s="3"/>
      <c r="EV8" s="5"/>
      <c r="EW8" s="12"/>
      <c r="EX8" s="12"/>
      <c r="EY8" s="3"/>
      <c r="EZ8" s="5"/>
      <c r="FA8" s="12"/>
      <c r="FB8" s="12"/>
      <c r="FC8" s="3"/>
      <c r="FD8" s="5"/>
      <c r="FE8" s="12"/>
      <c r="FF8" s="12"/>
      <c r="FG8" s="3"/>
      <c r="FH8" s="5"/>
      <c r="FI8" s="12"/>
      <c r="FJ8" s="12"/>
      <c r="FK8" s="4">
        <f t="shared" si="38"/>
        <v>19</v>
      </c>
      <c r="FL8" s="15">
        <f t="shared" si="39"/>
        <v>97.932330827067673</v>
      </c>
      <c r="FM8" s="15">
        <f t="shared" si="40"/>
        <v>8.0526315789473681</v>
      </c>
      <c r="FN8" s="15">
        <f t="shared" si="41"/>
        <v>1.5034586165353367</v>
      </c>
      <c r="FO8" s="16">
        <f t="shared" si="42"/>
        <v>97.932330827067673</v>
      </c>
      <c r="FP8" s="17" t="s">
        <v>3</v>
      </c>
      <c r="FQ8" s="24">
        <f t="shared" si="43"/>
        <v>1.5034586165353367</v>
      </c>
      <c r="FR8" s="4" t="str">
        <f t="shared" si="44"/>
        <v>отлично</v>
      </c>
    </row>
    <row r="9" spans="1:174" ht="77.25" customHeight="1" thickBot="1" x14ac:dyDescent="0.3">
      <c r="A9" s="21">
        <v>7</v>
      </c>
      <c r="B9" s="31" t="s">
        <v>16</v>
      </c>
      <c r="C9" s="3">
        <v>10</v>
      </c>
      <c r="D9" s="3">
        <v>10</v>
      </c>
      <c r="E9" s="8">
        <f t="shared" si="0"/>
        <v>1</v>
      </c>
      <c r="F9" s="12">
        <f t="shared" si="1"/>
        <v>2.1717451523545686</v>
      </c>
      <c r="G9" s="3">
        <v>9</v>
      </c>
      <c r="H9" s="5">
        <v>9</v>
      </c>
      <c r="I9" s="12">
        <f t="shared" si="2"/>
        <v>1</v>
      </c>
      <c r="J9" s="12">
        <f t="shared" si="3"/>
        <v>0.22437673130193836</v>
      </c>
      <c r="K9" s="3">
        <v>10</v>
      </c>
      <c r="L9" s="5">
        <v>10</v>
      </c>
      <c r="M9" s="12">
        <f t="shared" si="4"/>
        <v>1</v>
      </c>
      <c r="N9" s="12">
        <f t="shared" si="5"/>
        <v>2.1717451523545686</v>
      </c>
      <c r="O9" s="3">
        <v>9</v>
      </c>
      <c r="P9" s="5">
        <v>9</v>
      </c>
      <c r="Q9" s="12">
        <f t="shared" si="6"/>
        <v>1</v>
      </c>
      <c r="R9" s="12">
        <f t="shared" si="7"/>
        <v>0.22437673130193836</v>
      </c>
      <c r="S9" s="3">
        <v>6</v>
      </c>
      <c r="T9" s="26">
        <v>5</v>
      </c>
      <c r="U9" s="12">
        <f t="shared" si="8"/>
        <v>0.83333333333333337</v>
      </c>
      <c r="V9" s="12">
        <f t="shared" si="9"/>
        <v>12.434903047091417</v>
      </c>
      <c r="W9" s="3">
        <v>9</v>
      </c>
      <c r="X9" s="5">
        <v>9</v>
      </c>
      <c r="Y9" s="12">
        <f t="shared" si="10"/>
        <v>1</v>
      </c>
      <c r="Z9" s="12">
        <f t="shared" si="11"/>
        <v>0.22437673130193836</v>
      </c>
      <c r="AA9" s="3">
        <v>8</v>
      </c>
      <c r="AB9" s="5">
        <v>6</v>
      </c>
      <c r="AC9" s="12">
        <f t="shared" si="12"/>
        <v>0.75</v>
      </c>
      <c r="AD9" s="12">
        <f t="shared" si="13"/>
        <v>6.3822714681440482</v>
      </c>
      <c r="AE9" s="3">
        <v>10</v>
      </c>
      <c r="AF9" s="5">
        <v>10</v>
      </c>
      <c r="AG9" s="12">
        <f t="shared" si="14"/>
        <v>1</v>
      </c>
      <c r="AH9" s="12">
        <f t="shared" si="15"/>
        <v>2.1717451523545686</v>
      </c>
      <c r="AI9" s="3">
        <v>10</v>
      </c>
      <c r="AJ9" s="5">
        <v>10</v>
      </c>
      <c r="AK9" s="12">
        <f t="shared" si="16"/>
        <v>1</v>
      </c>
      <c r="AL9" s="12">
        <f t="shared" si="17"/>
        <v>2.1717451523545686</v>
      </c>
      <c r="AM9" s="3">
        <v>8</v>
      </c>
      <c r="AN9" s="5">
        <v>8</v>
      </c>
      <c r="AO9" s="12">
        <f t="shared" si="18"/>
        <v>1</v>
      </c>
      <c r="AP9" s="12">
        <f t="shared" si="19"/>
        <v>0.27700831024930828</v>
      </c>
      <c r="AQ9" s="3">
        <v>8</v>
      </c>
      <c r="AR9" s="5">
        <v>7</v>
      </c>
      <c r="AS9" s="12">
        <f t="shared" si="20"/>
        <v>0.875</v>
      </c>
      <c r="AT9" s="12">
        <f t="shared" si="21"/>
        <v>2.3296398891966783</v>
      </c>
      <c r="AU9" s="3">
        <v>9</v>
      </c>
      <c r="AV9" s="5">
        <v>9</v>
      </c>
      <c r="AW9" s="12">
        <f t="shared" si="22"/>
        <v>1</v>
      </c>
      <c r="AX9" s="12">
        <f t="shared" si="23"/>
        <v>0.22437673130193836</v>
      </c>
      <c r="AY9" s="3">
        <v>8</v>
      </c>
      <c r="AZ9" s="5">
        <v>8</v>
      </c>
      <c r="BA9" s="12">
        <f t="shared" si="24"/>
        <v>1</v>
      </c>
      <c r="BB9" s="12">
        <f t="shared" si="25"/>
        <v>0.27700831024930828</v>
      </c>
      <c r="BC9" s="3">
        <v>8</v>
      </c>
      <c r="BD9" s="5">
        <v>8</v>
      </c>
      <c r="BE9" s="12">
        <f t="shared" si="26"/>
        <v>1</v>
      </c>
      <c r="BF9" s="12">
        <f t="shared" si="27"/>
        <v>0.27700831024930828</v>
      </c>
      <c r="BG9" s="3">
        <v>8</v>
      </c>
      <c r="BH9" s="5">
        <v>8</v>
      </c>
      <c r="BI9" s="12">
        <f t="shared" si="28"/>
        <v>1</v>
      </c>
      <c r="BJ9" s="12">
        <f t="shared" si="29"/>
        <v>0.27700831024930828</v>
      </c>
      <c r="BK9" s="3">
        <v>10</v>
      </c>
      <c r="BL9" s="5">
        <v>10</v>
      </c>
      <c r="BM9" s="12">
        <f t="shared" si="30"/>
        <v>1</v>
      </c>
      <c r="BN9" s="12">
        <f t="shared" si="31"/>
        <v>2.1717451523545686</v>
      </c>
      <c r="BO9" s="3">
        <v>10</v>
      </c>
      <c r="BP9" s="5">
        <v>10</v>
      </c>
      <c r="BQ9" s="12">
        <f t="shared" si="32"/>
        <v>1</v>
      </c>
      <c r="BR9" s="12">
        <f t="shared" si="33"/>
        <v>2.1717451523545686</v>
      </c>
      <c r="BS9" s="3">
        <v>9</v>
      </c>
      <c r="BT9" s="5">
        <v>8</v>
      </c>
      <c r="BU9" s="12">
        <f t="shared" si="34"/>
        <v>0.88888888888888884</v>
      </c>
      <c r="BV9" s="12">
        <f t="shared" si="35"/>
        <v>0.27700831024930828</v>
      </c>
      <c r="BW9" s="3">
        <v>8</v>
      </c>
      <c r="BX9" s="5">
        <v>8</v>
      </c>
      <c r="BY9" s="12">
        <f t="shared" si="36"/>
        <v>1</v>
      </c>
      <c r="BZ9" s="12">
        <f t="shared" si="37"/>
        <v>0.27700831024930828</v>
      </c>
      <c r="CA9" s="3"/>
      <c r="CB9" s="5"/>
      <c r="CC9" s="12"/>
      <c r="CD9" s="12"/>
      <c r="CE9" s="3"/>
      <c r="CF9" s="5"/>
      <c r="CG9" s="12"/>
      <c r="CH9" s="12"/>
      <c r="CI9" s="3"/>
      <c r="CJ9" s="5"/>
      <c r="CK9" s="12"/>
      <c r="CL9" s="12"/>
      <c r="CM9" s="3"/>
      <c r="CN9" s="5"/>
      <c r="CO9" s="12"/>
      <c r="CP9" s="12"/>
      <c r="CQ9" s="3"/>
      <c r="CR9" s="5"/>
      <c r="CS9" s="12"/>
      <c r="CT9" s="12"/>
      <c r="CU9" s="3"/>
      <c r="CV9" s="5"/>
      <c r="CW9" s="12"/>
      <c r="CX9" s="12"/>
      <c r="CY9" s="3"/>
      <c r="CZ9" s="5"/>
      <c r="DA9" s="12"/>
      <c r="DB9" s="12"/>
      <c r="DC9" s="3"/>
      <c r="DD9" s="5"/>
      <c r="DE9" s="12"/>
      <c r="DF9" s="12"/>
      <c r="DG9" s="3"/>
      <c r="DH9" s="5"/>
      <c r="DI9" s="12"/>
      <c r="DJ9" s="12"/>
      <c r="DK9" s="3"/>
      <c r="DL9" s="5"/>
      <c r="DM9" s="12"/>
      <c r="DN9" s="12"/>
      <c r="DO9" s="3"/>
      <c r="DP9" s="5"/>
      <c r="DQ9" s="12"/>
      <c r="DR9" s="12"/>
      <c r="DS9" s="3"/>
      <c r="DT9" s="5"/>
      <c r="DU9" s="12"/>
      <c r="DV9" s="12"/>
      <c r="DW9" s="3"/>
      <c r="DX9" s="5"/>
      <c r="DY9" s="12"/>
      <c r="DZ9" s="12"/>
      <c r="EA9" s="3"/>
      <c r="EB9" s="5"/>
      <c r="EC9" s="12"/>
      <c r="ED9" s="12"/>
      <c r="EE9" s="3"/>
      <c r="EF9" s="5"/>
      <c r="EG9" s="12"/>
      <c r="EH9" s="12"/>
      <c r="EI9" s="3"/>
      <c r="EJ9" s="5"/>
      <c r="EK9" s="12"/>
      <c r="EL9" s="12"/>
      <c r="EM9" s="3"/>
      <c r="EN9" s="5"/>
      <c r="EO9" s="12"/>
      <c r="EP9" s="12"/>
      <c r="EQ9" s="3"/>
      <c r="ER9" s="5"/>
      <c r="ES9" s="12"/>
      <c r="ET9" s="12"/>
      <c r="EU9" s="3"/>
      <c r="EV9" s="5"/>
      <c r="EW9" s="12"/>
      <c r="EX9" s="12"/>
      <c r="EY9" s="3"/>
      <c r="EZ9" s="5"/>
      <c r="FA9" s="12"/>
      <c r="FB9" s="12"/>
      <c r="FC9" s="3"/>
      <c r="FD9" s="5"/>
      <c r="FE9" s="12"/>
      <c r="FF9" s="12"/>
      <c r="FG9" s="3"/>
      <c r="FH9" s="5"/>
      <c r="FI9" s="12"/>
      <c r="FJ9" s="12"/>
      <c r="FK9" s="4">
        <f t="shared" si="38"/>
        <v>19</v>
      </c>
      <c r="FL9" s="15">
        <f t="shared" si="39"/>
        <v>96.564327485380119</v>
      </c>
      <c r="FM9" s="15">
        <f t="shared" si="40"/>
        <v>8.526315789473685</v>
      </c>
      <c r="FN9" s="15">
        <f t="shared" si="41"/>
        <v>1.3905099803813583</v>
      </c>
      <c r="FO9" s="16">
        <f t="shared" si="42"/>
        <v>96.564327485380119</v>
      </c>
      <c r="FP9" s="17" t="s">
        <v>3</v>
      </c>
      <c r="FQ9" s="24">
        <f t="shared" si="43"/>
        <v>1.3905099803813583</v>
      </c>
      <c r="FR9" s="4" t="str">
        <f t="shared" si="44"/>
        <v>отлично</v>
      </c>
    </row>
    <row r="10" spans="1:174" ht="85.5" customHeight="1" thickBot="1" x14ac:dyDescent="0.3">
      <c r="A10" s="21">
        <v>8</v>
      </c>
      <c r="B10" s="31" t="s">
        <v>17</v>
      </c>
      <c r="C10" s="3">
        <v>10</v>
      </c>
      <c r="D10" s="3">
        <v>10</v>
      </c>
      <c r="E10" s="8">
        <f t="shared" si="0"/>
        <v>1</v>
      </c>
      <c r="F10" s="12">
        <f t="shared" si="1"/>
        <v>2.6620498614958454</v>
      </c>
      <c r="G10" s="3">
        <v>9</v>
      </c>
      <c r="H10" s="5">
        <v>9</v>
      </c>
      <c r="I10" s="12">
        <f t="shared" si="2"/>
        <v>1</v>
      </c>
      <c r="J10" s="12">
        <f t="shared" si="3"/>
        <v>0.39889196675900301</v>
      </c>
      <c r="K10" s="3">
        <v>10</v>
      </c>
      <c r="L10" s="5">
        <v>10</v>
      </c>
      <c r="M10" s="12">
        <f t="shared" si="4"/>
        <v>1</v>
      </c>
      <c r="N10" s="12">
        <f t="shared" si="5"/>
        <v>2.6620498614958454</v>
      </c>
      <c r="O10" s="3">
        <v>9</v>
      </c>
      <c r="P10" s="5">
        <v>9</v>
      </c>
      <c r="Q10" s="12">
        <f t="shared" si="6"/>
        <v>1</v>
      </c>
      <c r="R10" s="12">
        <f t="shared" si="7"/>
        <v>0.39889196675900301</v>
      </c>
      <c r="S10" s="3">
        <v>7</v>
      </c>
      <c r="T10" s="26">
        <v>7</v>
      </c>
      <c r="U10" s="12">
        <f t="shared" si="8"/>
        <v>1</v>
      </c>
      <c r="V10" s="12">
        <f t="shared" si="9"/>
        <v>1.872576177285318</v>
      </c>
      <c r="W10" s="3">
        <v>8</v>
      </c>
      <c r="X10" s="5">
        <v>8</v>
      </c>
      <c r="Y10" s="12">
        <f t="shared" si="10"/>
        <v>1</v>
      </c>
      <c r="Z10" s="12">
        <f t="shared" si="11"/>
        <v>0.13573407202216053</v>
      </c>
      <c r="AA10" s="3">
        <v>8</v>
      </c>
      <c r="AB10" s="5">
        <v>5</v>
      </c>
      <c r="AC10" s="12">
        <f t="shared" si="12"/>
        <v>0.625</v>
      </c>
      <c r="AD10" s="12">
        <f t="shared" si="13"/>
        <v>11.346260387811633</v>
      </c>
      <c r="AE10" s="3">
        <v>10</v>
      </c>
      <c r="AF10" s="5">
        <v>10</v>
      </c>
      <c r="AG10" s="12">
        <f t="shared" si="14"/>
        <v>1</v>
      </c>
      <c r="AH10" s="12">
        <f t="shared" si="15"/>
        <v>2.6620498614958454</v>
      </c>
      <c r="AI10" s="3">
        <v>10</v>
      </c>
      <c r="AJ10" s="5">
        <v>10</v>
      </c>
      <c r="AK10" s="12">
        <f t="shared" si="16"/>
        <v>1</v>
      </c>
      <c r="AL10" s="12">
        <f t="shared" si="17"/>
        <v>2.6620498614958454</v>
      </c>
      <c r="AM10" s="3">
        <v>9</v>
      </c>
      <c r="AN10" s="5">
        <v>9</v>
      </c>
      <c r="AO10" s="12">
        <f t="shared" si="18"/>
        <v>1</v>
      </c>
      <c r="AP10" s="12">
        <f t="shared" si="19"/>
        <v>0.39889196675900301</v>
      </c>
      <c r="AQ10" s="3">
        <v>8</v>
      </c>
      <c r="AR10" s="5">
        <v>7</v>
      </c>
      <c r="AS10" s="12">
        <f t="shared" si="20"/>
        <v>0.875</v>
      </c>
      <c r="AT10" s="12">
        <f t="shared" si="21"/>
        <v>1.872576177285318</v>
      </c>
      <c r="AU10" s="3">
        <v>9</v>
      </c>
      <c r="AV10" s="5">
        <v>9</v>
      </c>
      <c r="AW10" s="12">
        <f t="shared" si="22"/>
        <v>1</v>
      </c>
      <c r="AX10" s="12">
        <f t="shared" si="23"/>
        <v>0.39889196675900301</v>
      </c>
      <c r="AY10" s="3">
        <v>7</v>
      </c>
      <c r="AZ10" s="5">
        <v>7</v>
      </c>
      <c r="BA10" s="12">
        <f t="shared" si="24"/>
        <v>1</v>
      </c>
      <c r="BB10" s="12">
        <f t="shared" si="25"/>
        <v>1.872576177285318</v>
      </c>
      <c r="BC10" s="3">
        <v>7</v>
      </c>
      <c r="BD10" s="5">
        <v>6</v>
      </c>
      <c r="BE10" s="12">
        <f t="shared" si="26"/>
        <v>0.8571428571428571</v>
      </c>
      <c r="BF10" s="12">
        <f t="shared" si="27"/>
        <v>5.609418282548476</v>
      </c>
      <c r="BG10" s="3">
        <v>9</v>
      </c>
      <c r="BH10" s="5">
        <v>6</v>
      </c>
      <c r="BI10" s="12">
        <f t="shared" si="28"/>
        <v>0.66666666666666663</v>
      </c>
      <c r="BJ10" s="12">
        <f t="shared" si="29"/>
        <v>5.609418282548476</v>
      </c>
      <c r="BK10" s="3">
        <v>10</v>
      </c>
      <c r="BL10" s="5">
        <v>10</v>
      </c>
      <c r="BM10" s="12">
        <f t="shared" si="30"/>
        <v>1</v>
      </c>
      <c r="BN10" s="12">
        <f t="shared" si="31"/>
        <v>2.6620498614958454</v>
      </c>
      <c r="BO10" s="3">
        <v>10</v>
      </c>
      <c r="BP10" s="5">
        <v>10</v>
      </c>
      <c r="BQ10" s="12">
        <f t="shared" si="32"/>
        <v>1</v>
      </c>
      <c r="BR10" s="12">
        <f t="shared" si="33"/>
        <v>2.6620498614958454</v>
      </c>
      <c r="BS10" s="3">
        <v>9</v>
      </c>
      <c r="BT10" s="5">
        <v>9</v>
      </c>
      <c r="BU10" s="12">
        <f t="shared" si="34"/>
        <v>1</v>
      </c>
      <c r="BV10" s="12">
        <f t="shared" si="35"/>
        <v>0.39889196675900301</v>
      </c>
      <c r="BW10" s="3">
        <v>8</v>
      </c>
      <c r="BX10" s="5">
        <v>8</v>
      </c>
      <c r="BY10" s="12">
        <f t="shared" si="36"/>
        <v>1</v>
      </c>
      <c r="BZ10" s="12">
        <f t="shared" si="37"/>
        <v>0.13573407202216053</v>
      </c>
      <c r="CA10" s="3"/>
      <c r="CB10" s="5"/>
      <c r="CC10" s="12"/>
      <c r="CD10" s="12"/>
      <c r="CE10" s="3"/>
      <c r="CF10" s="5"/>
      <c r="CG10" s="12"/>
      <c r="CH10" s="12"/>
      <c r="CI10" s="3"/>
      <c r="CJ10" s="5"/>
      <c r="CK10" s="12"/>
      <c r="CL10" s="12"/>
      <c r="CM10" s="3"/>
      <c r="CN10" s="5"/>
      <c r="CO10" s="12"/>
      <c r="CP10" s="12"/>
      <c r="CQ10" s="3"/>
      <c r="CR10" s="5"/>
      <c r="CS10" s="12"/>
      <c r="CT10" s="12"/>
      <c r="CU10" s="3"/>
      <c r="CV10" s="5"/>
      <c r="CW10" s="12"/>
      <c r="CX10" s="12"/>
      <c r="CY10" s="3"/>
      <c r="CZ10" s="5"/>
      <c r="DA10" s="12"/>
      <c r="DB10" s="12"/>
      <c r="DC10" s="3"/>
      <c r="DD10" s="5"/>
      <c r="DE10" s="12"/>
      <c r="DF10" s="12"/>
      <c r="DG10" s="3"/>
      <c r="DH10" s="5"/>
      <c r="DI10" s="12"/>
      <c r="DJ10" s="12"/>
      <c r="DK10" s="3"/>
      <c r="DL10" s="5"/>
      <c r="DM10" s="12"/>
      <c r="DN10" s="12"/>
      <c r="DO10" s="3"/>
      <c r="DP10" s="5"/>
      <c r="DQ10" s="12"/>
      <c r="DR10" s="12"/>
      <c r="DS10" s="3"/>
      <c r="DT10" s="5"/>
      <c r="DU10" s="12"/>
      <c r="DV10" s="12"/>
      <c r="DW10" s="3"/>
      <c r="DX10" s="5"/>
      <c r="DY10" s="12"/>
      <c r="DZ10" s="12"/>
      <c r="EA10" s="3"/>
      <c r="EB10" s="5"/>
      <c r="EC10" s="12"/>
      <c r="ED10" s="12"/>
      <c r="EE10" s="3"/>
      <c r="EF10" s="5"/>
      <c r="EG10" s="12"/>
      <c r="EH10" s="12"/>
      <c r="EI10" s="3"/>
      <c r="EJ10" s="5"/>
      <c r="EK10" s="12"/>
      <c r="EL10" s="12"/>
      <c r="EM10" s="3"/>
      <c r="EN10" s="5"/>
      <c r="EO10" s="12"/>
      <c r="EP10" s="12"/>
      <c r="EQ10" s="3"/>
      <c r="ER10" s="5"/>
      <c r="ES10" s="12"/>
      <c r="ET10" s="12"/>
      <c r="EU10" s="3"/>
      <c r="EV10" s="5"/>
      <c r="EW10" s="12"/>
      <c r="EX10" s="12"/>
      <c r="EY10" s="3"/>
      <c r="EZ10" s="5"/>
      <c r="FA10" s="12"/>
      <c r="FB10" s="12"/>
      <c r="FC10" s="3"/>
      <c r="FD10" s="5"/>
      <c r="FE10" s="12"/>
      <c r="FF10" s="12"/>
      <c r="FG10" s="3"/>
      <c r="FH10" s="5"/>
      <c r="FI10" s="12"/>
      <c r="FJ10" s="12"/>
      <c r="FK10" s="4">
        <f t="shared" si="38"/>
        <v>19</v>
      </c>
      <c r="FL10" s="15">
        <f t="shared" si="39"/>
        <v>94.86215538847118</v>
      </c>
      <c r="FM10" s="15">
        <f t="shared" si="40"/>
        <v>8.3684210526315788</v>
      </c>
      <c r="FN10" s="15">
        <f t="shared" si="41"/>
        <v>1.5630781478860523</v>
      </c>
      <c r="FO10" s="16">
        <f t="shared" si="42"/>
        <v>94.86215538847118</v>
      </c>
      <c r="FP10" s="17" t="s">
        <v>3</v>
      </c>
      <c r="FQ10" s="24">
        <f t="shared" si="43"/>
        <v>1.5630781478860523</v>
      </c>
      <c r="FR10" s="4" t="str">
        <f t="shared" si="44"/>
        <v>отлично</v>
      </c>
    </row>
    <row r="11" spans="1:174" ht="48" customHeight="1" thickBot="1" x14ac:dyDescent="0.3">
      <c r="A11" s="21">
        <v>9</v>
      </c>
      <c r="B11" s="31" t="s">
        <v>18</v>
      </c>
      <c r="C11" s="3">
        <v>10</v>
      </c>
      <c r="D11" s="3">
        <v>10</v>
      </c>
      <c r="E11" s="8">
        <f t="shared" si="0"/>
        <v>1</v>
      </c>
      <c r="F11" s="12">
        <f t="shared" si="1"/>
        <v>1.5955678670360121</v>
      </c>
      <c r="G11" s="3">
        <v>9</v>
      </c>
      <c r="H11" s="5">
        <v>9</v>
      </c>
      <c r="I11" s="12">
        <f t="shared" si="2"/>
        <v>1</v>
      </c>
      <c r="J11" s="12">
        <f t="shared" si="3"/>
        <v>6.9252077562327069E-2</v>
      </c>
      <c r="K11" s="3">
        <v>10</v>
      </c>
      <c r="L11" s="5">
        <v>9</v>
      </c>
      <c r="M11" s="12">
        <f t="shared" si="4"/>
        <v>0.9</v>
      </c>
      <c r="N11" s="12">
        <f t="shared" si="5"/>
        <v>6.9252077562327069E-2</v>
      </c>
      <c r="O11" s="3">
        <v>9</v>
      </c>
      <c r="P11" s="5">
        <v>9</v>
      </c>
      <c r="Q11" s="12">
        <f t="shared" si="6"/>
        <v>1</v>
      </c>
      <c r="R11" s="12">
        <f t="shared" si="7"/>
        <v>6.9252077562327069E-2</v>
      </c>
      <c r="S11" s="3">
        <v>9</v>
      </c>
      <c r="T11" s="26">
        <v>9</v>
      </c>
      <c r="U11" s="12">
        <f t="shared" si="8"/>
        <v>1</v>
      </c>
      <c r="V11" s="12">
        <f t="shared" si="9"/>
        <v>6.9252077562327069E-2</v>
      </c>
      <c r="W11" s="3">
        <v>9</v>
      </c>
      <c r="X11" s="5">
        <v>9</v>
      </c>
      <c r="Y11" s="12">
        <f t="shared" si="10"/>
        <v>1</v>
      </c>
      <c r="Z11" s="12">
        <f t="shared" si="11"/>
        <v>6.9252077562327069E-2</v>
      </c>
      <c r="AA11" s="3">
        <v>8</v>
      </c>
      <c r="AB11" s="5">
        <v>8</v>
      </c>
      <c r="AC11" s="12">
        <f t="shared" si="12"/>
        <v>1</v>
      </c>
      <c r="AD11" s="12">
        <f t="shared" si="13"/>
        <v>0.54293628808864214</v>
      </c>
      <c r="AE11" s="3">
        <v>10</v>
      </c>
      <c r="AF11" s="5">
        <v>10</v>
      </c>
      <c r="AG11" s="12">
        <f t="shared" si="14"/>
        <v>1</v>
      </c>
      <c r="AH11" s="12">
        <f t="shared" si="15"/>
        <v>1.5955678670360121</v>
      </c>
      <c r="AI11" s="3">
        <v>10</v>
      </c>
      <c r="AJ11" s="5">
        <v>10</v>
      </c>
      <c r="AK11" s="12">
        <f t="shared" si="16"/>
        <v>1</v>
      </c>
      <c r="AL11" s="12">
        <f t="shared" si="17"/>
        <v>1.5955678670360121</v>
      </c>
      <c r="AM11" s="3">
        <v>9</v>
      </c>
      <c r="AN11" s="5">
        <v>9</v>
      </c>
      <c r="AO11" s="12">
        <f t="shared" si="18"/>
        <v>1</v>
      </c>
      <c r="AP11" s="12">
        <f t="shared" si="19"/>
        <v>6.9252077562327069E-2</v>
      </c>
      <c r="AQ11" s="3">
        <v>8</v>
      </c>
      <c r="AR11" s="5">
        <v>8</v>
      </c>
      <c r="AS11" s="12">
        <f t="shared" si="20"/>
        <v>1</v>
      </c>
      <c r="AT11" s="12">
        <f t="shared" si="21"/>
        <v>0.54293628808864214</v>
      </c>
      <c r="AU11" s="3">
        <v>9</v>
      </c>
      <c r="AV11" s="5">
        <v>9</v>
      </c>
      <c r="AW11" s="12">
        <f t="shared" si="22"/>
        <v>1</v>
      </c>
      <c r="AX11" s="12">
        <f t="shared" si="23"/>
        <v>6.9252077562327069E-2</v>
      </c>
      <c r="AY11" s="3">
        <v>8</v>
      </c>
      <c r="AZ11" s="5">
        <v>8</v>
      </c>
      <c r="BA11" s="12">
        <f t="shared" si="24"/>
        <v>1</v>
      </c>
      <c r="BB11" s="12">
        <f t="shared" si="25"/>
        <v>0.54293628808864214</v>
      </c>
      <c r="BC11" s="3">
        <v>8</v>
      </c>
      <c r="BD11" s="5">
        <v>8</v>
      </c>
      <c r="BE11" s="12">
        <f t="shared" si="26"/>
        <v>1</v>
      </c>
      <c r="BF11" s="12">
        <f t="shared" si="27"/>
        <v>0.54293628808864214</v>
      </c>
      <c r="BG11" s="3">
        <v>9</v>
      </c>
      <c r="BH11" s="5">
        <v>8</v>
      </c>
      <c r="BI11" s="12">
        <f t="shared" si="28"/>
        <v>0.88888888888888884</v>
      </c>
      <c r="BJ11" s="12">
        <f t="shared" si="29"/>
        <v>0.54293628808864214</v>
      </c>
      <c r="BK11" s="3">
        <v>9</v>
      </c>
      <c r="BL11" s="5">
        <v>9</v>
      </c>
      <c r="BM11" s="12">
        <f t="shared" si="30"/>
        <v>1</v>
      </c>
      <c r="BN11" s="12">
        <f t="shared" si="31"/>
        <v>6.9252077562327069E-2</v>
      </c>
      <c r="BO11" s="3">
        <v>10</v>
      </c>
      <c r="BP11" s="5">
        <v>10</v>
      </c>
      <c r="BQ11" s="12">
        <f t="shared" si="32"/>
        <v>1</v>
      </c>
      <c r="BR11" s="12">
        <f t="shared" si="33"/>
        <v>1.5955678670360121</v>
      </c>
      <c r="BS11" s="3">
        <v>7</v>
      </c>
      <c r="BT11" s="5">
        <v>7</v>
      </c>
      <c r="BU11" s="12">
        <f t="shared" si="34"/>
        <v>1</v>
      </c>
      <c r="BV11" s="12">
        <f t="shared" si="35"/>
        <v>3.016620498614957</v>
      </c>
      <c r="BW11" s="3">
        <v>7</v>
      </c>
      <c r="BX11" s="5">
        <v>7</v>
      </c>
      <c r="BY11" s="12">
        <f t="shared" si="36"/>
        <v>1</v>
      </c>
      <c r="BZ11" s="12">
        <f t="shared" si="37"/>
        <v>3.016620498614957</v>
      </c>
      <c r="CA11" s="3"/>
      <c r="CB11" s="5"/>
      <c r="CC11" s="12"/>
      <c r="CD11" s="12"/>
      <c r="CE11" s="3"/>
      <c r="CF11" s="5"/>
      <c r="CG11" s="12"/>
      <c r="CH11" s="12"/>
      <c r="CI11" s="3"/>
      <c r="CJ11" s="5"/>
      <c r="CK11" s="12"/>
      <c r="CL11" s="12"/>
      <c r="CM11" s="3"/>
      <c r="CN11" s="5"/>
      <c r="CO11" s="12"/>
      <c r="CP11" s="12"/>
      <c r="CQ11" s="3"/>
      <c r="CR11" s="5"/>
      <c r="CS11" s="12"/>
      <c r="CT11" s="12"/>
      <c r="CU11" s="3"/>
      <c r="CV11" s="5"/>
      <c r="CW11" s="12"/>
      <c r="CX11" s="12"/>
      <c r="CY11" s="3"/>
      <c r="CZ11" s="5"/>
      <c r="DA11" s="12"/>
      <c r="DB11" s="12"/>
      <c r="DC11" s="3"/>
      <c r="DD11" s="5"/>
      <c r="DE11" s="12"/>
      <c r="DF11" s="12"/>
      <c r="DG11" s="3"/>
      <c r="DH11" s="5"/>
      <c r="DI11" s="12"/>
      <c r="DJ11" s="12"/>
      <c r="DK11" s="3"/>
      <c r="DL11" s="5"/>
      <c r="DM11" s="12"/>
      <c r="DN11" s="12"/>
      <c r="DO11" s="3"/>
      <c r="DP11" s="5"/>
      <c r="DQ11" s="12"/>
      <c r="DR11" s="12"/>
      <c r="DS11" s="3"/>
      <c r="DT11" s="5"/>
      <c r="DU11" s="12"/>
      <c r="DV11" s="12"/>
      <c r="DW11" s="3"/>
      <c r="DX11" s="5"/>
      <c r="DY11" s="12"/>
      <c r="DZ11" s="12"/>
      <c r="EA11" s="3"/>
      <c r="EB11" s="5"/>
      <c r="EC11" s="12"/>
      <c r="ED11" s="12"/>
      <c r="EE11" s="3"/>
      <c r="EF11" s="5"/>
      <c r="EG11" s="12"/>
      <c r="EH11" s="12"/>
      <c r="EI11" s="3"/>
      <c r="EJ11" s="5"/>
      <c r="EK11" s="12"/>
      <c r="EL11" s="12"/>
      <c r="EM11" s="3"/>
      <c r="EN11" s="5"/>
      <c r="EO11" s="12"/>
      <c r="EP11" s="12"/>
      <c r="EQ11" s="3"/>
      <c r="ER11" s="5"/>
      <c r="ES11" s="12"/>
      <c r="ET11" s="12"/>
      <c r="EU11" s="3"/>
      <c r="EV11" s="5"/>
      <c r="EW11" s="12"/>
      <c r="EX11" s="12"/>
      <c r="EY11" s="3"/>
      <c r="EZ11" s="5"/>
      <c r="FA11" s="12"/>
      <c r="FB11" s="12"/>
      <c r="FC11" s="3"/>
      <c r="FD11" s="5"/>
      <c r="FE11" s="12"/>
      <c r="FF11" s="12"/>
      <c r="FG11" s="3"/>
      <c r="FH11" s="5"/>
      <c r="FI11" s="12"/>
      <c r="FJ11" s="12"/>
      <c r="FK11" s="4">
        <f t="shared" si="38"/>
        <v>19</v>
      </c>
      <c r="FL11" s="15">
        <f t="shared" si="39"/>
        <v>98.8888888888889</v>
      </c>
      <c r="FM11" s="15">
        <f t="shared" si="40"/>
        <v>8.7368421052631575</v>
      </c>
      <c r="FN11" s="15">
        <f t="shared" si="41"/>
        <v>0.90856192113852985</v>
      </c>
      <c r="FO11" s="19">
        <f t="shared" si="42"/>
        <v>98.8888888888889</v>
      </c>
      <c r="FP11" s="20" t="s">
        <v>3</v>
      </c>
      <c r="FQ11" s="25">
        <f t="shared" si="43"/>
        <v>0.90856192113852985</v>
      </c>
      <c r="FR11" s="4" t="str">
        <f t="shared" si="44"/>
        <v>отлично</v>
      </c>
    </row>
    <row r="12" spans="1:174" ht="15" hidden="1" customHeight="1" x14ac:dyDescent="0.25">
      <c r="B12" s="27" t="s">
        <v>7</v>
      </c>
      <c r="C12" s="13">
        <f>SUM(C3:C11)</f>
        <v>90</v>
      </c>
      <c r="D12" s="13">
        <f>SUM(D3:D11)</f>
        <v>90</v>
      </c>
      <c r="E12" s="8">
        <f t="shared" si="0"/>
        <v>1</v>
      </c>
      <c r="F12" s="12">
        <f t="shared" ref="F12:F14" si="45">POWER(D12-FE12,2)</f>
        <v>20.25</v>
      </c>
      <c r="G12" s="13">
        <f>SUM(G3:G11)</f>
        <v>81</v>
      </c>
      <c r="H12" s="13">
        <f>SUM(H3:H11)</f>
        <v>81</v>
      </c>
      <c r="I12" s="12">
        <f t="shared" si="2"/>
        <v>1</v>
      </c>
      <c r="J12" s="12">
        <f t="shared" ref="J12:J14" si="46">POWER(H12-$FE12,2)</f>
        <v>20.25</v>
      </c>
      <c r="K12" s="13"/>
      <c r="L12" s="13"/>
      <c r="M12" s="12" t="e">
        <f t="shared" si="4"/>
        <v>#DIV/0!</v>
      </c>
      <c r="N12" s="12">
        <f t="shared" ref="N12:N14" si="47">POWER(L12-$FE12,2)</f>
        <v>7310.25</v>
      </c>
      <c r="O12" s="13"/>
      <c r="P12" s="13"/>
      <c r="Q12" s="12" t="e">
        <f t="shared" si="6"/>
        <v>#DIV/0!</v>
      </c>
      <c r="R12" s="12">
        <f t="shared" ref="R12:R14" si="48">POWER(P12-$FE12,2)</f>
        <v>7310.25</v>
      </c>
      <c r="S12" s="3">
        <v>10</v>
      </c>
      <c r="T12" s="13"/>
      <c r="U12" s="12">
        <f t="shared" si="8"/>
        <v>0</v>
      </c>
      <c r="V12" s="12">
        <f t="shared" ref="V12:V14" si="49">POWER(T12-$FE12,2)</f>
        <v>7310.25</v>
      </c>
      <c r="W12" s="3">
        <v>10</v>
      </c>
      <c r="Y12" s="12">
        <f t="shared" si="10"/>
        <v>0</v>
      </c>
      <c r="Z12" s="12">
        <f t="shared" ref="Z12:Z14" si="50">POWER(X12-$FE12,2)</f>
        <v>7310.25</v>
      </c>
      <c r="AC12" s="12" t="e">
        <f t="shared" si="12"/>
        <v>#DIV/0!</v>
      </c>
      <c r="AD12" s="12">
        <f t="shared" ref="AD12:AD14" si="51">POWER(AB12-$FE12,2)</f>
        <v>7310.25</v>
      </c>
      <c r="AE12" s="3">
        <v>10</v>
      </c>
      <c r="AG12" s="12">
        <f t="shared" si="14"/>
        <v>0</v>
      </c>
      <c r="AH12" s="12">
        <f t="shared" ref="AH12:AH14" si="52">POWER(AF12-$FE12,2)</f>
        <v>7310.25</v>
      </c>
      <c r="AK12" s="12" t="e">
        <f t="shared" si="16"/>
        <v>#DIV/0!</v>
      </c>
      <c r="AL12" s="12">
        <f t="shared" ref="AL12:AL14" si="53">POWER(AJ12-$FE12,2)</f>
        <v>7310.25</v>
      </c>
      <c r="AO12" s="12" t="e">
        <f t="shared" si="18"/>
        <v>#DIV/0!</v>
      </c>
      <c r="AP12" s="12">
        <f t="shared" ref="AP12:AP14" si="54">POWER(AN12-$FE12,2)</f>
        <v>7310.25</v>
      </c>
      <c r="AS12" s="12" t="e">
        <f t="shared" si="20"/>
        <v>#DIV/0!</v>
      </c>
      <c r="AT12" s="12">
        <f t="shared" ref="AT12:AT14" si="55">POWER(AR12-$FE12,2)</f>
        <v>7310.25</v>
      </c>
      <c r="BJ12" s="12" t="e">
        <f t="shared" si="29"/>
        <v>#DIV/0!</v>
      </c>
      <c r="DN12" s="12">
        <f t="shared" ref="DN12:DN14" si="56">POWER(DL12-$FE12,2)</f>
        <v>7310.25</v>
      </c>
      <c r="FC12" s="4">
        <f t="shared" ref="FC12:FC14" si="57">COUNT(EY12,EU12,EQ12,EM12,EI12,EE12,EA12,DW12,DS12,DO12,DK12,DG12,DC12,CY12,CU12,CQ12,CM12,CI12,CE12,CA12,BW12,BS12,BO12,BK12,BG12,BC12,AY12,AU12,AQ12,AM12,AI12,AE12,AA12,W12,S12,O12,K12,G12,C12)</f>
        <v>5</v>
      </c>
      <c r="FD12" s="15" t="e">
        <f t="shared" ref="FD12:FD14" si="58">(E12+I12+M12+Q12+U12+Y12+AC12+AG12+AK12+AO12+AS12+AW12+BA12+BE12+BI12+BM12+BQ12+BU12+BY12+CC12+CG12+CK12+CO12+CS12+CW12+DA12+DE12+DI12+DM12+DQ12+DU12+DY12+EC12+EG12+EK12+EO12+ES12+EW12+FA12)*100/FC12</f>
        <v>#DIV/0!</v>
      </c>
      <c r="FE12" s="15">
        <f t="shared" ref="FE12:FE14" si="59">AVERAGE(D12,H12,L12,P12,T12,X12,AB12,AF12,AJ12,AN12,AR12,AV12,AZ12,BD12,BH12,BL12,BP12,BT12,BX12,CB12,CF12,CJ12,CN12,CR12,CV12,CZ12,DD12,DH12,DL12,DP12,DT12,DX12,EB12,EF12,EJ12,EN12,ER12,EV12,EZ12)</f>
        <v>85.5</v>
      </c>
      <c r="FF12" s="15" t="e">
        <f t="shared" ref="FF12:FF14" si="60">SQRT((F12+J12+N12+R12+V12+Z12+AD12+AH12+AL12+AP12+AT12+AX12+BB12+BF12+BJ12++BN12+BR12+BV12+BZ12+CD12+CH12+CL12+CP12+CT12+CX12+DB12+DF12+DJ12+DN12+DR12+DV12+DZ12+ED12+EH12+EL12+EP12+ET12+EX12+FB12)/FC12)</f>
        <v>#DIV/0!</v>
      </c>
      <c r="FG12" s="19" t="e">
        <f t="shared" ref="FG12:FG14" si="61">FD12</f>
        <v>#DIV/0!</v>
      </c>
      <c r="FH12" s="17" t="s">
        <v>3</v>
      </c>
      <c r="FI12" s="25" t="e">
        <f t="shared" ref="FI12:FI14" si="62">FF12</f>
        <v>#DIV/0!</v>
      </c>
      <c r="FJ12" s="4" t="e">
        <f t="shared" ref="FJ12:FJ14" si="63">IF(FD12&lt;40,"неудовлетворительно",IF((FD12&gt;=40)*AND(FD12&lt;60),"удовлетворительно",IF((FD12&gt;=60)*AND(FD12&lt;80),"хорошо","отлично")))</f>
        <v>#DIV/0!</v>
      </c>
      <c r="FK12" s="18"/>
      <c r="FL12" s="15" t="e">
        <f t="shared" si="39"/>
        <v>#DIV/0!</v>
      </c>
      <c r="FM12" s="15" t="e">
        <f t="shared" si="40"/>
        <v>#DIV/0!</v>
      </c>
      <c r="FN12" s="18"/>
      <c r="FO12" s="18"/>
      <c r="FP12" s="18"/>
      <c r="FQ12" s="18"/>
    </row>
    <row r="13" spans="1:174" ht="15" hidden="1" customHeight="1" x14ac:dyDescent="0.25">
      <c r="B13" s="27" t="s">
        <v>8</v>
      </c>
      <c r="C13" s="14">
        <f>AVERAGE(C3:C11)</f>
        <v>10</v>
      </c>
      <c r="D13" s="14">
        <f>AVERAGE(D3:D11)</f>
        <v>10</v>
      </c>
      <c r="E13" s="8">
        <f t="shared" si="0"/>
        <v>1</v>
      </c>
      <c r="F13" s="12">
        <f t="shared" si="45"/>
        <v>0</v>
      </c>
      <c r="G13" s="14"/>
      <c r="H13" s="14"/>
      <c r="I13" s="12" t="e">
        <f t="shared" si="2"/>
        <v>#DIV/0!</v>
      </c>
      <c r="J13" s="12">
        <f t="shared" si="46"/>
        <v>100</v>
      </c>
      <c r="K13" s="14"/>
      <c r="L13" s="14"/>
      <c r="M13" s="12" t="e">
        <f t="shared" si="4"/>
        <v>#DIV/0!</v>
      </c>
      <c r="N13" s="12">
        <f t="shared" si="47"/>
        <v>100</v>
      </c>
      <c r="O13" s="14"/>
      <c r="P13" s="14"/>
      <c r="Q13" s="12" t="e">
        <f t="shared" si="6"/>
        <v>#DIV/0!</v>
      </c>
      <c r="R13" s="12">
        <f t="shared" si="48"/>
        <v>100</v>
      </c>
      <c r="S13" s="3">
        <v>10</v>
      </c>
      <c r="T13" s="14"/>
      <c r="U13" s="12">
        <f t="shared" si="8"/>
        <v>0</v>
      </c>
      <c r="V13" s="12">
        <f t="shared" si="49"/>
        <v>100</v>
      </c>
      <c r="W13" s="3">
        <v>10</v>
      </c>
      <c r="Y13" s="12">
        <f t="shared" si="10"/>
        <v>0</v>
      </c>
      <c r="Z13" s="12">
        <f t="shared" si="50"/>
        <v>100</v>
      </c>
      <c r="AC13" s="12" t="e">
        <f t="shared" si="12"/>
        <v>#DIV/0!</v>
      </c>
      <c r="AD13" s="12">
        <f t="shared" si="51"/>
        <v>100</v>
      </c>
      <c r="AE13" s="3">
        <v>10</v>
      </c>
      <c r="AG13" s="12">
        <f t="shared" si="14"/>
        <v>0</v>
      </c>
      <c r="AH13" s="12">
        <f t="shared" si="52"/>
        <v>100</v>
      </c>
      <c r="AK13" s="12" t="e">
        <f t="shared" si="16"/>
        <v>#DIV/0!</v>
      </c>
      <c r="AL13" s="12">
        <f t="shared" si="53"/>
        <v>100</v>
      </c>
      <c r="AO13" s="12" t="e">
        <f t="shared" si="18"/>
        <v>#DIV/0!</v>
      </c>
      <c r="AP13" s="12">
        <f t="shared" si="54"/>
        <v>100</v>
      </c>
      <c r="AS13" s="12" t="e">
        <f t="shared" si="20"/>
        <v>#DIV/0!</v>
      </c>
      <c r="AT13" s="12">
        <f t="shared" si="55"/>
        <v>100</v>
      </c>
      <c r="BJ13" s="12" t="e">
        <f t="shared" si="29"/>
        <v>#DIV/0!</v>
      </c>
      <c r="DN13" s="12">
        <f t="shared" si="56"/>
        <v>100</v>
      </c>
      <c r="FC13" s="4">
        <f t="shared" si="57"/>
        <v>4</v>
      </c>
      <c r="FD13" s="15" t="e">
        <f t="shared" si="58"/>
        <v>#DIV/0!</v>
      </c>
      <c r="FE13" s="15">
        <f t="shared" si="59"/>
        <v>10</v>
      </c>
      <c r="FF13" s="15" t="e">
        <f t="shared" si="60"/>
        <v>#DIV/0!</v>
      </c>
      <c r="FG13" s="19" t="e">
        <f t="shared" si="61"/>
        <v>#DIV/0!</v>
      </c>
      <c r="FH13" s="17" t="s">
        <v>3</v>
      </c>
      <c r="FI13" s="25" t="e">
        <f t="shared" si="62"/>
        <v>#DIV/0!</v>
      </c>
      <c r="FJ13" s="4" t="e">
        <f t="shared" si="63"/>
        <v>#DIV/0!</v>
      </c>
      <c r="FK13" s="18"/>
      <c r="FL13" s="15" t="e">
        <f t="shared" si="39"/>
        <v>#DIV/0!</v>
      </c>
      <c r="FM13" s="15" t="e">
        <f t="shared" si="40"/>
        <v>#DIV/0!</v>
      </c>
      <c r="FN13" s="18"/>
      <c r="FO13" s="18"/>
      <c r="FP13" s="18"/>
      <c r="FQ13" s="18"/>
    </row>
    <row r="14" spans="1:174" ht="15" hidden="1" customHeight="1" x14ac:dyDescent="0.25">
      <c r="B14" s="28" t="s">
        <v>9</v>
      </c>
      <c r="E14" s="8" t="e">
        <f t="shared" si="0"/>
        <v>#DIV/0!</v>
      </c>
      <c r="F14" s="12" t="e">
        <f t="shared" si="45"/>
        <v>#DIV/0!</v>
      </c>
      <c r="I14" s="12" t="e">
        <f t="shared" si="2"/>
        <v>#DIV/0!</v>
      </c>
      <c r="J14" s="12" t="e">
        <f t="shared" si="46"/>
        <v>#DIV/0!</v>
      </c>
      <c r="M14" s="12" t="e">
        <f t="shared" si="4"/>
        <v>#DIV/0!</v>
      </c>
      <c r="N14" s="12" t="e">
        <f t="shared" si="47"/>
        <v>#DIV/0!</v>
      </c>
      <c r="Q14" s="12" t="e">
        <f t="shared" si="6"/>
        <v>#DIV/0!</v>
      </c>
      <c r="R14" s="12" t="e">
        <f t="shared" si="48"/>
        <v>#DIV/0!</v>
      </c>
      <c r="S14" s="3">
        <v>10</v>
      </c>
      <c r="U14" s="12">
        <f t="shared" si="8"/>
        <v>0</v>
      </c>
      <c r="V14" s="12" t="e">
        <f t="shared" si="49"/>
        <v>#DIV/0!</v>
      </c>
      <c r="W14" s="47">
        <v>10</v>
      </c>
      <c r="Y14" s="29">
        <f t="shared" si="10"/>
        <v>0</v>
      </c>
      <c r="Z14" s="29" t="e">
        <f t="shared" si="50"/>
        <v>#DIV/0!</v>
      </c>
      <c r="AC14" s="29" t="e">
        <f t="shared" si="12"/>
        <v>#DIV/0!</v>
      </c>
      <c r="AD14" s="12" t="e">
        <f t="shared" si="51"/>
        <v>#DIV/0!</v>
      </c>
      <c r="AE14" s="3">
        <v>10</v>
      </c>
      <c r="AG14" s="12">
        <f t="shared" si="14"/>
        <v>0</v>
      </c>
      <c r="AH14" s="12" t="e">
        <f t="shared" si="52"/>
        <v>#DIV/0!</v>
      </c>
      <c r="AK14" s="12" t="e">
        <f t="shared" si="16"/>
        <v>#DIV/0!</v>
      </c>
      <c r="AL14" s="12" t="e">
        <f t="shared" si="53"/>
        <v>#DIV/0!</v>
      </c>
      <c r="AO14" s="12" t="e">
        <f t="shared" si="18"/>
        <v>#DIV/0!</v>
      </c>
      <c r="AP14" s="12" t="e">
        <f t="shared" si="54"/>
        <v>#DIV/0!</v>
      </c>
      <c r="AS14" s="12" t="e">
        <f t="shared" si="20"/>
        <v>#DIV/0!</v>
      </c>
      <c r="AT14" s="12" t="e">
        <f t="shared" si="55"/>
        <v>#DIV/0!</v>
      </c>
      <c r="BJ14" s="12" t="e">
        <f t="shared" si="29"/>
        <v>#DIV/0!</v>
      </c>
      <c r="DN14" s="29" t="e">
        <f t="shared" si="56"/>
        <v>#DIV/0!</v>
      </c>
      <c r="FC14" s="4">
        <f t="shared" si="57"/>
        <v>3</v>
      </c>
      <c r="FD14" s="15" t="e">
        <f t="shared" si="58"/>
        <v>#DIV/0!</v>
      </c>
      <c r="FE14" s="15" t="e">
        <f t="shared" si="59"/>
        <v>#DIV/0!</v>
      </c>
      <c r="FF14" s="15" t="e">
        <f t="shared" si="60"/>
        <v>#DIV/0!</v>
      </c>
      <c r="FG14" s="19" t="e">
        <f t="shared" si="61"/>
        <v>#DIV/0!</v>
      </c>
      <c r="FH14" s="17" t="s">
        <v>3</v>
      </c>
      <c r="FI14" s="25" t="e">
        <f t="shared" si="62"/>
        <v>#DIV/0!</v>
      </c>
      <c r="FJ14" s="4" t="e">
        <f t="shared" si="63"/>
        <v>#DIV/0!</v>
      </c>
      <c r="FK14" s="18"/>
      <c r="FL14" s="15" t="e">
        <f t="shared" si="39"/>
        <v>#DIV/0!</v>
      </c>
      <c r="FM14" s="15" t="e">
        <f t="shared" si="40"/>
        <v>#DIV/0!</v>
      </c>
      <c r="FN14" s="18"/>
      <c r="FO14" s="18"/>
      <c r="FP14" s="18"/>
      <c r="FQ14" s="18"/>
    </row>
    <row r="15" spans="1:174" ht="43.5" customHeight="1" x14ac:dyDescent="0.25">
      <c r="W15" s="32"/>
      <c r="X15" s="32"/>
      <c r="Y15" s="32"/>
      <c r="Z15" s="32"/>
      <c r="AA15" s="32"/>
      <c r="AB15" s="32"/>
      <c r="AC15" s="32"/>
      <c r="FG15" s="2"/>
      <c r="FI15" s="2"/>
      <c r="FJ15" s="2"/>
      <c r="FK15" s="2"/>
      <c r="FL15" s="2"/>
      <c r="FM15" s="2"/>
      <c r="FN15" s="2"/>
      <c r="FO15" s="2"/>
      <c r="FP15" s="2"/>
      <c r="FQ15" s="2"/>
    </row>
    <row r="16" spans="1:174" x14ac:dyDescent="0.25">
      <c r="W16" s="32"/>
      <c r="X16" s="32"/>
      <c r="Y16" s="32"/>
      <c r="Z16" s="32"/>
      <c r="AA16" s="32"/>
      <c r="AB16" s="32"/>
      <c r="AC16" s="32"/>
      <c r="FO16" s="38">
        <f>AVERAGE(FO3:FO11)</f>
        <v>96.994105634456503</v>
      </c>
      <c r="FP16" s="39" t="s">
        <v>3</v>
      </c>
      <c r="FQ16" s="40">
        <f>AVERAGE(FQ3:FQ11)</f>
        <v>1.6585564787687275</v>
      </c>
      <c r="FR16" s="41" t="str">
        <f>IF(FO16&lt;40,"неудовлетворительно",IF((FO16&gt;=40)*AND(FO16&lt;60),"удовлетворительно",IF((FO16&gt;=60)*AND(FO16&lt;80),"хорошо","отлично")))</f>
        <v>отлично</v>
      </c>
    </row>
    <row r="17" spans="1:173" x14ac:dyDescent="0.25"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pans="1:173" ht="15.75" x14ac:dyDescent="0.25">
      <c r="V18" s="32"/>
      <c r="W18" s="32"/>
      <c r="X18" s="48"/>
      <c r="Y18" s="48"/>
      <c r="Z18" s="48"/>
      <c r="AA18" s="82"/>
      <c r="AB18" s="82"/>
      <c r="AC18" s="82"/>
      <c r="AD18" s="56"/>
      <c r="AE18" s="32"/>
    </row>
    <row r="19" spans="1:173" x14ac:dyDescent="0.25">
      <c r="V19" s="32"/>
      <c r="W19" s="32"/>
      <c r="X19" s="33"/>
      <c r="Y19" s="32"/>
      <c r="Z19" s="32"/>
      <c r="AA19" s="34"/>
      <c r="AB19" s="35"/>
      <c r="AC19" s="36"/>
      <c r="AD19" s="32"/>
      <c r="AE19" s="32"/>
    </row>
    <row r="20" spans="1:173" x14ac:dyDescent="0.25">
      <c r="V20" s="32"/>
      <c r="W20" s="32"/>
      <c r="X20" s="33"/>
      <c r="Y20" s="32"/>
      <c r="Z20" s="32"/>
      <c r="AA20" s="34"/>
      <c r="AB20" s="35"/>
      <c r="AC20" s="36"/>
      <c r="AD20" s="32"/>
      <c r="AE20" s="32"/>
    </row>
    <row r="21" spans="1:173" x14ac:dyDescent="0.25">
      <c r="V21" s="32"/>
      <c r="W21" s="32"/>
      <c r="X21" s="33"/>
      <c r="Y21" s="32"/>
      <c r="Z21" s="32"/>
      <c r="AA21" s="34"/>
      <c r="AB21" s="35"/>
      <c r="AC21" s="36"/>
      <c r="AD21" s="32"/>
      <c r="AE21" s="32"/>
      <c r="FC21" s="32"/>
      <c r="FD21" s="34"/>
      <c r="FE21" s="32"/>
      <c r="FF21" s="32"/>
      <c r="FG21" s="32"/>
      <c r="FH21" s="32"/>
      <c r="FI21" s="32"/>
      <c r="FJ21" s="32"/>
    </row>
    <row r="22" spans="1:173" x14ac:dyDescent="0.25">
      <c r="V22" s="32"/>
      <c r="W22" s="32"/>
      <c r="X22" s="33"/>
      <c r="Y22" s="32"/>
      <c r="Z22" s="32"/>
      <c r="AA22" s="34"/>
      <c r="AB22" s="35"/>
      <c r="AC22" s="36"/>
      <c r="AD22" s="32"/>
      <c r="AE22" s="32"/>
      <c r="FC22" s="32"/>
      <c r="FD22" s="34"/>
      <c r="FE22" s="32"/>
      <c r="FF22" s="32"/>
      <c r="FG22" s="32"/>
      <c r="FH22" s="32"/>
      <c r="FI22" s="32"/>
      <c r="FJ22" s="32"/>
    </row>
    <row r="23" spans="1:173" x14ac:dyDescent="0.25">
      <c r="V23" s="32"/>
      <c r="W23" s="32"/>
      <c r="X23" s="33"/>
      <c r="Y23" s="32"/>
      <c r="Z23" s="32"/>
      <c r="AA23" s="34"/>
      <c r="AB23" s="35"/>
      <c r="AC23" s="36"/>
      <c r="AD23" s="32"/>
      <c r="AE23" s="32"/>
      <c r="FC23" s="32"/>
      <c r="FD23" s="34"/>
      <c r="FE23" s="32"/>
      <c r="FF23" s="32"/>
      <c r="FG23" s="32"/>
      <c r="FH23" s="32"/>
      <c r="FI23" s="32"/>
      <c r="FJ23" s="32"/>
    </row>
    <row r="24" spans="1:173" x14ac:dyDescent="0.25">
      <c r="V24" s="32"/>
      <c r="W24" s="32"/>
      <c r="X24" s="33"/>
      <c r="Y24" s="32"/>
      <c r="Z24" s="32"/>
      <c r="AA24" s="34"/>
      <c r="AB24" s="35"/>
      <c r="AC24" s="36"/>
      <c r="AD24" s="32"/>
      <c r="AE24" s="32"/>
      <c r="FC24" s="32"/>
      <c r="FD24" s="34"/>
      <c r="FE24" s="32"/>
      <c r="FF24" s="32"/>
      <c r="FG24" s="32"/>
      <c r="FH24" s="32"/>
      <c r="FI24" s="32"/>
      <c r="FJ24" s="32"/>
    </row>
    <row r="25" spans="1:173" x14ac:dyDescent="0.25">
      <c r="V25" s="32"/>
      <c r="W25" s="32"/>
      <c r="X25" s="33"/>
      <c r="Y25" s="32"/>
      <c r="Z25" s="32"/>
      <c r="AA25" s="34"/>
      <c r="AB25" s="35"/>
      <c r="AC25" s="36"/>
      <c r="AD25" s="32"/>
      <c r="AE25" s="32"/>
      <c r="FC25" s="32"/>
      <c r="FD25" s="34"/>
      <c r="FE25" s="32"/>
      <c r="FF25" s="32"/>
      <c r="FG25" s="32"/>
      <c r="FH25" s="32"/>
      <c r="FI25" s="32"/>
      <c r="FJ25" s="32"/>
    </row>
    <row r="26" spans="1:173" x14ac:dyDescent="0.25">
      <c r="V26" s="32"/>
      <c r="W26" s="32"/>
      <c r="X26" s="33"/>
      <c r="Y26" s="32"/>
      <c r="Z26" s="32"/>
      <c r="AA26" s="34"/>
      <c r="AB26" s="35"/>
      <c r="AC26" s="36"/>
      <c r="AD26" s="32"/>
      <c r="AE26" s="32"/>
      <c r="FC26" s="32"/>
      <c r="FD26" s="34"/>
      <c r="FE26" s="32"/>
      <c r="FF26" s="32"/>
      <c r="FG26" s="32"/>
      <c r="FH26" s="32"/>
      <c r="FI26" s="32"/>
      <c r="FJ26" s="32"/>
    </row>
    <row r="27" spans="1:173" x14ac:dyDescent="0.25">
      <c r="V27" s="32"/>
      <c r="W27" s="32"/>
      <c r="X27" s="33"/>
      <c r="Y27" s="32"/>
      <c r="Z27" s="32"/>
      <c r="AA27" s="34"/>
      <c r="AB27" s="35"/>
      <c r="AC27" s="36"/>
      <c r="AD27" s="32"/>
      <c r="AE27" s="32"/>
      <c r="FC27" s="79"/>
      <c r="FD27" s="79"/>
      <c r="FE27" s="79"/>
      <c r="FF27" s="42"/>
      <c r="FG27" s="32"/>
      <c r="FH27" s="32"/>
      <c r="FI27" s="32"/>
      <c r="FJ27" s="32"/>
    </row>
    <row r="28" spans="1:173" ht="19.5" x14ac:dyDescent="0.35">
      <c r="A28" s="83"/>
      <c r="B28" s="84"/>
      <c r="V28" s="32"/>
      <c r="W28" s="32"/>
      <c r="X28" s="33"/>
      <c r="Y28" s="32"/>
      <c r="Z28" s="32"/>
      <c r="AA28" s="34"/>
      <c r="AB28" s="35"/>
      <c r="AC28" s="36"/>
      <c r="AD28" s="32"/>
      <c r="AE28" s="32"/>
      <c r="FC28" s="79"/>
      <c r="FD28" s="79"/>
      <c r="FE28" s="79"/>
      <c r="FF28" s="79"/>
      <c r="FG28" s="43"/>
      <c r="FH28" s="44"/>
      <c r="FI28" s="45"/>
      <c r="FJ28" s="46"/>
      <c r="FK28" s="51"/>
      <c r="FL28" s="51"/>
      <c r="FM28" s="51"/>
      <c r="FN28" s="51"/>
      <c r="FO28" s="51"/>
      <c r="FP28" s="51"/>
      <c r="FQ28" s="51"/>
    </row>
    <row r="29" spans="1:173" x14ac:dyDescent="0.25">
      <c r="V29" s="32"/>
      <c r="W29" s="32"/>
      <c r="X29" s="34"/>
      <c r="Y29" s="32"/>
      <c r="Z29" s="32"/>
      <c r="AA29" s="32"/>
      <c r="AB29" s="32"/>
      <c r="AC29" s="32"/>
      <c r="AD29" s="32"/>
      <c r="AE29" s="32"/>
      <c r="FC29" s="32"/>
      <c r="FD29" s="32"/>
      <c r="FE29" s="32"/>
      <c r="FF29" s="32"/>
      <c r="FG29" s="32"/>
      <c r="FH29" s="32"/>
      <c r="FI29" s="32"/>
      <c r="FJ29" s="32"/>
    </row>
    <row r="30" spans="1:173" x14ac:dyDescent="0.25">
      <c r="V30" s="32"/>
      <c r="W30" s="32"/>
      <c r="X30" s="34"/>
      <c r="Y30" s="32"/>
      <c r="Z30" s="32"/>
      <c r="AA30" s="32"/>
      <c r="AB30" s="32"/>
      <c r="AC30" s="32"/>
      <c r="AD30" s="32"/>
      <c r="AE30" s="32"/>
    </row>
    <row r="31" spans="1:173" x14ac:dyDescent="0.25">
      <c r="V31" s="32"/>
      <c r="W31" s="79"/>
      <c r="X31" s="79"/>
      <c r="Y31" s="79"/>
      <c r="Z31" s="34"/>
      <c r="AA31" s="32"/>
      <c r="AB31" s="32"/>
      <c r="AC31" s="32"/>
      <c r="AD31" s="32"/>
      <c r="AE31" s="32"/>
    </row>
    <row r="32" spans="1:173" x14ac:dyDescent="0.25">
      <c r="V32" s="32"/>
      <c r="W32" s="79"/>
      <c r="X32" s="79"/>
      <c r="Y32" s="79"/>
      <c r="Z32" s="79"/>
      <c r="AA32" s="43"/>
      <c r="AB32" s="44"/>
      <c r="AC32" s="45"/>
      <c r="AD32" s="46"/>
      <c r="AE32" s="32"/>
    </row>
    <row r="33" spans="23:29" customFormat="1" x14ac:dyDescent="0.25">
      <c r="W33" s="32"/>
      <c r="X33" s="32"/>
      <c r="Y33" s="32"/>
      <c r="Z33" s="32"/>
      <c r="AA33" s="32"/>
      <c r="AB33" s="32"/>
      <c r="AC33" s="32"/>
    </row>
    <row r="34" spans="23:29" customFormat="1" x14ac:dyDescent="0.25">
      <c r="W34" s="32"/>
      <c r="X34" s="32"/>
      <c r="Y34" s="32"/>
      <c r="Z34" s="32"/>
      <c r="AA34" s="32"/>
      <c r="AB34" s="32"/>
      <c r="AC34" s="32"/>
    </row>
    <row r="35" spans="23:29" customFormat="1" x14ac:dyDescent="0.25">
      <c r="W35" s="32"/>
      <c r="X35" s="32"/>
      <c r="Y35" s="32"/>
      <c r="Z35" s="32"/>
      <c r="AA35" s="32"/>
      <c r="AB35" s="32"/>
      <c r="AC35" s="32"/>
    </row>
    <row r="36" spans="23:29" customFormat="1" x14ac:dyDescent="0.25">
      <c r="W36" s="32"/>
      <c r="X36" s="32"/>
      <c r="Y36" s="32"/>
      <c r="Z36" s="32"/>
      <c r="AA36" s="32"/>
      <c r="AB36" s="32"/>
      <c r="AC36" s="32"/>
    </row>
    <row r="37" spans="23:29" customFormat="1" x14ac:dyDescent="0.25">
      <c r="W37" s="37"/>
      <c r="X37" s="52"/>
      <c r="Y37" s="52"/>
      <c r="Z37" s="37"/>
      <c r="AA37" s="18"/>
      <c r="AB37" s="18"/>
      <c r="AC37" s="18"/>
    </row>
    <row r="38" spans="23:29" customFormat="1" x14ac:dyDescent="0.25">
      <c r="W38" s="37"/>
      <c r="X38" s="52"/>
      <c r="Y38" s="52"/>
      <c r="Z38" s="37"/>
      <c r="AA38" s="18"/>
      <c r="AB38" s="18"/>
      <c r="AC38" s="18"/>
    </row>
    <row r="39" spans="23:29" customFormat="1" x14ac:dyDescent="0.25">
      <c r="W39" s="37"/>
      <c r="X39" s="52"/>
      <c r="Y39" s="52"/>
      <c r="Z39" s="37"/>
      <c r="AA39" s="18"/>
      <c r="AB39" s="18"/>
      <c r="AC39" s="18"/>
    </row>
    <row r="40" spans="23:29" customFormat="1" x14ac:dyDescent="0.25">
      <c r="W40" s="37"/>
      <c r="X40" s="52"/>
      <c r="Y40" s="52"/>
      <c r="Z40" s="37"/>
      <c r="AA40" s="18"/>
      <c r="AB40" s="18"/>
      <c r="AC40" s="18"/>
    </row>
    <row r="41" spans="23:29" customFormat="1" x14ac:dyDescent="0.25">
      <c r="W41" s="37"/>
      <c r="X41" s="52"/>
      <c r="Y41" s="52"/>
      <c r="Z41" s="37"/>
      <c r="AA41" s="18"/>
      <c r="AB41" s="18"/>
      <c r="AC41" s="18"/>
    </row>
    <row r="42" spans="23:29" customFormat="1" x14ac:dyDescent="0.25">
      <c r="W42" s="37"/>
      <c r="X42" s="52"/>
      <c r="Y42" s="52"/>
      <c r="Z42" s="37"/>
      <c r="AA42" s="18"/>
      <c r="AB42" s="18"/>
      <c r="AC42" s="18"/>
    </row>
    <row r="43" spans="23:29" customFormat="1" x14ac:dyDescent="0.25">
      <c r="W43" s="37"/>
      <c r="X43" s="52"/>
      <c r="Y43" s="52"/>
      <c r="Z43" s="37"/>
      <c r="AA43" s="18"/>
      <c r="AB43" s="18"/>
      <c r="AC43" s="18"/>
    </row>
    <row r="44" spans="23:29" customFormat="1" x14ac:dyDescent="0.25">
      <c r="W44" s="37"/>
      <c r="X44" s="52"/>
      <c r="Y44" s="52"/>
      <c r="Z44" s="37"/>
      <c r="AA44" s="18"/>
      <c r="AB44" s="18"/>
      <c r="AC44" s="18"/>
    </row>
    <row r="45" spans="23:29" customFormat="1" x14ac:dyDescent="0.25">
      <c r="W45" s="37"/>
      <c r="X45" s="52"/>
      <c r="Y45" s="52"/>
      <c r="Z45" s="37"/>
      <c r="AA45" s="18"/>
      <c r="AB45" s="18"/>
      <c r="AC45" s="18"/>
    </row>
    <row r="46" spans="23:29" customFormat="1" x14ac:dyDescent="0.25">
      <c r="W46" s="37"/>
      <c r="X46" s="52"/>
      <c r="Y46" s="52"/>
      <c r="Z46" s="37"/>
      <c r="AA46" s="18"/>
      <c r="AB46" s="18"/>
      <c r="AC46" s="18"/>
    </row>
    <row r="47" spans="23:29" customFormat="1" x14ac:dyDescent="0.25">
      <c r="W47" s="37"/>
      <c r="X47" s="52"/>
      <c r="Y47" s="52"/>
      <c r="Z47" s="37"/>
      <c r="AA47" s="18"/>
      <c r="AB47" s="18"/>
      <c r="AC47" s="18"/>
    </row>
    <row r="48" spans="23:29" customFormat="1" x14ac:dyDescent="0.25">
      <c r="W48" s="37"/>
      <c r="X48" s="52"/>
      <c r="Y48" s="52"/>
      <c r="Z48" s="37"/>
      <c r="AA48" s="18"/>
      <c r="AB48" s="18"/>
      <c r="AC48" s="18"/>
    </row>
    <row r="49" spans="23:29" customFormat="1" x14ac:dyDescent="0.25">
      <c r="W49" s="37"/>
      <c r="X49" s="52"/>
      <c r="Y49" s="52"/>
      <c r="Z49" s="37"/>
      <c r="AA49" s="18"/>
      <c r="AB49" s="18"/>
      <c r="AC49" s="18"/>
    </row>
    <row r="50" spans="23:29" customFormat="1" x14ac:dyDescent="0.25">
      <c r="W50" s="37"/>
      <c r="X50" s="52"/>
      <c r="Y50" s="52"/>
      <c r="Z50" s="37"/>
      <c r="AA50" s="18"/>
      <c r="AB50" s="18"/>
      <c r="AC50" s="18"/>
    </row>
    <row r="51" spans="23:29" customFormat="1" x14ac:dyDescent="0.25">
      <c r="W51" s="37"/>
      <c r="X51" s="52"/>
      <c r="Y51" s="52"/>
      <c r="Z51" s="37"/>
      <c r="AA51" s="18"/>
      <c r="AB51" s="18"/>
      <c r="AC51" s="18"/>
    </row>
    <row r="52" spans="23:29" customFormat="1" x14ac:dyDescent="0.25">
      <c r="W52" s="37"/>
      <c r="X52" s="52"/>
      <c r="Y52" s="52"/>
      <c r="Z52" s="37"/>
      <c r="AA52" s="18"/>
      <c r="AB52" s="18"/>
      <c r="AC52" s="18"/>
    </row>
    <row r="53" spans="23:29" customFormat="1" x14ac:dyDescent="0.25">
      <c r="W53" s="37"/>
      <c r="X53" s="52"/>
      <c r="Y53" s="52"/>
      <c r="Z53" s="37"/>
      <c r="AA53" s="18"/>
      <c r="AB53" s="18"/>
      <c r="AC53" s="18"/>
    </row>
    <row r="54" spans="23:29" customFormat="1" x14ac:dyDescent="0.25">
      <c r="W54" s="37"/>
      <c r="X54" s="52"/>
      <c r="Y54" s="52"/>
      <c r="Z54" s="37"/>
      <c r="AA54" s="18"/>
      <c r="AB54" s="18"/>
      <c r="AC54" s="18"/>
    </row>
    <row r="55" spans="23:29" customFormat="1" x14ac:dyDescent="0.25">
      <c r="W55" s="37"/>
      <c r="X55" s="52"/>
      <c r="Y55" s="52"/>
      <c r="Z55" s="37"/>
      <c r="AA55" s="18"/>
      <c r="AB55" s="18"/>
      <c r="AC55" s="18"/>
    </row>
    <row r="56" spans="23:29" customFormat="1" x14ac:dyDescent="0.25">
      <c r="W56" s="37"/>
      <c r="X56" s="52"/>
      <c r="Y56" s="52"/>
      <c r="Z56" s="37"/>
      <c r="AA56" s="18"/>
      <c r="AB56" s="18"/>
      <c r="AC56" s="18"/>
    </row>
    <row r="57" spans="23:29" customFormat="1" x14ac:dyDescent="0.25">
      <c r="W57" s="37"/>
      <c r="X57" s="52"/>
      <c r="Y57" s="52"/>
      <c r="Z57" s="37"/>
      <c r="AA57" s="18"/>
      <c r="AB57" s="18"/>
      <c r="AC57" s="18"/>
    </row>
    <row r="58" spans="23:29" customFormat="1" x14ac:dyDescent="0.25">
      <c r="W58" s="37"/>
      <c r="X58" s="52"/>
      <c r="Y58" s="52"/>
      <c r="Z58" s="37"/>
      <c r="AA58" s="18"/>
      <c r="AB58" s="18"/>
      <c r="AC58" s="18"/>
    </row>
    <row r="59" spans="23:29" customFormat="1" x14ac:dyDescent="0.25">
      <c r="W59" s="37"/>
      <c r="X59" s="52"/>
      <c r="Y59" s="52"/>
      <c r="Z59" s="37"/>
      <c r="AA59" s="18"/>
      <c r="AB59" s="18"/>
      <c r="AC59" s="18"/>
    </row>
    <row r="60" spans="23:29" customFormat="1" x14ac:dyDescent="0.25">
      <c r="W60" s="37"/>
      <c r="X60" s="52"/>
      <c r="Y60" s="52"/>
      <c r="Z60" s="37"/>
      <c r="AA60" s="18"/>
      <c r="AB60" s="18"/>
      <c r="AC60" s="18"/>
    </row>
    <row r="61" spans="23:29" customFormat="1" x14ac:dyDescent="0.25">
      <c r="W61" s="37"/>
      <c r="X61" s="52"/>
      <c r="Y61" s="52"/>
      <c r="Z61" s="37"/>
      <c r="AA61" s="18"/>
      <c r="AB61" s="18"/>
      <c r="AC61" s="18"/>
    </row>
    <row r="62" spans="23:29" customFormat="1" x14ac:dyDescent="0.25">
      <c r="W62" s="37"/>
      <c r="X62" s="52"/>
      <c r="Y62" s="52"/>
      <c r="Z62" s="37"/>
      <c r="AA62" s="18"/>
      <c r="AB62" s="18"/>
      <c r="AC62" s="18"/>
    </row>
    <row r="63" spans="23:29" customFormat="1" x14ac:dyDescent="0.25">
      <c r="W63" s="37"/>
      <c r="X63" s="52"/>
      <c r="Y63" s="52"/>
      <c r="Z63" s="37"/>
      <c r="AA63" s="18"/>
      <c r="AB63" s="18"/>
      <c r="AC63" s="18"/>
    </row>
    <row r="64" spans="23:29" customFormat="1" x14ac:dyDescent="0.25">
      <c r="W64" s="37"/>
      <c r="X64" s="52"/>
      <c r="Y64" s="52"/>
      <c r="Z64" s="37"/>
      <c r="AA64" s="18"/>
      <c r="AB64" s="18"/>
      <c r="AC64" s="18"/>
    </row>
    <row r="65" spans="23:29" customFormat="1" x14ac:dyDescent="0.25">
      <c r="W65" s="37"/>
      <c r="X65" s="52"/>
      <c r="Y65" s="52"/>
      <c r="Z65" s="37"/>
      <c r="AA65" s="18"/>
      <c r="AB65" s="18"/>
      <c r="AC65" s="18"/>
    </row>
    <row r="66" spans="23:29" customFormat="1" x14ac:dyDescent="0.25">
      <c r="W66" s="37"/>
      <c r="X66" s="52"/>
      <c r="Y66" s="52"/>
      <c r="Z66" s="37"/>
      <c r="AA66" s="18"/>
      <c r="AB66" s="18"/>
      <c r="AC66" s="18"/>
    </row>
    <row r="67" spans="23:29" customFormat="1" x14ac:dyDescent="0.25">
      <c r="W67" s="37"/>
      <c r="X67" s="52"/>
      <c r="Y67" s="52"/>
      <c r="Z67" s="37"/>
      <c r="AA67" s="18"/>
      <c r="AB67" s="18"/>
      <c r="AC67" s="18"/>
    </row>
    <row r="68" spans="23:29" customFormat="1" x14ac:dyDescent="0.25">
      <c r="W68" s="37"/>
      <c r="X68" s="52"/>
      <c r="Y68" s="52"/>
      <c r="Z68" s="37"/>
      <c r="AA68" s="18"/>
      <c r="AB68" s="18"/>
      <c r="AC68" s="18"/>
    </row>
    <row r="69" spans="23:29" customFormat="1" x14ac:dyDescent="0.25">
      <c r="W69" s="37"/>
      <c r="X69" s="52"/>
      <c r="Y69" s="52"/>
      <c r="Z69" s="37"/>
      <c r="AA69" s="18"/>
      <c r="AB69" s="18"/>
      <c r="AC69" s="18"/>
    </row>
    <row r="70" spans="23:29" customFormat="1" x14ac:dyDescent="0.25">
      <c r="W70" s="37"/>
      <c r="X70" s="52"/>
      <c r="Y70" s="52"/>
      <c r="Z70" s="37"/>
      <c r="AA70" s="18"/>
      <c r="AB70" s="18"/>
      <c r="AC70" s="18"/>
    </row>
    <row r="71" spans="23:29" customFormat="1" x14ac:dyDescent="0.25">
      <c r="W71" s="37"/>
      <c r="X71" s="52"/>
      <c r="Y71" s="52"/>
      <c r="Z71" s="37"/>
      <c r="AA71" s="18"/>
      <c r="AB71" s="18"/>
      <c r="AC71" s="18"/>
    </row>
    <row r="72" spans="23:29" customFormat="1" x14ac:dyDescent="0.25">
      <c r="W72" s="37"/>
      <c r="X72" s="52"/>
      <c r="Y72" s="52"/>
      <c r="Z72" s="37"/>
      <c r="AA72" s="18"/>
      <c r="AB72" s="18"/>
      <c r="AC72" s="18"/>
    </row>
    <row r="73" spans="23:29" customFormat="1" x14ac:dyDescent="0.25">
      <c r="W73" s="37"/>
      <c r="X73" s="52"/>
      <c r="Y73" s="52"/>
      <c r="Z73" s="37"/>
      <c r="AA73" s="18"/>
      <c r="AB73" s="18"/>
      <c r="AC73" s="18"/>
    </row>
    <row r="74" spans="23:29" customFormat="1" x14ac:dyDescent="0.25">
      <c r="W74" s="37"/>
      <c r="X74" s="52"/>
      <c r="Y74" s="52"/>
      <c r="Z74" s="37"/>
      <c r="AA74" s="18"/>
      <c r="AB74" s="18"/>
      <c r="AC74" s="18"/>
    </row>
    <row r="75" spans="23:29" customFormat="1" x14ac:dyDescent="0.25">
      <c r="W75" s="37"/>
      <c r="X75" s="52"/>
      <c r="Y75" s="52"/>
      <c r="Z75" s="37"/>
      <c r="AA75" s="18"/>
      <c r="AB75" s="18"/>
      <c r="AC75" s="18"/>
    </row>
    <row r="76" spans="23:29" customFormat="1" x14ac:dyDescent="0.25">
      <c r="W76" s="37"/>
      <c r="X76" s="52"/>
      <c r="Y76" s="52"/>
      <c r="Z76" s="37"/>
      <c r="AA76" s="18"/>
      <c r="AB76" s="18"/>
      <c r="AC76" s="18"/>
    </row>
    <row r="77" spans="23:29" customFormat="1" x14ac:dyDescent="0.25">
      <c r="W77" s="37"/>
      <c r="X77" s="52"/>
      <c r="Y77" s="52"/>
      <c r="Z77" s="37"/>
      <c r="AA77" s="18"/>
      <c r="AB77" s="18"/>
      <c r="AC77" s="18"/>
    </row>
    <row r="78" spans="23:29" customFormat="1" x14ac:dyDescent="0.25">
      <c r="W78" s="37"/>
      <c r="X78" s="52"/>
      <c r="Y78" s="52"/>
      <c r="Z78" s="37"/>
      <c r="AA78" s="18"/>
      <c r="AB78" s="18"/>
      <c r="AC78" s="18"/>
    </row>
    <row r="79" spans="23:29" customFormat="1" x14ac:dyDescent="0.25">
      <c r="W79" s="37"/>
      <c r="X79" s="52"/>
      <c r="Y79" s="52"/>
      <c r="Z79" s="37"/>
      <c r="AA79" s="18"/>
      <c r="AB79" s="18"/>
      <c r="AC79" s="18"/>
    </row>
    <row r="80" spans="23:29" customFormat="1" x14ac:dyDescent="0.25">
      <c r="W80" s="37"/>
      <c r="X80" s="52"/>
      <c r="Y80" s="52"/>
      <c r="Z80" s="37"/>
      <c r="AA80" s="18"/>
      <c r="AB80" s="18"/>
      <c r="AC80" s="18"/>
    </row>
    <row r="81" spans="23:29" customFormat="1" x14ac:dyDescent="0.25">
      <c r="W81" s="37"/>
      <c r="X81" s="52"/>
      <c r="Y81" s="52"/>
      <c r="Z81" s="37"/>
      <c r="AA81" s="18"/>
      <c r="AB81" s="18"/>
      <c r="AC81" s="18"/>
    </row>
    <row r="82" spans="23:29" customFormat="1" x14ac:dyDescent="0.25">
      <c r="W82" s="37"/>
      <c r="X82" s="52"/>
      <c r="Y82" s="52"/>
      <c r="Z82" s="37"/>
      <c r="AA82" s="18"/>
      <c r="AB82" s="18"/>
      <c r="AC82" s="18"/>
    </row>
    <row r="83" spans="23:29" customFormat="1" x14ac:dyDescent="0.25">
      <c r="W83" s="37"/>
      <c r="X83" s="52"/>
      <c r="Y83" s="52"/>
      <c r="Z83" s="37"/>
      <c r="AA83" s="18"/>
      <c r="AB83" s="18"/>
      <c r="AC83" s="18"/>
    </row>
    <row r="84" spans="23:29" customFormat="1" x14ac:dyDescent="0.25">
      <c r="W84" s="37"/>
      <c r="X84" s="52"/>
      <c r="Y84" s="52"/>
      <c r="Z84" s="37"/>
      <c r="AA84" s="18"/>
      <c r="AB84" s="18"/>
      <c r="AC84" s="18"/>
    </row>
    <row r="85" spans="23:29" customFormat="1" x14ac:dyDescent="0.25">
      <c r="W85" s="37"/>
      <c r="X85" s="52"/>
      <c r="Y85" s="52"/>
      <c r="Z85" s="37"/>
      <c r="AA85" s="18"/>
      <c r="AB85" s="18"/>
      <c r="AC85" s="18"/>
    </row>
    <row r="86" spans="23:29" customFormat="1" x14ac:dyDescent="0.25">
      <c r="W86" s="37"/>
      <c r="X86" s="52"/>
      <c r="Y86" s="52"/>
      <c r="Z86" s="37"/>
      <c r="AA86" s="18"/>
      <c r="AB86" s="18"/>
      <c r="AC86" s="18"/>
    </row>
    <row r="87" spans="23:29" customFormat="1" x14ac:dyDescent="0.25">
      <c r="W87" s="37"/>
      <c r="X87" s="52"/>
      <c r="Y87" s="52"/>
      <c r="Z87" s="37"/>
      <c r="AA87" s="18"/>
      <c r="AB87" s="18"/>
      <c r="AC87" s="18"/>
    </row>
    <row r="88" spans="23:29" customFormat="1" x14ac:dyDescent="0.25">
      <c r="W88" s="37"/>
      <c r="X88" s="52"/>
      <c r="Y88" s="52"/>
      <c r="Z88" s="37"/>
      <c r="AA88" s="18"/>
      <c r="AB88" s="18"/>
      <c r="AC88" s="18"/>
    </row>
    <row r="89" spans="23:29" customFormat="1" x14ac:dyDescent="0.25">
      <c r="W89" s="37"/>
      <c r="X89" s="52"/>
      <c r="Y89" s="52"/>
      <c r="Z89" s="37"/>
      <c r="AA89" s="18"/>
      <c r="AB89" s="18"/>
      <c r="AC89" s="18"/>
    </row>
    <row r="90" spans="23:29" customFormat="1" x14ac:dyDescent="0.25">
      <c r="W90" s="37"/>
      <c r="X90" s="52"/>
      <c r="Y90" s="52"/>
      <c r="Z90" s="37"/>
      <c r="AA90" s="18"/>
      <c r="AB90" s="18"/>
      <c r="AC90" s="18"/>
    </row>
    <row r="91" spans="23:29" customFormat="1" x14ac:dyDescent="0.25">
      <c r="W91" s="37"/>
      <c r="X91" s="52"/>
      <c r="Y91" s="52"/>
      <c r="Z91" s="37"/>
      <c r="AA91" s="18"/>
      <c r="AB91" s="18"/>
      <c r="AC91" s="18"/>
    </row>
    <row r="92" spans="23:29" customFormat="1" x14ac:dyDescent="0.25">
      <c r="W92" s="37"/>
      <c r="X92" s="52"/>
      <c r="Y92" s="52"/>
      <c r="Z92" s="37"/>
      <c r="AA92" s="18"/>
      <c r="AB92" s="18"/>
      <c r="AC92" s="18"/>
    </row>
    <row r="93" spans="23:29" customFormat="1" x14ac:dyDescent="0.25">
      <c r="W93" s="37"/>
      <c r="X93" s="52"/>
      <c r="Y93" s="52"/>
      <c r="Z93" s="37"/>
      <c r="AA93" s="18"/>
      <c r="AB93" s="18"/>
      <c r="AC93" s="18"/>
    </row>
    <row r="94" spans="23:29" customFormat="1" x14ac:dyDescent="0.25">
      <c r="W94" s="37"/>
      <c r="X94" s="52"/>
      <c r="Y94" s="52"/>
      <c r="Z94" s="37"/>
      <c r="AA94" s="18"/>
      <c r="AB94" s="18"/>
      <c r="AC94" s="18"/>
    </row>
    <row r="95" spans="23:29" customFormat="1" x14ac:dyDescent="0.25">
      <c r="W95" s="37"/>
      <c r="X95" s="52"/>
      <c r="Y95" s="52"/>
      <c r="Z95" s="37"/>
      <c r="AA95" s="18"/>
      <c r="AB95" s="18"/>
      <c r="AC95" s="18"/>
    </row>
    <row r="96" spans="23:29" customFormat="1" x14ac:dyDescent="0.25">
      <c r="W96" s="37"/>
      <c r="X96" s="52"/>
      <c r="Y96" s="52"/>
      <c r="Z96" s="37"/>
      <c r="AA96" s="18"/>
      <c r="AB96" s="18"/>
      <c r="AC96" s="18"/>
    </row>
    <row r="97" spans="23:29" customFormat="1" x14ac:dyDescent="0.25">
      <c r="W97" s="37"/>
      <c r="X97" s="52"/>
      <c r="Y97" s="52"/>
      <c r="Z97" s="37"/>
      <c r="AA97" s="18"/>
      <c r="AB97" s="18"/>
      <c r="AC97" s="18"/>
    </row>
    <row r="98" spans="23:29" customFormat="1" x14ac:dyDescent="0.25">
      <c r="W98" s="37"/>
      <c r="X98" s="52"/>
      <c r="Y98" s="52"/>
      <c r="Z98" s="37"/>
      <c r="AA98" s="18"/>
      <c r="AB98" s="18"/>
      <c r="AC98" s="18"/>
    </row>
    <row r="99" spans="23:29" customFormat="1" x14ac:dyDescent="0.25">
      <c r="W99" s="37"/>
      <c r="X99" s="52"/>
      <c r="Y99" s="52"/>
      <c r="Z99" s="37"/>
      <c r="AA99" s="18"/>
      <c r="AB99" s="18"/>
      <c r="AC99" s="18"/>
    </row>
    <row r="100" spans="23:29" customFormat="1" x14ac:dyDescent="0.25">
      <c r="W100" s="37"/>
      <c r="X100" s="52"/>
      <c r="Y100" s="52"/>
      <c r="Z100" s="37"/>
      <c r="AA100" s="18"/>
      <c r="AB100" s="18"/>
      <c r="AC100" s="18"/>
    </row>
    <row r="101" spans="23:29" customFormat="1" x14ac:dyDescent="0.25">
      <c r="W101" s="37"/>
      <c r="X101" s="52"/>
      <c r="Y101" s="52"/>
      <c r="Z101" s="37"/>
      <c r="AA101" s="18"/>
      <c r="AB101" s="18"/>
      <c r="AC101" s="18"/>
    </row>
    <row r="102" spans="23:29" customFormat="1" x14ac:dyDescent="0.25">
      <c r="W102" s="37"/>
      <c r="X102" s="52"/>
      <c r="Y102" s="52"/>
      <c r="Z102" s="37"/>
      <c r="AA102" s="18"/>
      <c r="AB102" s="18"/>
      <c r="AC102" s="18"/>
    </row>
    <row r="103" spans="23:29" customFormat="1" x14ac:dyDescent="0.25">
      <c r="W103" s="37"/>
      <c r="X103" s="52"/>
      <c r="Y103" s="52"/>
      <c r="Z103" s="37"/>
      <c r="AA103" s="18"/>
      <c r="AB103" s="18"/>
      <c r="AC103" s="18"/>
    </row>
    <row r="104" spans="23:29" customFormat="1" x14ac:dyDescent="0.25">
      <c r="W104" s="37"/>
      <c r="X104" s="52"/>
      <c r="Y104" s="52"/>
      <c r="Z104" s="37"/>
      <c r="AA104" s="18"/>
      <c r="AB104" s="18"/>
      <c r="AC104" s="18"/>
    </row>
    <row r="105" spans="23:29" customFormat="1" x14ac:dyDescent="0.25">
      <c r="W105" s="37"/>
      <c r="X105" s="52"/>
      <c r="Y105" s="52"/>
      <c r="Z105" s="37"/>
      <c r="AA105" s="18"/>
      <c r="AB105" s="18"/>
      <c r="AC105" s="18"/>
    </row>
    <row r="106" spans="23:29" customFormat="1" x14ac:dyDescent="0.25">
      <c r="W106" s="37"/>
      <c r="X106" s="52"/>
      <c r="Y106" s="52"/>
      <c r="Z106" s="37"/>
      <c r="AA106" s="18"/>
      <c r="AB106" s="18"/>
      <c r="AC106" s="18"/>
    </row>
    <row r="107" spans="23:29" customFormat="1" x14ac:dyDescent="0.25">
      <c r="W107" s="37"/>
      <c r="X107" s="52"/>
      <c r="Y107" s="52"/>
      <c r="Z107" s="37"/>
      <c r="AA107" s="18"/>
      <c r="AB107" s="18"/>
      <c r="AC107" s="18"/>
    </row>
    <row r="108" spans="23:29" customFormat="1" x14ac:dyDescent="0.25">
      <c r="W108" s="37"/>
      <c r="X108" s="52"/>
      <c r="Y108" s="52"/>
      <c r="Z108" s="37"/>
      <c r="AA108" s="18"/>
      <c r="AB108" s="18"/>
      <c r="AC108" s="18"/>
    </row>
    <row r="109" spans="23:29" customFormat="1" x14ac:dyDescent="0.25">
      <c r="W109" s="37"/>
      <c r="X109" s="52"/>
      <c r="Y109" s="52"/>
      <c r="Z109" s="37"/>
      <c r="AA109" s="18"/>
      <c r="AB109" s="18"/>
      <c r="AC109" s="18"/>
    </row>
    <row r="110" spans="23:29" customFormat="1" x14ac:dyDescent="0.25">
      <c r="W110" s="37"/>
      <c r="X110" s="52"/>
      <c r="Y110" s="52"/>
      <c r="Z110" s="37"/>
      <c r="AA110" s="18"/>
      <c r="AB110" s="18"/>
      <c r="AC110" s="18"/>
    </row>
    <row r="111" spans="23:29" customFormat="1" x14ac:dyDescent="0.25">
      <c r="W111" s="37"/>
      <c r="X111" s="52"/>
      <c r="Y111" s="52"/>
      <c r="Z111" s="37"/>
      <c r="AA111" s="18"/>
      <c r="AB111" s="18"/>
      <c r="AC111" s="18"/>
    </row>
    <row r="112" spans="23:29" customFormat="1" x14ac:dyDescent="0.25">
      <c r="W112" s="37"/>
      <c r="X112" s="52"/>
      <c r="Y112" s="52"/>
      <c r="Z112" s="37"/>
      <c r="AA112" s="18"/>
      <c r="AB112" s="18"/>
      <c r="AC112" s="18"/>
    </row>
    <row r="113" spans="23:29" customFormat="1" x14ac:dyDescent="0.25">
      <c r="W113" s="37"/>
      <c r="X113" s="52"/>
      <c r="Y113" s="52"/>
      <c r="Z113" s="37"/>
      <c r="AA113" s="18"/>
      <c r="AB113" s="18"/>
      <c r="AC113" s="18"/>
    </row>
    <row r="114" spans="23:29" customFormat="1" x14ac:dyDescent="0.25">
      <c r="W114" s="37"/>
      <c r="X114" s="52"/>
      <c r="Y114" s="52"/>
      <c r="Z114" s="37"/>
      <c r="AA114" s="18"/>
      <c r="AB114" s="18"/>
      <c r="AC114" s="18"/>
    </row>
    <row r="115" spans="23:29" customFormat="1" x14ac:dyDescent="0.25">
      <c r="W115" s="37"/>
      <c r="X115" s="52"/>
      <c r="Y115" s="52"/>
      <c r="Z115" s="37"/>
      <c r="AA115" s="18"/>
      <c r="AB115" s="18"/>
      <c r="AC115" s="18"/>
    </row>
    <row r="116" spans="23:29" customFormat="1" x14ac:dyDescent="0.25">
      <c r="W116" s="37"/>
      <c r="X116" s="52"/>
      <c r="Y116" s="52"/>
      <c r="Z116" s="37"/>
      <c r="AA116" s="18"/>
      <c r="AB116" s="18"/>
      <c r="AC116" s="18"/>
    </row>
    <row r="117" spans="23:29" customFormat="1" x14ac:dyDescent="0.25">
      <c r="W117" s="37"/>
      <c r="X117" s="52"/>
      <c r="Y117" s="52"/>
      <c r="Z117" s="37"/>
      <c r="AA117" s="18"/>
      <c r="AB117" s="18"/>
      <c r="AC117" s="18"/>
    </row>
    <row r="118" spans="23:29" customFormat="1" x14ac:dyDescent="0.25">
      <c r="W118" s="37"/>
      <c r="X118" s="52"/>
      <c r="Y118" s="52"/>
      <c r="Z118" s="37"/>
      <c r="AA118" s="18"/>
      <c r="AB118" s="18"/>
      <c r="AC118" s="18"/>
    </row>
    <row r="119" spans="23:29" customFormat="1" x14ac:dyDescent="0.25">
      <c r="W119" s="37"/>
      <c r="X119" s="52"/>
      <c r="Y119" s="52"/>
      <c r="Z119" s="37"/>
      <c r="AA119" s="18"/>
      <c r="AB119" s="18"/>
      <c r="AC119" s="18"/>
    </row>
    <row r="120" spans="23:29" customFormat="1" x14ac:dyDescent="0.25">
      <c r="W120" s="37"/>
      <c r="X120" s="52"/>
      <c r="Y120" s="52"/>
      <c r="Z120" s="37"/>
      <c r="AA120" s="18"/>
      <c r="AB120" s="18"/>
      <c r="AC120" s="18"/>
    </row>
    <row r="121" spans="23:29" customFormat="1" x14ac:dyDescent="0.25">
      <c r="W121" s="37"/>
      <c r="X121" s="52"/>
      <c r="Y121" s="52"/>
      <c r="Z121" s="37"/>
      <c r="AA121" s="18"/>
      <c r="AB121" s="18"/>
      <c r="AC121" s="18"/>
    </row>
    <row r="122" spans="23:29" customFormat="1" x14ac:dyDescent="0.25">
      <c r="W122" s="37"/>
      <c r="X122" s="52"/>
      <c r="Y122" s="52"/>
      <c r="Z122" s="37"/>
      <c r="AA122" s="18"/>
      <c r="AB122" s="18"/>
      <c r="AC122" s="18"/>
    </row>
    <row r="123" spans="23:29" customFormat="1" x14ac:dyDescent="0.25">
      <c r="W123" s="37"/>
      <c r="X123" s="52"/>
      <c r="Y123" s="52"/>
      <c r="Z123" s="37"/>
      <c r="AA123" s="18"/>
      <c r="AB123" s="18"/>
      <c r="AC123" s="18"/>
    </row>
    <row r="124" spans="23:29" customFormat="1" x14ac:dyDescent="0.25">
      <c r="W124" s="37"/>
      <c r="X124" s="52"/>
      <c r="Y124" s="52"/>
      <c r="Z124" s="37"/>
      <c r="AA124" s="18"/>
      <c r="AB124" s="18"/>
      <c r="AC124" s="18"/>
    </row>
    <row r="125" spans="23:29" customFormat="1" x14ac:dyDescent="0.25">
      <c r="W125" s="37"/>
      <c r="X125" s="52"/>
      <c r="Y125" s="52"/>
      <c r="Z125" s="37"/>
      <c r="AA125" s="18"/>
      <c r="AB125" s="18"/>
      <c r="AC125" s="18"/>
    </row>
    <row r="126" spans="23:29" customFormat="1" x14ac:dyDescent="0.25">
      <c r="W126" s="37"/>
      <c r="X126" s="52"/>
      <c r="Y126" s="52"/>
      <c r="Z126" s="37"/>
      <c r="AA126" s="18"/>
      <c r="AB126" s="18"/>
      <c r="AC126" s="18"/>
    </row>
    <row r="127" spans="23:29" customFormat="1" x14ac:dyDescent="0.25">
      <c r="W127" s="37"/>
      <c r="X127" s="52"/>
      <c r="Y127" s="52"/>
      <c r="Z127" s="37"/>
      <c r="AA127" s="18"/>
      <c r="AB127" s="18"/>
      <c r="AC127" s="18"/>
    </row>
    <row r="128" spans="23:29" customFormat="1" x14ac:dyDescent="0.25">
      <c r="W128" s="37"/>
      <c r="X128" s="52"/>
      <c r="Y128" s="52"/>
      <c r="Z128" s="37"/>
      <c r="AA128" s="18"/>
      <c r="AB128" s="18"/>
      <c r="AC128" s="18"/>
    </row>
    <row r="129" spans="23:29" customFormat="1" x14ac:dyDescent="0.25">
      <c r="W129" s="37"/>
      <c r="X129" s="52"/>
      <c r="Y129" s="52"/>
      <c r="Z129" s="37"/>
      <c r="AA129" s="18"/>
      <c r="AB129" s="18"/>
      <c r="AC129" s="18"/>
    </row>
    <row r="130" spans="23:29" customFormat="1" x14ac:dyDescent="0.25">
      <c r="W130" s="37"/>
      <c r="X130" s="52"/>
      <c r="Y130" s="52"/>
      <c r="Z130" s="37"/>
      <c r="AA130" s="18"/>
      <c r="AB130" s="18"/>
      <c r="AC130" s="18"/>
    </row>
    <row r="131" spans="23:29" customFormat="1" x14ac:dyDescent="0.25">
      <c r="W131" s="37"/>
      <c r="X131" s="52"/>
      <c r="Y131" s="52"/>
      <c r="Z131" s="37"/>
      <c r="AA131" s="18"/>
      <c r="AB131" s="18"/>
      <c r="AC131" s="18"/>
    </row>
    <row r="132" spans="23:29" customFormat="1" x14ac:dyDescent="0.25">
      <c r="W132" s="37"/>
      <c r="X132" s="52"/>
      <c r="Y132" s="52"/>
      <c r="Z132" s="37"/>
      <c r="AA132" s="18"/>
      <c r="AB132" s="18"/>
      <c r="AC132" s="18"/>
    </row>
    <row r="133" spans="23:29" customFormat="1" x14ac:dyDescent="0.25">
      <c r="W133" s="37"/>
      <c r="X133" s="52"/>
      <c r="Y133" s="52"/>
      <c r="Z133" s="37"/>
      <c r="AA133" s="18"/>
      <c r="AB133" s="18"/>
      <c r="AC133" s="18"/>
    </row>
    <row r="134" spans="23:29" customFormat="1" x14ac:dyDescent="0.25">
      <c r="W134" s="37"/>
      <c r="X134" s="52"/>
      <c r="Y134" s="52"/>
      <c r="Z134" s="37"/>
      <c r="AA134" s="18"/>
      <c r="AB134" s="18"/>
      <c r="AC134" s="18"/>
    </row>
    <row r="135" spans="23:29" customFormat="1" x14ac:dyDescent="0.25">
      <c r="W135" s="37"/>
      <c r="X135" s="52"/>
      <c r="Y135" s="52"/>
      <c r="Z135" s="37"/>
      <c r="AA135" s="18"/>
      <c r="AB135" s="18"/>
      <c r="AC135" s="18"/>
    </row>
    <row r="136" spans="23:29" customFormat="1" x14ac:dyDescent="0.25">
      <c r="W136" s="37"/>
      <c r="X136" s="52"/>
      <c r="Y136" s="52"/>
      <c r="Z136" s="37"/>
      <c r="AA136" s="18"/>
      <c r="AB136" s="18"/>
      <c r="AC136" s="18"/>
    </row>
    <row r="137" spans="23:29" customFormat="1" x14ac:dyDescent="0.25">
      <c r="W137" s="37"/>
      <c r="X137" s="52"/>
      <c r="Y137" s="52"/>
      <c r="Z137" s="37"/>
      <c r="AA137" s="18"/>
      <c r="AB137" s="18"/>
      <c r="AC137" s="18"/>
    </row>
    <row r="138" spans="23:29" customFormat="1" x14ac:dyDescent="0.25">
      <c r="W138" s="37"/>
      <c r="X138" s="52"/>
      <c r="Y138" s="52"/>
      <c r="Z138" s="37"/>
      <c r="AA138" s="18"/>
      <c r="AB138" s="18"/>
      <c r="AC138" s="18"/>
    </row>
    <row r="139" spans="23:29" customFormat="1" x14ac:dyDescent="0.25">
      <c r="W139" s="37"/>
      <c r="X139" s="52"/>
      <c r="Y139" s="52"/>
      <c r="Z139" s="37"/>
      <c r="AA139" s="18"/>
      <c r="AB139" s="18"/>
      <c r="AC139" s="18"/>
    </row>
    <row r="140" spans="23:29" customFormat="1" x14ac:dyDescent="0.25">
      <c r="W140" s="37"/>
      <c r="X140" s="52"/>
      <c r="Y140" s="52"/>
      <c r="Z140" s="37"/>
      <c r="AA140" s="18"/>
      <c r="AB140" s="18"/>
      <c r="AC140" s="18"/>
    </row>
    <row r="141" spans="23:29" customFormat="1" x14ac:dyDescent="0.25">
      <c r="W141" s="37"/>
      <c r="X141" s="52"/>
      <c r="Y141" s="52"/>
      <c r="Z141" s="37"/>
      <c r="AA141" s="18"/>
      <c r="AB141" s="18"/>
      <c r="AC141" s="18"/>
    </row>
    <row r="142" spans="23:29" customFormat="1" x14ac:dyDescent="0.25">
      <c r="W142" s="37"/>
      <c r="X142" s="52"/>
      <c r="Y142" s="52"/>
      <c r="Z142" s="37"/>
      <c r="AA142" s="18"/>
      <c r="AB142" s="18"/>
      <c r="AC142" s="18"/>
    </row>
    <row r="143" spans="23:29" customFormat="1" x14ac:dyDescent="0.25">
      <c r="W143" s="37"/>
      <c r="X143" s="52"/>
      <c r="Y143" s="52"/>
      <c r="Z143" s="37"/>
      <c r="AA143" s="18"/>
      <c r="AB143" s="18"/>
      <c r="AC143" s="18"/>
    </row>
    <row r="144" spans="23:29" customFormat="1" x14ac:dyDescent="0.25">
      <c r="W144" s="37"/>
      <c r="X144" s="52"/>
      <c r="Y144" s="52"/>
      <c r="Z144" s="37"/>
      <c r="AA144" s="18"/>
      <c r="AB144" s="18"/>
      <c r="AC144" s="18"/>
    </row>
    <row r="145" spans="23:29" customFormat="1" x14ac:dyDescent="0.25">
      <c r="W145" s="37"/>
      <c r="X145" s="52"/>
      <c r="Y145" s="52"/>
      <c r="Z145" s="37"/>
      <c r="AA145" s="18"/>
      <c r="AB145" s="18"/>
      <c r="AC145" s="18"/>
    </row>
    <row r="146" spans="23:29" customFormat="1" x14ac:dyDescent="0.25">
      <c r="W146" s="37"/>
      <c r="X146" s="52"/>
      <c r="Y146" s="52"/>
      <c r="Z146" s="37"/>
      <c r="AA146" s="18"/>
      <c r="AB146" s="18"/>
      <c r="AC146" s="18"/>
    </row>
    <row r="147" spans="23:29" customFormat="1" x14ac:dyDescent="0.25">
      <c r="W147" s="37"/>
      <c r="X147" s="52"/>
      <c r="Y147" s="52"/>
      <c r="Z147" s="37"/>
      <c r="AA147" s="18"/>
      <c r="AB147" s="18"/>
      <c r="AC147" s="18"/>
    </row>
    <row r="148" spans="23:29" customFormat="1" x14ac:dyDescent="0.25">
      <c r="W148" s="37"/>
      <c r="X148" s="52"/>
      <c r="Y148" s="52"/>
      <c r="Z148" s="37"/>
      <c r="AA148" s="18"/>
      <c r="AB148" s="18"/>
      <c r="AC148" s="18"/>
    </row>
    <row r="149" spans="23:29" customFormat="1" x14ac:dyDescent="0.25">
      <c r="W149" s="37"/>
      <c r="X149" s="52"/>
      <c r="Y149" s="52"/>
      <c r="Z149" s="37"/>
      <c r="AA149" s="18"/>
      <c r="AB149" s="18"/>
      <c r="AC149" s="18"/>
    </row>
    <row r="150" spans="23:29" customFormat="1" x14ac:dyDescent="0.25">
      <c r="W150" s="37"/>
      <c r="X150" s="52"/>
      <c r="Y150" s="52"/>
      <c r="Z150" s="37"/>
      <c r="AA150" s="18"/>
      <c r="AB150" s="18"/>
      <c r="AC150" s="18"/>
    </row>
    <row r="151" spans="23:29" customFormat="1" x14ac:dyDescent="0.25">
      <c r="W151" s="37"/>
      <c r="X151" s="52"/>
      <c r="Y151" s="52"/>
      <c r="Z151" s="37"/>
      <c r="AA151" s="18"/>
      <c r="AB151" s="18"/>
      <c r="AC151" s="18"/>
    </row>
    <row r="152" spans="23:29" customFormat="1" x14ac:dyDescent="0.25">
      <c r="W152" s="37"/>
      <c r="X152" s="52"/>
      <c r="Y152" s="52"/>
      <c r="Z152" s="37"/>
      <c r="AA152" s="18"/>
      <c r="AB152" s="18"/>
      <c r="AC152" s="18"/>
    </row>
    <row r="153" spans="23:29" customFormat="1" x14ac:dyDescent="0.25">
      <c r="W153" s="37"/>
      <c r="X153" s="52"/>
      <c r="Y153" s="52"/>
      <c r="Z153" s="37"/>
      <c r="AA153" s="18"/>
      <c r="AB153" s="18"/>
      <c r="AC153" s="18"/>
    </row>
    <row r="154" spans="23:29" customFormat="1" x14ac:dyDescent="0.25">
      <c r="W154" s="37"/>
      <c r="X154" s="52"/>
      <c r="Y154" s="52"/>
      <c r="Z154" s="37"/>
      <c r="AA154" s="18"/>
      <c r="AB154" s="18"/>
      <c r="AC154" s="18"/>
    </row>
    <row r="155" spans="23:29" customFormat="1" x14ac:dyDescent="0.25">
      <c r="W155" s="37"/>
      <c r="X155" s="52"/>
      <c r="Y155" s="52"/>
      <c r="Z155" s="37"/>
      <c r="AA155" s="18"/>
      <c r="AB155" s="18"/>
      <c r="AC155" s="18"/>
    </row>
    <row r="156" spans="23:29" customFormat="1" x14ac:dyDescent="0.25">
      <c r="W156" s="37"/>
      <c r="X156" s="52"/>
      <c r="Y156" s="52"/>
      <c r="Z156" s="37"/>
      <c r="AA156" s="18"/>
      <c r="AB156" s="18"/>
      <c r="AC156" s="18"/>
    </row>
    <row r="157" spans="23:29" customFormat="1" x14ac:dyDescent="0.25">
      <c r="W157" s="37"/>
      <c r="X157" s="52"/>
      <c r="Y157" s="52"/>
      <c r="Z157" s="37"/>
      <c r="AA157" s="18"/>
      <c r="AB157" s="18"/>
      <c r="AC157" s="18"/>
    </row>
    <row r="158" spans="23:29" customFormat="1" x14ac:dyDescent="0.25">
      <c r="W158" s="37"/>
      <c r="X158" s="52"/>
      <c r="Y158" s="52"/>
      <c r="Z158" s="37"/>
      <c r="AA158" s="18"/>
      <c r="AB158" s="18"/>
      <c r="AC158" s="18"/>
    </row>
    <row r="159" spans="23:29" customFormat="1" x14ac:dyDescent="0.25">
      <c r="W159" s="37"/>
      <c r="X159" s="52"/>
      <c r="Y159" s="52"/>
      <c r="Z159" s="37"/>
      <c r="AA159" s="18"/>
      <c r="AB159" s="18"/>
      <c r="AC159" s="18"/>
    </row>
    <row r="160" spans="23:29" customFormat="1" x14ac:dyDescent="0.25">
      <c r="W160" s="37"/>
      <c r="X160" s="52"/>
      <c r="Y160" s="52"/>
      <c r="Z160" s="37"/>
      <c r="AA160" s="18"/>
      <c r="AB160" s="18"/>
      <c r="AC160" s="18"/>
    </row>
    <row r="161" spans="23:29" customFormat="1" x14ac:dyDescent="0.25">
      <c r="W161" s="37"/>
      <c r="X161" s="52"/>
      <c r="Y161" s="52"/>
      <c r="Z161" s="37"/>
      <c r="AA161" s="18"/>
      <c r="AB161" s="18"/>
      <c r="AC161" s="18"/>
    </row>
    <row r="162" spans="23:29" customFormat="1" x14ac:dyDescent="0.25">
      <c r="W162" s="37"/>
      <c r="X162" s="52"/>
      <c r="Y162" s="52"/>
      <c r="Z162" s="37"/>
      <c r="AA162" s="18"/>
      <c r="AB162" s="18"/>
      <c r="AC162" s="18"/>
    </row>
    <row r="163" spans="23:29" customFormat="1" x14ac:dyDescent="0.25">
      <c r="W163" s="37"/>
      <c r="X163" s="52"/>
      <c r="Y163" s="52"/>
      <c r="Z163" s="37"/>
      <c r="AA163" s="18"/>
      <c r="AB163" s="18"/>
      <c r="AC163" s="18"/>
    </row>
    <row r="164" spans="23:29" customFormat="1" x14ac:dyDescent="0.25">
      <c r="W164" s="37"/>
      <c r="X164" s="52"/>
      <c r="Y164" s="52"/>
      <c r="Z164" s="37"/>
      <c r="AA164" s="18"/>
      <c r="AB164" s="18"/>
      <c r="AC164" s="18"/>
    </row>
    <row r="165" spans="23:29" customFormat="1" x14ac:dyDescent="0.25">
      <c r="W165" s="37"/>
      <c r="X165" s="52"/>
      <c r="Y165" s="52"/>
      <c r="Z165" s="37"/>
      <c r="AA165" s="18"/>
      <c r="AB165" s="18"/>
      <c r="AC165" s="18"/>
    </row>
    <row r="166" spans="23:29" customFormat="1" x14ac:dyDescent="0.25">
      <c r="W166" s="37"/>
      <c r="X166" s="52"/>
      <c r="Y166" s="52"/>
      <c r="Z166" s="37"/>
      <c r="AA166" s="18"/>
      <c r="AB166" s="18"/>
      <c r="AC166" s="18"/>
    </row>
    <row r="167" spans="23:29" customFormat="1" x14ac:dyDescent="0.25">
      <c r="W167" s="37"/>
      <c r="X167" s="52"/>
      <c r="Y167" s="52"/>
      <c r="Z167" s="37"/>
      <c r="AA167" s="18"/>
      <c r="AB167" s="18"/>
      <c r="AC167" s="18"/>
    </row>
    <row r="168" spans="23:29" customFormat="1" x14ac:dyDescent="0.25">
      <c r="W168" s="37"/>
      <c r="X168" s="52"/>
      <c r="Y168" s="52"/>
      <c r="Z168" s="37"/>
      <c r="AA168" s="18"/>
      <c r="AB168" s="18"/>
      <c r="AC168" s="18"/>
    </row>
    <row r="169" spans="23:29" customFormat="1" x14ac:dyDescent="0.25">
      <c r="W169" s="37"/>
      <c r="X169" s="52"/>
      <c r="Y169" s="52"/>
      <c r="Z169" s="37"/>
      <c r="AA169" s="18"/>
      <c r="AB169" s="18"/>
      <c r="AC169" s="18"/>
    </row>
    <row r="170" spans="23:29" customFormat="1" x14ac:dyDescent="0.25">
      <c r="W170" s="37"/>
      <c r="X170" s="52"/>
      <c r="Y170" s="52"/>
      <c r="Z170" s="37"/>
      <c r="AA170" s="18"/>
      <c r="AB170" s="18"/>
      <c r="AC170" s="18"/>
    </row>
    <row r="171" spans="23:29" customFormat="1" x14ac:dyDescent="0.25">
      <c r="W171" s="37"/>
      <c r="X171" s="52"/>
      <c r="Y171" s="52"/>
      <c r="Z171" s="37"/>
      <c r="AA171" s="18"/>
      <c r="AB171" s="18"/>
      <c r="AC171" s="18"/>
    </row>
    <row r="172" spans="23:29" customFormat="1" x14ac:dyDescent="0.25">
      <c r="W172" s="37"/>
      <c r="X172" s="52"/>
      <c r="Y172" s="52"/>
      <c r="Z172" s="37"/>
      <c r="AA172" s="18"/>
      <c r="AB172" s="18"/>
      <c r="AC172" s="18"/>
    </row>
    <row r="173" spans="23:29" customFormat="1" x14ac:dyDescent="0.25">
      <c r="W173" s="37"/>
      <c r="X173" s="52"/>
      <c r="Y173" s="52"/>
      <c r="Z173" s="37"/>
      <c r="AA173" s="18"/>
      <c r="AB173" s="18"/>
      <c r="AC173" s="18"/>
    </row>
    <row r="174" spans="23:29" customFormat="1" x14ac:dyDescent="0.25">
      <c r="W174" s="37"/>
      <c r="X174" s="52"/>
      <c r="Y174" s="52"/>
      <c r="Z174" s="37"/>
      <c r="AA174" s="18"/>
      <c r="AB174" s="18"/>
      <c r="AC174" s="18"/>
    </row>
    <row r="175" spans="23:29" customFormat="1" x14ac:dyDescent="0.25">
      <c r="W175" s="37"/>
      <c r="X175" s="52"/>
      <c r="Y175" s="52"/>
      <c r="Z175" s="37"/>
      <c r="AA175" s="18"/>
      <c r="AB175" s="18"/>
      <c r="AC175" s="18"/>
    </row>
    <row r="176" spans="23:29" customFormat="1" x14ac:dyDescent="0.25">
      <c r="W176" s="37"/>
      <c r="X176" s="52"/>
      <c r="Y176" s="52"/>
      <c r="Z176" s="37"/>
      <c r="AA176" s="18"/>
      <c r="AB176" s="18"/>
      <c r="AC176" s="18"/>
    </row>
    <row r="177" spans="23:29" customFormat="1" x14ac:dyDescent="0.25">
      <c r="W177" s="37"/>
      <c r="X177" s="52"/>
      <c r="Y177" s="52"/>
      <c r="Z177" s="37"/>
      <c r="AA177" s="18"/>
      <c r="AB177" s="18"/>
      <c r="AC177" s="18"/>
    </row>
    <row r="178" spans="23:29" customFormat="1" x14ac:dyDescent="0.25">
      <c r="W178" s="37"/>
      <c r="X178" s="52"/>
      <c r="Y178" s="52"/>
      <c r="Z178" s="37"/>
      <c r="AA178" s="18"/>
      <c r="AB178" s="18"/>
      <c r="AC178" s="18"/>
    </row>
    <row r="179" spans="23:29" customFormat="1" x14ac:dyDescent="0.25">
      <c r="W179" s="37"/>
      <c r="X179" s="52"/>
      <c r="Y179" s="52"/>
      <c r="Z179" s="37"/>
      <c r="AA179" s="18"/>
      <c r="AB179" s="18"/>
      <c r="AC179" s="18"/>
    </row>
    <row r="180" spans="23:29" customFormat="1" x14ac:dyDescent="0.25">
      <c r="W180" s="37"/>
      <c r="X180" s="52"/>
      <c r="Y180" s="52"/>
      <c r="Z180" s="37"/>
      <c r="AA180" s="18"/>
      <c r="AB180" s="18"/>
      <c r="AC180" s="18"/>
    </row>
    <row r="181" spans="23:29" customFormat="1" x14ac:dyDescent="0.25">
      <c r="W181" s="37"/>
      <c r="X181" s="52"/>
      <c r="Y181" s="52"/>
      <c r="Z181" s="37"/>
      <c r="AA181" s="18"/>
      <c r="AB181" s="18"/>
      <c r="AC181" s="18"/>
    </row>
    <row r="182" spans="23:29" customFormat="1" x14ac:dyDescent="0.25">
      <c r="W182" s="37"/>
      <c r="X182" s="52"/>
      <c r="Y182" s="52"/>
      <c r="Z182" s="37"/>
      <c r="AA182" s="18"/>
      <c r="AB182" s="18"/>
      <c r="AC182" s="18"/>
    </row>
    <row r="183" spans="23:29" customFormat="1" x14ac:dyDescent="0.25">
      <c r="W183" s="37"/>
      <c r="X183" s="52"/>
      <c r="Y183" s="52"/>
      <c r="Z183" s="37"/>
      <c r="AA183" s="18"/>
      <c r="AB183" s="18"/>
      <c r="AC183" s="18"/>
    </row>
    <row r="184" spans="23:29" customFormat="1" x14ac:dyDescent="0.25">
      <c r="W184" s="37"/>
      <c r="X184" s="52"/>
      <c r="Y184" s="52"/>
      <c r="Z184" s="37"/>
      <c r="AA184" s="18"/>
      <c r="AB184" s="18"/>
      <c r="AC184" s="18"/>
    </row>
    <row r="185" spans="23:29" customFormat="1" x14ac:dyDescent="0.25">
      <c r="W185" s="37"/>
      <c r="X185" s="52"/>
      <c r="Y185" s="52"/>
      <c r="Z185" s="37"/>
      <c r="AA185" s="18"/>
      <c r="AB185" s="18"/>
      <c r="AC185" s="18"/>
    </row>
    <row r="186" spans="23:29" customFormat="1" x14ac:dyDescent="0.25">
      <c r="W186" s="37"/>
      <c r="X186" s="52"/>
      <c r="Y186" s="52"/>
      <c r="Z186" s="37"/>
      <c r="AA186" s="18"/>
      <c r="AB186" s="18"/>
      <c r="AC186" s="18"/>
    </row>
    <row r="187" spans="23:29" customFormat="1" x14ac:dyDescent="0.25">
      <c r="W187" s="37"/>
      <c r="X187" s="52"/>
      <c r="Y187" s="52"/>
      <c r="Z187" s="37"/>
      <c r="AA187" s="18"/>
      <c r="AB187" s="18"/>
      <c r="AC187" s="18"/>
    </row>
    <row r="188" spans="23:29" customFormat="1" x14ac:dyDescent="0.25">
      <c r="W188" s="37"/>
      <c r="X188" s="52"/>
      <c r="Y188" s="52"/>
      <c r="Z188" s="37"/>
      <c r="AA188" s="18"/>
      <c r="AB188" s="18"/>
      <c r="AC188" s="18"/>
    </row>
    <row r="189" spans="23:29" customFormat="1" x14ac:dyDescent="0.25">
      <c r="W189" s="37"/>
      <c r="X189" s="52"/>
      <c r="Y189" s="52"/>
      <c r="Z189" s="37"/>
      <c r="AA189" s="18"/>
      <c r="AB189" s="18"/>
      <c r="AC189" s="18"/>
    </row>
    <row r="190" spans="23:29" customFormat="1" x14ac:dyDescent="0.25">
      <c r="W190" s="37"/>
      <c r="X190" s="52"/>
      <c r="Y190" s="52"/>
      <c r="Z190" s="37"/>
      <c r="AA190" s="18"/>
      <c r="AB190" s="18"/>
      <c r="AC190" s="18"/>
    </row>
    <row r="191" spans="23:29" customFormat="1" x14ac:dyDescent="0.25">
      <c r="W191" s="37"/>
      <c r="X191" s="52"/>
      <c r="Y191" s="52"/>
      <c r="Z191" s="37"/>
      <c r="AA191" s="18"/>
      <c r="AB191" s="18"/>
      <c r="AC191" s="18"/>
    </row>
    <row r="192" spans="23:29" customFormat="1" x14ac:dyDescent="0.25">
      <c r="W192" s="37"/>
      <c r="X192" s="52"/>
      <c r="Y192" s="52"/>
      <c r="Z192" s="37"/>
      <c r="AA192" s="18"/>
      <c r="AB192" s="18"/>
      <c r="AC192" s="18"/>
    </row>
    <row r="193" spans="23:29" customFormat="1" x14ac:dyDescent="0.25">
      <c r="W193" s="37"/>
      <c r="X193" s="52"/>
      <c r="Y193" s="52"/>
      <c r="Z193" s="37"/>
      <c r="AA193" s="18"/>
      <c r="AB193" s="18"/>
      <c r="AC193" s="18"/>
    </row>
    <row r="194" spans="23:29" customFormat="1" x14ac:dyDescent="0.25">
      <c r="W194" s="37"/>
      <c r="X194" s="52"/>
      <c r="Y194" s="52"/>
      <c r="Z194" s="37"/>
      <c r="AA194" s="18"/>
      <c r="AB194" s="18"/>
      <c r="AC194" s="18"/>
    </row>
    <row r="195" spans="23:29" customFormat="1" x14ac:dyDescent="0.25">
      <c r="W195" s="37"/>
      <c r="X195" s="52"/>
      <c r="Y195" s="52"/>
      <c r="Z195" s="37"/>
      <c r="AA195" s="18"/>
      <c r="AB195" s="18"/>
      <c r="AC195" s="18"/>
    </row>
    <row r="196" spans="23:29" customFormat="1" x14ac:dyDescent="0.25">
      <c r="W196" s="37"/>
      <c r="X196" s="52"/>
      <c r="Y196" s="52"/>
      <c r="Z196" s="37"/>
      <c r="AA196" s="18"/>
      <c r="AB196" s="18"/>
      <c r="AC196" s="18"/>
    </row>
    <row r="197" spans="23:29" customFormat="1" x14ac:dyDescent="0.25">
      <c r="W197" s="37"/>
      <c r="X197" s="52"/>
      <c r="Y197" s="52"/>
      <c r="Z197" s="37"/>
      <c r="AA197" s="18"/>
      <c r="AB197" s="18"/>
      <c r="AC197" s="18"/>
    </row>
    <row r="198" spans="23:29" customFormat="1" x14ac:dyDescent="0.25">
      <c r="W198" s="37"/>
      <c r="X198" s="52"/>
      <c r="Y198" s="52"/>
      <c r="Z198" s="37"/>
      <c r="AA198" s="18"/>
      <c r="AB198" s="18"/>
      <c r="AC198" s="18"/>
    </row>
    <row r="199" spans="23:29" customFormat="1" x14ac:dyDescent="0.25">
      <c r="W199" s="37"/>
      <c r="X199" s="52"/>
      <c r="Y199" s="52"/>
      <c r="Z199" s="37"/>
      <c r="AA199" s="18"/>
      <c r="AB199" s="18"/>
      <c r="AC199" s="18"/>
    </row>
    <row r="200" spans="23:29" customFormat="1" x14ac:dyDescent="0.25">
      <c r="W200" s="37"/>
      <c r="X200" s="52"/>
      <c r="Y200" s="52"/>
      <c r="Z200" s="37"/>
      <c r="AA200" s="18"/>
      <c r="AB200" s="18"/>
      <c r="AC200" s="18"/>
    </row>
    <row r="201" spans="23:29" customFormat="1" x14ac:dyDescent="0.25">
      <c r="W201" s="37"/>
      <c r="X201" s="52"/>
      <c r="Y201" s="52"/>
      <c r="Z201" s="37"/>
      <c r="AA201" s="18"/>
      <c r="AB201" s="18"/>
      <c r="AC201" s="18"/>
    </row>
    <row r="202" spans="23:29" customFormat="1" x14ac:dyDescent="0.25">
      <c r="W202" s="37"/>
      <c r="X202" s="52"/>
      <c r="Y202" s="52"/>
      <c r="Z202" s="37"/>
      <c r="AA202" s="18"/>
      <c r="AB202" s="18"/>
      <c r="AC202" s="18"/>
    </row>
    <row r="203" spans="23:29" customFormat="1" x14ac:dyDescent="0.25">
      <c r="W203" s="37"/>
      <c r="X203" s="52"/>
      <c r="Y203" s="52"/>
      <c r="Z203" s="37"/>
      <c r="AA203" s="18"/>
      <c r="AB203" s="18"/>
      <c r="AC203" s="18"/>
    </row>
    <row r="204" spans="23:29" customFormat="1" x14ac:dyDescent="0.25">
      <c r="W204" s="37"/>
      <c r="X204" s="52"/>
      <c r="Y204" s="52"/>
      <c r="Z204" s="37"/>
      <c r="AA204" s="18"/>
      <c r="AB204" s="18"/>
      <c r="AC204" s="18"/>
    </row>
    <row r="205" spans="23:29" customFormat="1" x14ac:dyDescent="0.25">
      <c r="W205" s="37"/>
      <c r="X205" s="52"/>
      <c r="Y205" s="52"/>
      <c r="Z205" s="37"/>
      <c r="AA205" s="18"/>
      <c r="AB205" s="18"/>
      <c r="AC205" s="18"/>
    </row>
    <row r="206" spans="23:29" customFormat="1" x14ac:dyDescent="0.25">
      <c r="W206" s="37"/>
      <c r="X206" s="52"/>
      <c r="Y206" s="52"/>
      <c r="Z206" s="37"/>
      <c r="AA206" s="18"/>
      <c r="AB206" s="18"/>
      <c r="AC206" s="18"/>
    </row>
    <row r="207" spans="23:29" customFormat="1" x14ac:dyDescent="0.25">
      <c r="W207" s="37"/>
      <c r="X207" s="52"/>
      <c r="Y207" s="52"/>
      <c r="Z207" s="37"/>
      <c r="AA207" s="18"/>
      <c r="AB207" s="18"/>
      <c r="AC207" s="18"/>
    </row>
    <row r="208" spans="23:29" customFormat="1" x14ac:dyDescent="0.25">
      <c r="W208" s="37"/>
      <c r="X208" s="52"/>
      <c r="Y208" s="52"/>
      <c r="Z208" s="37"/>
      <c r="AA208" s="18"/>
      <c r="AB208" s="18"/>
      <c r="AC208" s="18"/>
    </row>
    <row r="209" spans="23:29" customFormat="1" x14ac:dyDescent="0.25">
      <c r="W209" s="37"/>
      <c r="X209" s="52"/>
      <c r="Y209" s="52"/>
      <c r="Z209" s="37"/>
      <c r="AA209" s="18"/>
      <c r="AB209" s="18"/>
      <c r="AC209" s="18"/>
    </row>
    <row r="210" spans="23:29" customFormat="1" x14ac:dyDescent="0.25">
      <c r="W210" s="37"/>
      <c r="X210" s="52"/>
      <c r="Y210" s="52"/>
      <c r="Z210" s="37"/>
      <c r="AA210" s="18"/>
      <c r="AB210" s="18"/>
      <c r="AC210" s="18"/>
    </row>
    <row r="211" spans="23:29" customFormat="1" x14ac:dyDescent="0.25">
      <c r="W211" s="37"/>
      <c r="X211" s="52"/>
      <c r="Y211" s="52"/>
      <c r="Z211" s="37"/>
      <c r="AA211" s="18"/>
      <c r="AB211" s="18"/>
      <c r="AC211" s="18"/>
    </row>
    <row r="212" spans="23:29" customFormat="1" x14ac:dyDescent="0.25">
      <c r="W212" s="37"/>
      <c r="X212" s="52"/>
      <c r="Y212" s="52"/>
      <c r="Z212" s="37"/>
      <c r="AA212" s="18"/>
      <c r="AB212" s="18"/>
      <c r="AC212" s="18"/>
    </row>
    <row r="213" spans="23:29" customFormat="1" x14ac:dyDescent="0.25">
      <c r="W213" s="37"/>
      <c r="X213" s="52"/>
      <c r="Y213" s="52"/>
      <c r="Z213" s="37"/>
      <c r="AA213" s="18"/>
      <c r="AB213" s="18"/>
      <c r="AC213" s="18"/>
    </row>
    <row r="214" spans="23:29" customFormat="1" x14ac:dyDescent="0.25">
      <c r="W214" s="37"/>
      <c r="X214" s="52"/>
      <c r="Y214" s="52"/>
      <c r="Z214" s="37"/>
      <c r="AA214" s="18"/>
      <c r="AB214" s="18"/>
      <c r="AC214" s="18"/>
    </row>
    <row r="215" spans="23:29" customFormat="1" x14ac:dyDescent="0.25">
      <c r="W215" s="37"/>
      <c r="X215" s="52"/>
      <c r="Y215" s="52"/>
      <c r="Z215" s="37"/>
      <c r="AA215" s="18"/>
      <c r="AB215" s="18"/>
      <c r="AC215" s="18"/>
    </row>
    <row r="216" spans="23:29" customFormat="1" x14ac:dyDescent="0.25">
      <c r="W216" s="37"/>
      <c r="X216" s="52"/>
      <c r="Y216" s="52"/>
      <c r="Z216" s="37"/>
      <c r="AA216" s="18"/>
      <c r="AB216" s="18"/>
      <c r="AC216" s="18"/>
    </row>
    <row r="217" spans="23:29" customFormat="1" x14ac:dyDescent="0.25">
      <c r="W217" s="37"/>
      <c r="X217" s="52"/>
      <c r="Y217" s="52"/>
      <c r="Z217" s="37"/>
      <c r="AA217" s="18"/>
      <c r="AB217" s="18"/>
      <c r="AC217" s="18"/>
    </row>
    <row r="218" spans="23:29" customFormat="1" x14ac:dyDescent="0.25">
      <c r="W218" s="37"/>
      <c r="X218" s="52"/>
      <c r="Y218" s="52"/>
      <c r="Z218" s="37"/>
      <c r="AA218" s="18"/>
      <c r="AB218" s="18"/>
      <c r="AC218" s="18"/>
    </row>
    <row r="219" spans="23:29" customFormat="1" x14ac:dyDescent="0.25">
      <c r="W219" s="37"/>
      <c r="X219" s="52"/>
      <c r="Y219" s="52"/>
      <c r="Z219" s="37"/>
      <c r="AA219" s="18"/>
      <c r="AB219" s="18"/>
      <c r="AC219" s="18"/>
    </row>
    <row r="220" spans="23:29" customFormat="1" x14ac:dyDescent="0.25">
      <c r="W220" s="37"/>
      <c r="X220" s="52"/>
      <c r="Y220" s="52"/>
      <c r="Z220" s="37"/>
      <c r="AA220" s="18"/>
      <c r="AB220" s="18"/>
      <c r="AC220" s="18"/>
    </row>
    <row r="221" spans="23:29" customFormat="1" x14ac:dyDescent="0.25">
      <c r="W221" s="37"/>
      <c r="X221" s="52"/>
      <c r="Y221" s="52"/>
      <c r="Z221" s="37"/>
      <c r="AA221" s="18"/>
      <c r="AB221" s="18"/>
      <c r="AC221" s="18"/>
    </row>
    <row r="222" spans="23:29" customFormat="1" x14ac:dyDescent="0.25">
      <c r="W222" s="37"/>
      <c r="X222" s="52"/>
      <c r="Y222" s="52"/>
      <c r="Z222" s="37"/>
      <c r="AA222" s="18"/>
      <c r="AB222" s="18"/>
      <c r="AC222" s="18"/>
    </row>
    <row r="223" spans="23:29" customFormat="1" x14ac:dyDescent="0.25">
      <c r="W223" s="37"/>
      <c r="X223" s="52"/>
      <c r="Y223" s="52"/>
      <c r="Z223" s="37"/>
      <c r="AA223" s="18"/>
      <c r="AB223" s="18"/>
      <c r="AC223" s="18"/>
    </row>
    <row r="224" spans="23:29" customFormat="1" x14ac:dyDescent="0.25">
      <c r="W224" s="37"/>
      <c r="X224" s="52"/>
      <c r="Y224" s="52"/>
      <c r="Z224" s="37"/>
      <c r="AA224" s="18"/>
      <c r="AB224" s="18"/>
      <c r="AC224" s="18"/>
    </row>
    <row r="225" spans="23:29" customFormat="1" x14ac:dyDescent="0.25">
      <c r="W225" s="37"/>
      <c r="X225" s="52"/>
      <c r="Y225" s="52"/>
      <c r="Z225" s="37"/>
      <c r="AA225" s="18"/>
      <c r="AB225" s="18"/>
      <c r="AC225" s="18"/>
    </row>
    <row r="226" spans="23:29" customFormat="1" x14ac:dyDescent="0.25">
      <c r="W226" s="37"/>
      <c r="X226" s="52"/>
      <c r="Y226" s="52"/>
      <c r="Z226" s="37"/>
      <c r="AA226" s="18"/>
      <c r="AB226" s="18"/>
      <c r="AC226" s="18"/>
    </row>
    <row r="227" spans="23:29" customFormat="1" x14ac:dyDescent="0.25">
      <c r="W227" s="37"/>
      <c r="X227" s="52"/>
      <c r="Y227" s="52"/>
      <c r="Z227" s="37"/>
      <c r="AA227" s="18"/>
      <c r="AB227" s="18"/>
      <c r="AC227" s="18"/>
    </row>
    <row r="228" spans="23:29" customFormat="1" x14ac:dyDescent="0.25">
      <c r="W228" s="37"/>
      <c r="X228" s="52"/>
      <c r="Y228" s="52"/>
      <c r="Z228" s="37"/>
      <c r="AA228" s="18"/>
      <c r="AB228" s="18"/>
      <c r="AC228" s="18"/>
    </row>
    <row r="229" spans="23:29" customFormat="1" x14ac:dyDescent="0.25">
      <c r="W229" s="37"/>
      <c r="X229" s="52"/>
      <c r="Y229" s="52"/>
      <c r="Z229" s="37"/>
      <c r="AA229" s="18"/>
      <c r="AB229" s="18"/>
      <c r="AC229" s="18"/>
    </row>
    <row r="230" spans="23:29" customFormat="1" x14ac:dyDescent="0.25">
      <c r="W230" s="37"/>
      <c r="X230" s="52"/>
      <c r="Y230" s="52"/>
      <c r="Z230" s="37"/>
      <c r="AA230" s="18"/>
      <c r="AB230" s="18"/>
      <c r="AC230" s="18"/>
    </row>
    <row r="231" spans="23:29" customFormat="1" x14ac:dyDescent="0.25">
      <c r="W231" s="37"/>
      <c r="X231" s="52"/>
      <c r="Y231" s="52"/>
      <c r="Z231" s="37"/>
      <c r="AA231" s="18"/>
      <c r="AB231" s="18"/>
      <c r="AC231" s="18"/>
    </row>
    <row r="232" spans="23:29" customFormat="1" x14ac:dyDescent="0.25">
      <c r="W232" s="37"/>
      <c r="X232" s="52"/>
      <c r="Y232" s="52"/>
      <c r="Z232" s="37"/>
      <c r="AA232" s="18"/>
      <c r="AB232" s="18"/>
      <c r="AC232" s="18"/>
    </row>
    <row r="233" spans="23:29" customFormat="1" x14ac:dyDescent="0.25">
      <c r="W233" s="37"/>
      <c r="X233" s="52"/>
      <c r="Y233" s="52"/>
      <c r="Z233" s="37"/>
      <c r="AA233" s="18"/>
      <c r="AB233" s="18"/>
      <c r="AC233" s="18"/>
    </row>
    <row r="234" spans="23:29" customFormat="1" x14ac:dyDescent="0.25">
      <c r="W234" s="37"/>
      <c r="X234" s="52"/>
      <c r="Y234" s="52"/>
      <c r="Z234" s="37"/>
      <c r="AA234" s="18"/>
      <c r="AB234" s="18"/>
      <c r="AC234" s="18"/>
    </row>
    <row r="235" spans="23:29" customFormat="1" x14ac:dyDescent="0.25">
      <c r="W235" s="37"/>
      <c r="X235" s="52"/>
      <c r="Y235" s="52"/>
      <c r="Z235" s="37"/>
      <c r="AA235" s="18"/>
      <c r="AB235" s="18"/>
      <c r="AC235" s="18"/>
    </row>
    <row r="236" spans="23:29" customFormat="1" x14ac:dyDescent="0.25">
      <c r="W236" s="37"/>
      <c r="X236" s="52"/>
      <c r="Y236" s="52"/>
      <c r="Z236" s="37"/>
      <c r="AA236" s="18"/>
      <c r="AB236" s="18"/>
      <c r="AC236" s="18"/>
    </row>
    <row r="237" spans="23:29" customFormat="1" x14ac:dyDescent="0.25">
      <c r="W237" s="37"/>
      <c r="X237" s="52"/>
      <c r="Y237" s="52"/>
      <c r="Z237" s="37"/>
      <c r="AA237" s="18"/>
      <c r="AB237" s="18"/>
      <c r="AC237" s="18"/>
    </row>
    <row r="238" spans="23:29" customFormat="1" x14ac:dyDescent="0.25">
      <c r="W238" s="37"/>
      <c r="X238" s="52"/>
      <c r="Y238" s="52"/>
      <c r="Z238" s="37"/>
      <c r="AA238" s="18"/>
      <c r="AB238" s="18"/>
      <c r="AC238" s="18"/>
    </row>
    <row r="239" spans="23:29" customFormat="1" x14ac:dyDescent="0.25">
      <c r="W239" s="37"/>
      <c r="X239" s="52"/>
      <c r="Y239" s="52"/>
      <c r="Z239" s="37"/>
      <c r="AA239" s="18"/>
      <c r="AB239" s="18"/>
      <c r="AC239" s="18"/>
    </row>
    <row r="240" spans="23:29" customFormat="1" x14ac:dyDescent="0.25">
      <c r="W240" s="37"/>
      <c r="X240" s="52"/>
      <c r="Y240" s="52"/>
      <c r="Z240" s="37"/>
      <c r="AA240" s="18"/>
      <c r="AB240" s="18"/>
      <c r="AC240" s="18"/>
    </row>
    <row r="241" spans="23:29" customFormat="1" x14ac:dyDescent="0.25">
      <c r="W241" s="37"/>
      <c r="X241" s="52"/>
      <c r="Y241" s="52"/>
      <c r="Z241" s="37"/>
      <c r="AA241" s="18"/>
      <c r="AB241" s="18"/>
      <c r="AC241" s="18"/>
    </row>
    <row r="242" spans="23:29" customFormat="1" x14ac:dyDescent="0.25">
      <c r="W242" s="37"/>
      <c r="X242" s="52"/>
      <c r="Y242" s="52"/>
      <c r="Z242" s="37"/>
      <c r="AA242" s="18"/>
      <c r="AB242" s="18"/>
      <c r="AC242" s="18"/>
    </row>
    <row r="243" spans="23:29" customFormat="1" x14ac:dyDescent="0.25">
      <c r="W243" s="37"/>
      <c r="X243" s="52"/>
      <c r="Y243" s="52"/>
      <c r="Z243" s="37"/>
      <c r="AA243" s="18"/>
      <c r="AB243" s="18"/>
      <c r="AC243" s="18"/>
    </row>
    <row r="244" spans="23:29" customFormat="1" x14ac:dyDescent="0.25">
      <c r="W244" s="37"/>
      <c r="X244" s="52"/>
      <c r="Y244" s="52"/>
      <c r="Z244" s="37"/>
      <c r="AA244" s="18"/>
      <c r="AB244" s="18"/>
      <c r="AC244" s="18"/>
    </row>
    <row r="245" spans="23:29" customFormat="1" x14ac:dyDescent="0.25">
      <c r="W245" s="37"/>
      <c r="X245" s="52"/>
      <c r="Y245" s="52"/>
      <c r="Z245" s="37"/>
      <c r="AA245" s="18"/>
      <c r="AB245" s="18"/>
      <c r="AC245" s="18"/>
    </row>
    <row r="246" spans="23:29" customFormat="1" x14ac:dyDescent="0.25">
      <c r="W246" s="37"/>
      <c r="X246" s="52"/>
      <c r="Y246" s="52"/>
      <c r="Z246" s="37"/>
      <c r="AA246" s="18"/>
      <c r="AB246" s="18"/>
      <c r="AC246" s="18"/>
    </row>
    <row r="247" spans="23:29" customFormat="1" x14ac:dyDescent="0.25">
      <c r="W247" s="37"/>
      <c r="X247" s="52"/>
      <c r="Y247" s="52"/>
      <c r="Z247" s="37"/>
      <c r="AA247" s="18"/>
      <c r="AB247" s="18"/>
      <c r="AC247" s="18"/>
    </row>
    <row r="248" spans="23:29" customFormat="1" x14ac:dyDescent="0.25">
      <c r="W248" s="37"/>
      <c r="X248" s="52"/>
      <c r="Y248" s="52"/>
      <c r="Z248" s="37"/>
      <c r="AA248" s="18"/>
      <c r="AB248" s="18"/>
      <c r="AC248" s="18"/>
    </row>
    <row r="249" spans="23:29" customFormat="1" x14ac:dyDescent="0.25">
      <c r="W249" s="37"/>
      <c r="X249" s="52"/>
      <c r="Y249" s="52"/>
      <c r="Z249" s="37"/>
      <c r="AA249" s="18"/>
      <c r="AB249" s="18"/>
      <c r="AC249" s="18"/>
    </row>
    <row r="250" spans="23:29" customFormat="1" x14ac:dyDescent="0.25">
      <c r="W250" s="37"/>
      <c r="X250" s="52"/>
      <c r="Y250" s="52"/>
      <c r="Z250" s="37"/>
      <c r="AA250" s="18"/>
      <c r="AB250" s="18"/>
      <c r="AC250" s="18"/>
    </row>
    <row r="251" spans="23:29" customFormat="1" x14ac:dyDescent="0.25">
      <c r="W251" s="37"/>
      <c r="X251" s="52"/>
      <c r="Y251" s="52"/>
      <c r="Z251" s="37"/>
      <c r="AA251" s="18"/>
      <c r="AB251" s="18"/>
      <c r="AC251" s="18"/>
    </row>
    <row r="252" spans="23:29" customFormat="1" x14ac:dyDescent="0.25">
      <c r="W252" s="37"/>
      <c r="X252" s="52"/>
      <c r="Y252" s="52"/>
      <c r="Z252" s="37"/>
      <c r="AA252" s="18"/>
      <c r="AB252" s="18"/>
      <c r="AC252" s="18"/>
    </row>
    <row r="253" spans="23:29" customFormat="1" x14ac:dyDescent="0.25">
      <c r="W253" s="37"/>
      <c r="X253" s="52"/>
      <c r="Y253" s="52"/>
      <c r="Z253" s="37"/>
      <c r="AA253" s="18"/>
      <c r="AB253" s="18"/>
      <c r="AC253" s="18"/>
    </row>
    <row r="254" spans="23:29" customFormat="1" x14ac:dyDescent="0.25">
      <c r="W254" s="37"/>
      <c r="X254" s="52"/>
      <c r="Y254" s="52"/>
      <c r="Z254" s="37"/>
      <c r="AA254" s="18"/>
      <c r="AB254" s="18"/>
      <c r="AC254" s="18"/>
    </row>
    <row r="255" spans="23:29" customFormat="1" x14ac:dyDescent="0.25">
      <c r="W255" s="37"/>
      <c r="X255" s="52"/>
      <c r="Y255" s="52"/>
      <c r="Z255" s="37"/>
      <c r="AA255" s="18"/>
      <c r="AB255" s="18"/>
      <c r="AC255" s="18"/>
    </row>
    <row r="256" spans="23:29" customFormat="1" x14ac:dyDescent="0.25">
      <c r="W256" s="37"/>
      <c r="X256" s="52"/>
      <c r="Y256" s="52"/>
      <c r="Z256" s="37"/>
      <c r="AA256" s="18"/>
      <c r="AB256" s="18"/>
      <c r="AC256" s="18"/>
    </row>
    <row r="257" spans="23:29" customFormat="1" x14ac:dyDescent="0.25">
      <c r="W257" s="37"/>
      <c r="X257" s="52"/>
      <c r="Y257" s="52"/>
      <c r="Z257" s="37"/>
      <c r="AA257" s="18"/>
      <c r="AB257" s="18"/>
      <c r="AC257" s="18"/>
    </row>
    <row r="258" spans="23:29" customFormat="1" x14ac:dyDescent="0.25">
      <c r="W258" s="37"/>
      <c r="X258" s="52"/>
      <c r="Y258" s="52"/>
      <c r="Z258" s="37"/>
      <c r="AA258" s="18"/>
      <c r="AB258" s="18"/>
      <c r="AC258" s="18"/>
    </row>
    <row r="259" spans="23:29" customFormat="1" x14ac:dyDescent="0.25">
      <c r="W259" s="37"/>
      <c r="X259" s="52"/>
      <c r="Y259" s="52"/>
      <c r="Z259" s="37"/>
      <c r="AA259" s="18"/>
      <c r="AB259" s="18"/>
      <c r="AC259" s="18"/>
    </row>
    <row r="260" spans="23:29" customFormat="1" x14ac:dyDescent="0.25">
      <c r="W260" s="37"/>
      <c r="X260" s="52"/>
      <c r="Y260" s="52"/>
      <c r="Z260" s="37"/>
      <c r="AA260" s="18"/>
      <c r="AB260" s="18"/>
      <c r="AC260" s="18"/>
    </row>
    <row r="261" spans="23:29" customFormat="1" x14ac:dyDescent="0.25">
      <c r="W261" s="37"/>
      <c r="X261" s="52"/>
      <c r="Y261" s="52"/>
      <c r="Z261" s="37"/>
      <c r="AA261" s="18"/>
      <c r="AB261" s="18"/>
      <c r="AC261" s="18"/>
    </row>
    <row r="262" spans="23:29" customFormat="1" x14ac:dyDescent="0.25">
      <c r="W262" s="37"/>
      <c r="X262" s="52"/>
      <c r="Y262" s="52"/>
      <c r="Z262" s="37"/>
      <c r="AA262" s="18"/>
      <c r="AB262" s="18"/>
      <c r="AC262" s="18"/>
    </row>
    <row r="263" spans="23:29" customFormat="1" x14ac:dyDescent="0.25">
      <c r="W263" s="37"/>
      <c r="X263" s="52"/>
      <c r="Y263" s="52"/>
      <c r="Z263" s="37"/>
      <c r="AA263" s="18"/>
      <c r="AB263" s="18"/>
      <c r="AC263" s="18"/>
    </row>
    <row r="264" spans="23:29" customFormat="1" x14ac:dyDescent="0.25">
      <c r="W264" s="37"/>
      <c r="X264" s="52"/>
      <c r="Y264" s="52"/>
      <c r="Z264" s="37"/>
      <c r="AA264" s="18"/>
      <c r="AB264" s="18"/>
      <c r="AC264" s="18"/>
    </row>
    <row r="265" spans="23:29" customFormat="1" x14ac:dyDescent="0.25">
      <c r="W265" s="37"/>
      <c r="X265" s="52"/>
      <c r="Y265" s="52"/>
      <c r="Z265" s="37"/>
      <c r="AA265" s="18"/>
      <c r="AB265" s="18"/>
      <c r="AC265" s="18"/>
    </row>
    <row r="266" spans="23:29" customFormat="1" x14ac:dyDescent="0.25">
      <c r="W266" s="37"/>
      <c r="X266" s="52"/>
      <c r="Y266" s="52"/>
      <c r="Z266" s="37"/>
      <c r="AA266" s="18"/>
      <c r="AB266" s="18"/>
      <c r="AC266" s="18"/>
    </row>
    <row r="267" spans="23:29" customFormat="1" x14ac:dyDescent="0.25">
      <c r="W267" s="37"/>
      <c r="X267" s="52"/>
      <c r="Y267" s="52"/>
      <c r="Z267" s="37"/>
      <c r="AA267" s="18"/>
      <c r="AB267" s="18"/>
      <c r="AC267" s="18"/>
    </row>
    <row r="268" spans="23:29" customFormat="1" x14ac:dyDescent="0.25">
      <c r="W268" s="37"/>
      <c r="X268" s="52"/>
      <c r="Y268" s="52"/>
      <c r="Z268" s="37"/>
      <c r="AA268" s="18"/>
      <c r="AB268" s="18"/>
      <c r="AC268" s="18"/>
    </row>
    <row r="269" spans="23:29" customFormat="1" x14ac:dyDescent="0.25">
      <c r="W269" s="37"/>
      <c r="X269" s="52"/>
      <c r="Y269" s="52"/>
      <c r="Z269" s="37"/>
      <c r="AA269" s="18"/>
      <c r="AB269" s="18"/>
      <c r="AC269" s="18"/>
    </row>
    <row r="270" spans="23:29" customFormat="1" x14ac:dyDescent="0.25">
      <c r="W270" s="37"/>
      <c r="X270" s="52"/>
      <c r="Y270" s="52"/>
      <c r="Z270" s="37"/>
      <c r="AA270" s="18"/>
      <c r="AB270" s="18"/>
      <c r="AC270" s="18"/>
    </row>
    <row r="271" spans="23:29" customFormat="1" x14ac:dyDescent="0.25">
      <c r="W271" s="37"/>
      <c r="X271" s="52"/>
      <c r="Y271" s="52"/>
      <c r="Z271" s="37"/>
      <c r="AA271" s="18"/>
      <c r="AB271" s="18"/>
      <c r="AC271" s="18"/>
    </row>
    <row r="272" spans="23:29" customFormat="1" x14ac:dyDescent="0.25">
      <c r="W272" s="37"/>
      <c r="X272" s="52"/>
      <c r="Y272" s="52"/>
      <c r="Z272" s="37"/>
      <c r="AA272" s="18"/>
      <c r="AB272" s="18"/>
      <c r="AC272" s="18"/>
    </row>
    <row r="273" spans="23:29" customFormat="1" x14ac:dyDescent="0.25">
      <c r="W273" s="37"/>
      <c r="X273" s="52"/>
      <c r="Y273" s="52"/>
      <c r="Z273" s="37"/>
      <c r="AA273" s="18"/>
      <c r="AB273" s="18"/>
      <c r="AC273" s="18"/>
    </row>
    <row r="274" spans="23:29" customFormat="1" x14ac:dyDescent="0.25">
      <c r="W274" s="37"/>
      <c r="X274" s="52"/>
      <c r="Y274" s="52"/>
      <c r="Z274" s="37"/>
      <c r="AA274" s="18"/>
      <c r="AB274" s="18"/>
      <c r="AC274" s="18"/>
    </row>
    <row r="275" spans="23:29" customFormat="1" x14ac:dyDescent="0.25">
      <c r="W275" s="37"/>
      <c r="X275" s="52"/>
      <c r="Y275" s="52"/>
      <c r="Z275" s="37"/>
      <c r="AA275" s="18"/>
      <c r="AB275" s="18"/>
      <c r="AC275" s="18"/>
    </row>
    <row r="276" spans="23:29" customFormat="1" x14ac:dyDescent="0.25">
      <c r="W276" s="37"/>
      <c r="X276" s="52"/>
      <c r="Y276" s="52"/>
      <c r="Z276" s="37"/>
      <c r="AA276" s="18"/>
      <c r="AB276" s="18"/>
      <c r="AC276" s="18"/>
    </row>
    <row r="277" spans="23:29" customFormat="1" x14ac:dyDescent="0.25">
      <c r="W277" s="37"/>
      <c r="X277" s="52"/>
      <c r="Y277" s="52"/>
      <c r="Z277" s="37"/>
      <c r="AA277" s="18"/>
      <c r="AB277" s="18"/>
      <c r="AC277" s="18"/>
    </row>
    <row r="278" spans="23:29" customFormat="1" x14ac:dyDescent="0.25">
      <c r="W278" s="37"/>
      <c r="X278" s="52"/>
      <c r="Y278" s="52"/>
      <c r="Z278" s="37"/>
      <c r="AA278" s="18"/>
      <c r="AB278" s="18"/>
      <c r="AC278" s="18"/>
    </row>
    <row r="279" spans="23:29" customFormat="1" x14ac:dyDescent="0.25">
      <c r="W279" s="37"/>
      <c r="X279" s="52"/>
      <c r="Y279" s="52"/>
      <c r="Z279" s="37"/>
      <c r="AA279" s="18"/>
      <c r="AB279" s="18"/>
      <c r="AC279" s="18"/>
    </row>
    <row r="280" spans="23:29" customFormat="1" x14ac:dyDescent="0.25">
      <c r="W280" s="37"/>
      <c r="X280" s="52"/>
      <c r="Y280" s="52"/>
      <c r="Z280" s="37"/>
      <c r="AA280" s="18"/>
      <c r="AB280" s="18"/>
      <c r="AC280" s="18"/>
    </row>
    <row r="281" spans="23:29" customFormat="1" x14ac:dyDescent="0.25">
      <c r="W281" s="37"/>
      <c r="X281" s="52"/>
      <c r="Y281" s="52"/>
      <c r="Z281" s="37"/>
      <c r="AA281" s="18"/>
      <c r="AB281" s="18"/>
      <c r="AC281" s="18"/>
    </row>
    <row r="282" spans="23:29" customFormat="1" x14ac:dyDescent="0.25">
      <c r="W282" s="37"/>
      <c r="X282" s="52"/>
      <c r="Y282" s="52"/>
      <c r="Z282" s="37"/>
      <c r="AA282" s="18"/>
      <c r="AB282" s="18"/>
      <c r="AC282" s="18"/>
    </row>
    <row r="283" spans="23:29" customFormat="1" x14ac:dyDescent="0.25">
      <c r="W283" s="37"/>
      <c r="X283" s="52"/>
      <c r="Y283" s="52"/>
      <c r="Z283" s="37"/>
      <c r="AA283" s="18"/>
      <c r="AB283" s="18"/>
      <c r="AC283" s="18"/>
    </row>
    <row r="284" spans="23:29" customFormat="1" x14ac:dyDescent="0.25">
      <c r="W284" s="37"/>
      <c r="X284" s="52"/>
      <c r="Y284" s="52"/>
      <c r="Z284" s="37"/>
      <c r="AA284" s="18"/>
      <c r="AB284" s="18"/>
      <c r="AC284" s="18"/>
    </row>
    <row r="285" spans="23:29" customFormat="1" x14ac:dyDescent="0.25">
      <c r="W285" s="37"/>
      <c r="X285" s="52"/>
      <c r="Y285" s="52"/>
      <c r="Z285" s="37"/>
      <c r="AA285" s="18"/>
      <c r="AB285" s="18"/>
      <c r="AC285" s="18"/>
    </row>
    <row r="286" spans="23:29" customFormat="1" x14ac:dyDescent="0.25">
      <c r="W286" s="37"/>
      <c r="X286" s="52"/>
      <c r="Y286" s="52"/>
      <c r="Z286" s="37"/>
      <c r="AA286" s="18"/>
      <c r="AB286" s="18"/>
      <c r="AC286" s="18"/>
    </row>
    <row r="287" spans="23:29" customFormat="1" x14ac:dyDescent="0.25">
      <c r="W287" s="37"/>
      <c r="X287" s="52"/>
      <c r="Y287" s="52"/>
      <c r="Z287" s="37"/>
      <c r="AA287" s="18"/>
      <c r="AB287" s="18"/>
      <c r="AC287" s="18"/>
    </row>
    <row r="288" spans="23:29" customFormat="1" x14ac:dyDescent="0.25">
      <c r="W288" s="37"/>
      <c r="X288" s="52"/>
      <c r="Y288" s="52"/>
      <c r="Z288" s="37"/>
      <c r="AA288" s="18"/>
      <c r="AB288" s="18"/>
      <c r="AC288" s="18"/>
    </row>
    <row r="289" spans="23:29" customFormat="1" x14ac:dyDescent="0.25">
      <c r="W289" s="37"/>
      <c r="X289" s="52"/>
      <c r="Y289" s="52"/>
      <c r="Z289" s="37"/>
      <c r="AA289" s="18"/>
      <c r="AB289" s="18"/>
      <c r="AC289" s="18"/>
    </row>
    <row r="290" spans="23:29" customFormat="1" x14ac:dyDescent="0.25">
      <c r="W290" s="37"/>
      <c r="X290" s="52"/>
      <c r="Y290" s="52"/>
      <c r="Z290" s="37"/>
      <c r="AA290" s="18"/>
      <c r="AB290" s="18"/>
      <c r="AC290" s="18"/>
    </row>
    <row r="291" spans="23:29" customFormat="1" x14ac:dyDescent="0.25">
      <c r="W291" s="37"/>
      <c r="X291" s="52"/>
      <c r="Y291" s="52"/>
      <c r="Z291" s="37"/>
      <c r="AA291" s="18"/>
      <c r="AB291" s="18"/>
      <c r="AC291" s="18"/>
    </row>
    <row r="292" spans="23:29" customFormat="1" x14ac:dyDescent="0.25">
      <c r="W292" s="37"/>
      <c r="X292" s="52"/>
      <c r="Y292" s="52"/>
      <c r="Z292" s="37"/>
      <c r="AA292" s="18"/>
      <c r="AB292" s="18"/>
      <c r="AC292" s="18"/>
    </row>
    <row r="293" spans="23:29" customFormat="1" x14ac:dyDescent="0.25">
      <c r="W293" s="37"/>
      <c r="X293" s="52"/>
      <c r="Y293" s="52"/>
      <c r="Z293" s="37"/>
      <c r="AA293" s="18"/>
      <c r="AB293" s="18"/>
      <c r="AC293" s="18"/>
    </row>
    <row r="294" spans="23:29" customFormat="1" x14ac:dyDescent="0.25">
      <c r="W294" s="37"/>
      <c r="X294" s="52"/>
      <c r="Y294" s="52"/>
      <c r="Z294" s="37"/>
      <c r="AA294" s="18"/>
      <c r="AB294" s="18"/>
      <c r="AC294" s="18"/>
    </row>
    <row r="295" spans="23:29" customFormat="1" x14ac:dyDescent="0.25">
      <c r="W295" s="37"/>
      <c r="X295" s="52"/>
      <c r="Y295" s="52"/>
      <c r="Z295" s="37"/>
      <c r="AA295" s="18"/>
      <c r="AB295" s="18"/>
      <c r="AC295" s="18"/>
    </row>
    <row r="296" spans="23:29" customFormat="1" x14ac:dyDescent="0.25">
      <c r="W296" s="37"/>
      <c r="X296" s="52"/>
      <c r="Y296" s="52"/>
      <c r="Z296" s="37"/>
      <c r="AA296" s="18"/>
      <c r="AB296" s="18"/>
      <c r="AC296" s="18"/>
    </row>
    <row r="297" spans="23:29" customFormat="1" x14ac:dyDescent="0.25">
      <c r="W297" s="37"/>
      <c r="X297" s="52"/>
      <c r="Y297" s="52"/>
      <c r="Z297" s="37"/>
      <c r="AA297" s="18"/>
      <c r="AB297" s="18"/>
      <c r="AC297" s="18"/>
    </row>
    <row r="298" spans="23:29" customFormat="1" x14ac:dyDescent="0.25">
      <c r="W298" s="37"/>
      <c r="X298" s="52"/>
      <c r="Y298" s="52"/>
      <c r="Z298" s="37"/>
      <c r="AA298" s="18"/>
      <c r="AB298" s="18"/>
      <c r="AC298" s="18"/>
    </row>
    <row r="299" spans="23:29" customFormat="1" x14ac:dyDescent="0.25">
      <c r="W299" s="37"/>
      <c r="X299" s="52"/>
      <c r="Y299" s="52"/>
      <c r="Z299" s="37"/>
      <c r="AA299" s="18"/>
      <c r="AB299" s="18"/>
      <c r="AC299" s="18"/>
    </row>
    <row r="300" spans="23:29" customFormat="1" x14ac:dyDescent="0.25">
      <c r="W300" s="37"/>
      <c r="X300" s="52"/>
      <c r="Y300" s="52"/>
      <c r="Z300" s="37"/>
      <c r="AA300" s="18"/>
      <c r="AB300" s="18"/>
      <c r="AC300" s="18"/>
    </row>
    <row r="301" spans="23:29" customFormat="1" x14ac:dyDescent="0.25">
      <c r="W301" s="37"/>
      <c r="X301" s="52"/>
      <c r="Y301" s="52"/>
      <c r="Z301" s="37"/>
      <c r="AA301" s="18"/>
      <c r="AB301" s="18"/>
      <c r="AC301" s="18"/>
    </row>
    <row r="302" spans="23:29" customFormat="1" x14ac:dyDescent="0.25">
      <c r="W302" s="37"/>
      <c r="X302" s="52"/>
      <c r="Y302" s="52"/>
      <c r="Z302" s="37"/>
      <c r="AA302" s="18"/>
      <c r="AB302" s="18"/>
      <c r="AC302" s="18"/>
    </row>
    <row r="303" spans="23:29" customFormat="1" x14ac:dyDescent="0.25">
      <c r="W303" s="37"/>
      <c r="X303" s="52"/>
      <c r="Y303" s="52"/>
      <c r="Z303" s="37"/>
      <c r="AA303" s="18"/>
      <c r="AB303" s="18"/>
      <c r="AC303" s="18"/>
    </row>
    <row r="304" spans="23:29" customFormat="1" x14ac:dyDescent="0.25">
      <c r="W304" s="37"/>
      <c r="X304" s="52"/>
      <c r="Y304" s="52"/>
      <c r="Z304" s="37"/>
      <c r="AA304" s="18"/>
      <c r="AB304" s="18"/>
      <c r="AC304" s="18"/>
    </row>
    <row r="305" spans="23:29" customFormat="1" x14ac:dyDescent="0.25">
      <c r="W305" s="37"/>
      <c r="X305" s="52"/>
      <c r="Y305" s="52"/>
      <c r="Z305" s="37"/>
      <c r="AA305" s="18"/>
      <c r="AB305" s="18"/>
      <c r="AC305" s="18"/>
    </row>
    <row r="306" spans="23:29" customFormat="1" x14ac:dyDescent="0.25">
      <c r="W306" s="37"/>
      <c r="X306" s="52"/>
      <c r="Y306" s="52"/>
      <c r="Z306" s="37"/>
      <c r="AA306" s="18"/>
      <c r="AB306" s="18"/>
      <c r="AC306" s="18"/>
    </row>
    <row r="307" spans="23:29" customFormat="1" x14ac:dyDescent="0.25">
      <c r="W307" s="37"/>
      <c r="X307" s="52"/>
      <c r="Y307" s="52"/>
      <c r="Z307" s="37"/>
      <c r="AA307" s="18"/>
      <c r="AB307" s="18"/>
      <c r="AC307" s="18"/>
    </row>
    <row r="308" spans="23:29" customFormat="1" x14ac:dyDescent="0.25">
      <c r="W308" s="37"/>
      <c r="X308" s="52"/>
      <c r="Y308" s="52"/>
      <c r="Z308" s="37"/>
      <c r="AA308" s="18"/>
      <c r="AB308" s="18"/>
      <c r="AC308" s="18"/>
    </row>
    <row r="309" spans="23:29" customFormat="1" x14ac:dyDescent="0.25">
      <c r="W309" s="37"/>
      <c r="X309" s="52"/>
      <c r="Y309" s="52"/>
      <c r="Z309" s="37"/>
      <c r="AA309" s="18"/>
      <c r="AB309" s="18"/>
      <c r="AC309" s="18"/>
    </row>
    <row r="310" spans="23:29" customFormat="1" x14ac:dyDescent="0.25">
      <c r="W310" s="37"/>
      <c r="X310" s="52"/>
      <c r="Y310" s="52"/>
      <c r="Z310" s="37"/>
      <c r="AA310" s="18"/>
      <c r="AB310" s="18"/>
      <c r="AC310" s="18"/>
    </row>
    <row r="311" spans="23:29" customFormat="1" x14ac:dyDescent="0.25">
      <c r="W311" s="37"/>
      <c r="X311" s="52"/>
      <c r="Y311" s="52"/>
      <c r="Z311" s="37"/>
      <c r="AA311" s="18"/>
      <c r="AB311" s="18"/>
      <c r="AC311" s="18"/>
    </row>
    <row r="312" spans="23:29" customFormat="1" x14ac:dyDescent="0.25">
      <c r="W312" s="37"/>
      <c r="X312" s="52"/>
      <c r="Y312" s="52"/>
      <c r="Z312" s="37"/>
      <c r="AA312" s="18"/>
      <c r="AB312" s="18"/>
      <c r="AC312" s="18"/>
    </row>
    <row r="313" spans="23:29" customFormat="1" x14ac:dyDescent="0.25">
      <c r="W313" s="37"/>
      <c r="X313" s="52"/>
      <c r="Y313" s="52"/>
      <c r="Z313" s="37"/>
      <c r="AA313" s="18"/>
      <c r="AB313" s="18"/>
      <c r="AC313" s="18"/>
    </row>
    <row r="314" spans="23:29" customFormat="1" x14ac:dyDescent="0.25">
      <c r="W314" s="37"/>
      <c r="X314" s="52"/>
      <c r="Y314" s="52"/>
      <c r="Z314" s="37"/>
      <c r="AA314" s="18"/>
      <c r="AB314" s="18"/>
      <c r="AC314" s="18"/>
    </row>
    <row r="315" spans="23:29" customFormat="1" x14ac:dyDescent="0.25">
      <c r="W315" s="37"/>
      <c r="X315" s="52"/>
      <c r="Y315" s="52"/>
      <c r="Z315" s="37"/>
      <c r="AA315" s="18"/>
      <c r="AB315" s="18"/>
      <c r="AC315" s="18"/>
    </row>
    <row r="316" spans="23:29" customFormat="1" x14ac:dyDescent="0.25">
      <c r="W316" s="37"/>
      <c r="X316" s="52"/>
      <c r="Y316" s="52"/>
      <c r="Z316" s="37"/>
      <c r="AA316" s="18"/>
      <c r="AB316" s="18"/>
      <c r="AC316" s="18"/>
    </row>
    <row r="317" spans="23:29" customFormat="1" x14ac:dyDescent="0.25">
      <c r="W317" s="37"/>
      <c r="X317" s="52"/>
      <c r="Y317" s="52"/>
      <c r="Z317" s="37"/>
      <c r="AA317" s="18"/>
      <c r="AB317" s="18"/>
      <c r="AC317" s="18"/>
    </row>
    <row r="318" spans="23:29" customFormat="1" x14ac:dyDescent="0.25">
      <c r="W318" s="37"/>
      <c r="X318" s="52"/>
      <c r="Y318" s="52"/>
      <c r="Z318" s="37"/>
      <c r="AA318" s="18"/>
      <c r="AB318" s="18"/>
      <c r="AC318" s="18"/>
    </row>
    <row r="319" spans="23:29" customFormat="1" x14ac:dyDescent="0.25">
      <c r="W319" s="37"/>
      <c r="X319" s="52"/>
      <c r="Y319" s="52"/>
      <c r="Z319" s="37"/>
      <c r="AA319" s="18"/>
      <c r="AB319" s="18"/>
      <c r="AC319" s="18"/>
    </row>
    <row r="320" spans="23:29" customFormat="1" x14ac:dyDescent="0.25">
      <c r="W320" s="37"/>
      <c r="X320" s="52"/>
      <c r="Y320" s="52"/>
      <c r="Z320" s="37"/>
      <c r="AA320" s="18"/>
      <c r="AB320" s="18"/>
      <c r="AC320" s="18"/>
    </row>
    <row r="321" spans="23:29" customFormat="1" x14ac:dyDescent="0.25">
      <c r="W321" s="37"/>
      <c r="X321" s="52"/>
      <c r="Y321" s="52"/>
      <c r="Z321" s="37"/>
      <c r="AA321" s="18"/>
      <c r="AB321" s="18"/>
      <c r="AC321" s="18"/>
    </row>
    <row r="322" spans="23:29" customFormat="1" x14ac:dyDescent="0.25">
      <c r="W322" s="37"/>
      <c r="X322" s="52"/>
      <c r="Y322" s="52"/>
      <c r="Z322" s="37"/>
      <c r="AA322" s="18"/>
      <c r="AB322" s="18"/>
      <c r="AC322" s="18"/>
    </row>
    <row r="323" spans="23:29" customFormat="1" x14ac:dyDescent="0.25">
      <c r="W323" s="37"/>
      <c r="X323" s="52"/>
      <c r="Y323" s="52"/>
      <c r="Z323" s="37"/>
      <c r="AA323" s="18"/>
      <c r="AB323" s="18"/>
      <c r="AC323" s="18"/>
    </row>
    <row r="324" spans="23:29" customFormat="1" x14ac:dyDescent="0.25">
      <c r="W324" s="37"/>
      <c r="X324" s="52"/>
      <c r="Y324" s="52"/>
      <c r="Z324" s="37"/>
      <c r="AA324" s="18"/>
      <c r="AB324" s="18"/>
      <c r="AC324" s="18"/>
    </row>
    <row r="325" spans="23:29" customFormat="1" x14ac:dyDescent="0.25">
      <c r="W325" s="37"/>
      <c r="X325" s="52"/>
      <c r="Y325" s="52"/>
      <c r="Z325" s="37"/>
      <c r="AA325" s="18"/>
      <c r="AB325" s="18"/>
      <c r="AC325" s="18"/>
    </row>
    <row r="326" spans="23:29" customFormat="1" x14ac:dyDescent="0.25">
      <c r="W326" s="37"/>
      <c r="X326" s="52"/>
      <c r="Y326" s="52"/>
      <c r="Z326" s="37"/>
      <c r="AA326" s="18"/>
      <c r="AB326" s="18"/>
      <c r="AC326" s="18"/>
    </row>
    <row r="327" spans="23:29" customFormat="1" x14ac:dyDescent="0.25">
      <c r="W327" s="37"/>
      <c r="X327" s="52"/>
      <c r="Y327" s="52"/>
      <c r="Z327" s="37"/>
      <c r="AA327" s="18"/>
      <c r="AB327" s="18"/>
      <c r="AC327" s="18"/>
    </row>
    <row r="328" spans="23:29" customFormat="1" x14ac:dyDescent="0.25">
      <c r="W328" s="37"/>
      <c r="X328" s="52"/>
      <c r="Y328" s="52"/>
      <c r="Z328" s="37"/>
      <c r="AA328" s="18"/>
      <c r="AB328" s="18"/>
      <c r="AC328" s="18"/>
    </row>
    <row r="329" spans="23:29" customFormat="1" x14ac:dyDescent="0.25">
      <c r="W329" s="37"/>
      <c r="X329" s="52"/>
      <c r="Y329" s="52"/>
      <c r="Z329" s="37"/>
      <c r="AA329" s="18"/>
      <c r="AB329" s="18"/>
      <c r="AC329" s="18"/>
    </row>
    <row r="330" spans="23:29" customFormat="1" x14ac:dyDescent="0.25">
      <c r="W330" s="37"/>
      <c r="X330" s="52"/>
      <c r="Y330" s="52"/>
      <c r="Z330" s="37"/>
      <c r="AA330" s="18"/>
      <c r="AB330" s="18"/>
      <c r="AC330" s="18"/>
    </row>
    <row r="331" spans="23:29" customFormat="1" x14ac:dyDescent="0.25">
      <c r="W331" s="37"/>
      <c r="X331" s="52"/>
      <c r="Y331" s="52"/>
      <c r="Z331" s="37"/>
      <c r="AA331" s="18"/>
      <c r="AB331" s="18"/>
      <c r="AC331" s="18"/>
    </row>
    <row r="332" spans="23:29" customFormat="1" x14ac:dyDescent="0.25">
      <c r="W332" s="37"/>
      <c r="X332" s="52"/>
      <c r="Y332" s="52"/>
      <c r="Z332" s="37"/>
      <c r="AA332" s="18"/>
      <c r="AB332" s="18"/>
      <c r="AC332" s="18"/>
    </row>
    <row r="333" spans="23:29" customFormat="1" x14ac:dyDescent="0.25">
      <c r="W333" s="37"/>
      <c r="X333" s="52"/>
      <c r="Y333" s="52"/>
      <c r="Z333" s="37"/>
      <c r="AA333" s="18"/>
      <c r="AB333" s="18"/>
      <c r="AC333" s="18"/>
    </row>
    <row r="334" spans="23:29" customFormat="1" x14ac:dyDescent="0.25">
      <c r="W334" s="37"/>
      <c r="X334" s="52"/>
      <c r="Y334" s="52"/>
      <c r="Z334" s="37"/>
      <c r="AA334" s="18"/>
      <c r="AB334" s="18"/>
      <c r="AC334" s="18"/>
    </row>
    <row r="335" spans="23:29" customFormat="1" x14ac:dyDescent="0.25">
      <c r="W335" s="37"/>
      <c r="X335" s="52"/>
      <c r="Y335" s="52"/>
      <c r="Z335" s="37"/>
      <c r="AA335" s="18"/>
      <c r="AB335" s="18"/>
      <c r="AC335" s="18"/>
    </row>
    <row r="336" spans="23:29" customFormat="1" x14ac:dyDescent="0.25">
      <c r="W336" s="37"/>
      <c r="X336" s="52"/>
      <c r="Y336" s="52"/>
      <c r="Z336" s="37"/>
      <c r="AA336" s="18"/>
      <c r="AB336" s="18"/>
      <c r="AC336" s="18"/>
    </row>
    <row r="337" spans="23:29" customFormat="1" x14ac:dyDescent="0.25">
      <c r="W337" s="37"/>
      <c r="X337" s="52"/>
      <c r="Y337" s="52"/>
      <c r="Z337" s="37"/>
      <c r="AA337" s="18"/>
      <c r="AB337" s="18"/>
      <c r="AC337" s="18"/>
    </row>
    <row r="338" spans="23:29" customFormat="1" x14ac:dyDescent="0.25">
      <c r="W338" s="37"/>
      <c r="X338" s="52"/>
      <c r="Y338" s="52"/>
      <c r="Z338" s="37"/>
      <c r="AA338" s="18"/>
      <c r="AB338" s="18"/>
      <c r="AC338" s="18"/>
    </row>
    <row r="339" spans="23:29" customFormat="1" x14ac:dyDescent="0.25">
      <c r="W339" s="37"/>
      <c r="X339" s="52"/>
      <c r="Y339" s="52"/>
      <c r="Z339" s="37"/>
      <c r="AA339" s="18"/>
      <c r="AB339" s="18"/>
      <c r="AC339" s="18"/>
    </row>
    <row r="340" spans="23:29" customFormat="1" x14ac:dyDescent="0.25">
      <c r="W340" s="37"/>
      <c r="X340" s="52"/>
      <c r="Y340" s="52"/>
      <c r="Z340" s="37"/>
      <c r="AA340" s="18"/>
      <c r="AB340" s="18"/>
      <c r="AC340" s="18"/>
    </row>
    <row r="341" spans="23:29" customFormat="1" x14ac:dyDescent="0.25">
      <c r="W341" s="37"/>
      <c r="X341" s="52"/>
      <c r="Y341" s="52"/>
      <c r="Z341" s="37"/>
      <c r="AA341" s="18"/>
      <c r="AB341" s="18"/>
      <c r="AC341" s="18"/>
    </row>
    <row r="342" spans="23:29" customFormat="1" x14ac:dyDescent="0.25">
      <c r="W342" s="37"/>
      <c r="X342" s="52"/>
      <c r="Y342" s="52"/>
      <c r="Z342" s="37"/>
      <c r="AA342" s="18"/>
      <c r="AB342" s="18"/>
      <c r="AC342" s="18"/>
    </row>
    <row r="343" spans="23:29" customFormat="1" x14ac:dyDescent="0.25">
      <c r="W343" s="37"/>
      <c r="X343" s="52"/>
      <c r="Y343" s="52"/>
      <c r="Z343" s="37"/>
      <c r="AA343" s="18"/>
      <c r="AB343" s="18"/>
      <c r="AC343" s="18"/>
    </row>
    <row r="344" spans="23:29" customFormat="1" x14ac:dyDescent="0.25">
      <c r="W344" s="37"/>
      <c r="X344" s="52"/>
      <c r="Y344" s="52"/>
      <c r="Z344" s="37"/>
      <c r="AA344" s="18"/>
      <c r="AB344" s="18"/>
      <c r="AC344" s="18"/>
    </row>
    <row r="345" spans="23:29" customFormat="1" x14ac:dyDescent="0.25">
      <c r="W345" s="37"/>
      <c r="X345" s="52"/>
      <c r="Y345" s="52"/>
      <c r="Z345" s="37"/>
      <c r="AA345" s="18"/>
      <c r="AB345" s="18"/>
      <c r="AC345" s="18"/>
    </row>
    <row r="346" spans="23:29" customFormat="1" x14ac:dyDescent="0.25">
      <c r="W346" s="37"/>
      <c r="X346" s="52"/>
      <c r="Y346" s="52"/>
      <c r="Z346" s="37"/>
      <c r="AA346" s="18"/>
      <c r="AB346" s="18"/>
      <c r="AC346" s="18"/>
    </row>
    <row r="347" spans="23:29" customFormat="1" x14ac:dyDescent="0.25">
      <c r="W347" s="37"/>
      <c r="X347" s="52"/>
      <c r="Y347" s="52"/>
      <c r="Z347" s="37"/>
      <c r="AA347" s="18"/>
      <c r="AB347" s="18"/>
      <c r="AC347" s="18"/>
    </row>
    <row r="348" spans="23:29" customFormat="1" x14ac:dyDescent="0.25">
      <c r="W348" s="37"/>
      <c r="X348" s="52"/>
      <c r="Y348" s="52"/>
      <c r="Z348" s="37"/>
      <c r="AA348" s="18"/>
      <c r="AB348" s="18"/>
      <c r="AC348" s="18"/>
    </row>
    <row r="349" spans="23:29" customFormat="1" x14ac:dyDescent="0.25">
      <c r="W349" s="37"/>
      <c r="X349" s="52"/>
      <c r="Y349" s="52"/>
      <c r="Z349" s="37"/>
      <c r="AA349" s="18"/>
      <c r="AB349" s="18"/>
      <c r="AC349" s="18"/>
    </row>
    <row r="350" spans="23:29" customFormat="1" x14ac:dyDescent="0.25">
      <c r="W350" s="37"/>
      <c r="X350" s="52"/>
      <c r="Y350" s="52"/>
      <c r="Z350" s="37"/>
      <c r="AA350" s="18"/>
      <c r="AB350" s="18"/>
      <c r="AC350" s="18"/>
    </row>
    <row r="351" spans="23:29" customFormat="1" x14ac:dyDescent="0.25">
      <c r="W351" s="37"/>
      <c r="X351" s="52"/>
      <c r="Y351" s="52"/>
      <c r="Z351" s="37"/>
      <c r="AA351" s="18"/>
      <c r="AB351" s="18"/>
      <c r="AC351" s="18"/>
    </row>
    <row r="352" spans="23:29" customFormat="1" x14ac:dyDescent="0.25">
      <c r="W352" s="37"/>
      <c r="X352" s="52"/>
      <c r="Y352" s="52"/>
      <c r="Z352" s="37"/>
      <c r="AA352" s="18"/>
      <c r="AB352" s="18"/>
      <c r="AC352" s="18"/>
    </row>
    <row r="353" spans="23:29" customFormat="1" x14ac:dyDescent="0.25">
      <c r="W353" s="37"/>
      <c r="X353" s="52"/>
      <c r="Y353" s="52"/>
      <c r="Z353" s="37"/>
      <c r="AA353" s="18"/>
      <c r="AB353" s="18"/>
      <c r="AC353" s="18"/>
    </row>
    <row r="354" spans="23:29" customFormat="1" x14ac:dyDescent="0.25">
      <c r="W354" s="37"/>
      <c r="X354" s="52"/>
      <c r="Y354" s="52"/>
      <c r="Z354" s="37"/>
      <c r="AA354" s="18"/>
      <c r="AB354" s="18"/>
      <c r="AC354" s="18"/>
    </row>
    <row r="355" spans="23:29" customFormat="1" x14ac:dyDescent="0.25">
      <c r="W355" s="37"/>
      <c r="X355" s="52"/>
      <c r="Y355" s="52"/>
      <c r="Z355" s="37"/>
      <c r="AA355" s="18"/>
      <c r="AB355" s="18"/>
      <c r="AC355" s="18"/>
    </row>
    <row r="356" spans="23:29" customFormat="1" x14ac:dyDescent="0.25">
      <c r="W356" s="37"/>
      <c r="X356" s="52"/>
      <c r="Y356" s="52"/>
      <c r="Z356" s="37"/>
      <c r="AA356" s="18"/>
      <c r="AB356" s="18"/>
      <c r="AC356" s="18"/>
    </row>
    <row r="357" spans="23:29" customFormat="1" x14ac:dyDescent="0.25">
      <c r="W357" s="37"/>
      <c r="X357" s="52"/>
      <c r="Y357" s="52"/>
      <c r="Z357" s="37"/>
      <c r="AA357" s="18"/>
      <c r="AB357" s="18"/>
      <c r="AC357" s="18"/>
    </row>
    <row r="358" spans="23:29" customFormat="1" x14ac:dyDescent="0.25">
      <c r="W358" s="37"/>
      <c r="X358" s="52"/>
      <c r="Y358" s="52"/>
      <c r="Z358" s="37"/>
      <c r="AA358" s="18"/>
      <c r="AB358" s="18"/>
      <c r="AC358" s="18"/>
    </row>
    <row r="359" spans="23:29" customFormat="1" x14ac:dyDescent="0.25">
      <c r="W359" s="37"/>
      <c r="X359" s="52"/>
      <c r="Y359" s="52"/>
      <c r="Z359" s="37"/>
      <c r="AA359" s="18"/>
      <c r="AB359" s="18"/>
      <c r="AC359" s="18"/>
    </row>
    <row r="360" spans="23:29" customFormat="1" x14ac:dyDescent="0.25">
      <c r="W360" s="37"/>
      <c r="X360" s="52"/>
      <c r="Y360" s="52"/>
      <c r="Z360" s="37"/>
      <c r="AA360" s="18"/>
      <c r="AB360" s="18"/>
      <c r="AC360" s="18"/>
    </row>
    <row r="361" spans="23:29" customFormat="1" x14ac:dyDescent="0.25">
      <c r="W361" s="37"/>
      <c r="X361" s="52"/>
      <c r="Y361" s="52"/>
      <c r="Z361" s="37"/>
      <c r="AA361" s="18"/>
      <c r="AB361" s="18"/>
      <c r="AC361" s="18"/>
    </row>
    <row r="362" spans="23:29" customFormat="1" x14ac:dyDescent="0.25">
      <c r="W362" s="37"/>
      <c r="X362" s="52"/>
      <c r="Y362" s="52"/>
      <c r="Z362" s="37"/>
      <c r="AA362" s="18"/>
      <c r="AB362" s="18"/>
      <c r="AC362" s="18"/>
    </row>
    <row r="363" spans="23:29" customFormat="1" x14ac:dyDescent="0.25">
      <c r="W363" s="37"/>
      <c r="X363" s="52"/>
      <c r="Y363" s="52"/>
      <c r="Z363" s="37"/>
      <c r="AA363" s="18"/>
      <c r="AB363" s="18"/>
      <c r="AC363" s="18"/>
    </row>
    <row r="364" spans="23:29" customFormat="1" x14ac:dyDescent="0.25">
      <c r="W364" s="37"/>
      <c r="X364" s="52"/>
      <c r="Y364" s="52"/>
      <c r="Z364" s="37"/>
      <c r="AA364" s="18"/>
      <c r="AB364" s="18"/>
      <c r="AC364" s="18"/>
    </row>
    <row r="365" spans="23:29" customFormat="1" x14ac:dyDescent="0.25">
      <c r="W365" s="37"/>
      <c r="X365" s="52"/>
      <c r="Y365" s="52"/>
      <c r="Z365" s="37"/>
      <c r="AA365" s="18"/>
      <c r="AB365" s="18"/>
      <c r="AC365" s="18"/>
    </row>
    <row r="366" spans="23:29" customFormat="1" x14ac:dyDescent="0.25">
      <c r="W366" s="37"/>
      <c r="X366" s="52"/>
      <c r="Y366" s="52"/>
      <c r="Z366" s="37"/>
      <c r="AA366" s="18"/>
      <c r="AB366" s="18"/>
      <c r="AC366" s="18"/>
    </row>
    <row r="367" spans="23:29" customFormat="1" x14ac:dyDescent="0.25">
      <c r="W367" s="37"/>
      <c r="X367" s="52"/>
      <c r="Y367" s="52"/>
      <c r="Z367" s="37"/>
      <c r="AA367" s="18"/>
      <c r="AB367" s="18"/>
      <c r="AC367" s="18"/>
    </row>
    <row r="368" spans="23:29" customFormat="1" x14ac:dyDescent="0.25">
      <c r="W368" s="37"/>
      <c r="X368" s="52"/>
      <c r="Y368" s="52"/>
      <c r="Z368" s="37"/>
      <c r="AA368" s="18"/>
      <c r="AB368" s="18"/>
      <c r="AC368" s="18"/>
    </row>
    <row r="369" spans="23:29" customFormat="1" x14ac:dyDescent="0.25">
      <c r="W369" s="37"/>
      <c r="X369" s="52"/>
      <c r="Y369" s="52"/>
      <c r="Z369" s="37"/>
      <c r="AA369" s="18"/>
      <c r="AB369" s="18"/>
      <c r="AC369" s="18"/>
    </row>
    <row r="370" spans="23:29" customFormat="1" x14ac:dyDescent="0.25">
      <c r="W370" s="37"/>
      <c r="X370" s="52"/>
      <c r="Y370" s="52"/>
      <c r="Z370" s="37"/>
      <c r="AA370" s="18"/>
      <c r="AB370" s="18"/>
      <c r="AC370" s="18"/>
    </row>
    <row r="371" spans="23:29" customFormat="1" x14ac:dyDescent="0.25">
      <c r="W371" s="37"/>
      <c r="X371" s="52"/>
      <c r="Y371" s="52"/>
      <c r="Z371" s="37"/>
      <c r="AA371" s="18"/>
      <c r="AB371" s="18"/>
      <c r="AC371" s="18"/>
    </row>
    <row r="372" spans="23:29" customFormat="1" x14ac:dyDescent="0.25">
      <c r="W372" s="37"/>
      <c r="X372" s="52"/>
      <c r="Y372" s="52"/>
      <c r="Z372" s="37"/>
      <c r="AA372" s="18"/>
      <c r="AB372" s="18"/>
      <c r="AC372" s="18"/>
    </row>
    <row r="373" spans="23:29" customFormat="1" x14ac:dyDescent="0.25">
      <c r="W373" s="37"/>
      <c r="X373" s="52"/>
      <c r="Y373" s="52"/>
      <c r="Z373" s="37"/>
      <c r="AA373" s="18"/>
      <c r="AB373" s="18"/>
      <c r="AC373" s="18"/>
    </row>
    <row r="374" spans="23:29" customFormat="1" x14ac:dyDescent="0.25">
      <c r="W374" s="37"/>
      <c r="X374" s="52"/>
      <c r="Y374" s="52"/>
      <c r="Z374" s="37"/>
      <c r="AA374" s="18"/>
      <c r="AB374" s="18"/>
      <c r="AC374" s="18"/>
    </row>
    <row r="375" spans="23:29" customFormat="1" x14ac:dyDescent="0.25">
      <c r="W375" s="37"/>
      <c r="X375" s="52"/>
      <c r="Y375" s="52"/>
      <c r="Z375" s="37"/>
      <c r="AA375" s="18"/>
      <c r="AB375" s="18"/>
      <c r="AC375" s="18"/>
    </row>
    <row r="376" spans="23:29" customFormat="1" x14ac:dyDescent="0.25">
      <c r="W376" s="37"/>
      <c r="X376" s="52"/>
      <c r="Y376" s="52"/>
      <c r="Z376" s="37"/>
      <c r="AA376" s="18"/>
      <c r="AB376" s="18"/>
      <c r="AC376" s="18"/>
    </row>
    <row r="377" spans="23:29" customFormat="1" x14ac:dyDescent="0.25">
      <c r="W377" s="37"/>
      <c r="X377" s="52"/>
      <c r="Y377" s="52"/>
      <c r="Z377" s="37"/>
      <c r="AA377" s="18"/>
      <c r="AB377" s="18"/>
      <c r="AC377" s="18"/>
    </row>
    <row r="378" spans="23:29" customFormat="1" x14ac:dyDescent="0.25">
      <c r="W378" s="37"/>
      <c r="X378" s="52"/>
      <c r="Y378" s="52"/>
      <c r="Z378" s="37"/>
      <c r="AA378" s="18"/>
      <c r="AB378" s="18"/>
      <c r="AC378" s="18"/>
    </row>
    <row r="379" spans="23:29" customFormat="1" x14ac:dyDescent="0.25">
      <c r="W379" s="37"/>
      <c r="X379" s="52"/>
      <c r="Y379" s="52"/>
      <c r="Z379" s="37"/>
      <c r="AA379" s="18"/>
      <c r="AB379" s="18"/>
      <c r="AC379" s="18"/>
    </row>
    <row r="380" spans="23:29" customFormat="1" x14ac:dyDescent="0.25">
      <c r="W380" s="37"/>
      <c r="X380" s="52"/>
      <c r="Y380" s="52"/>
      <c r="Z380" s="37"/>
      <c r="AA380" s="18"/>
      <c r="AB380" s="18"/>
      <c r="AC380" s="18"/>
    </row>
    <row r="381" spans="23:29" customFormat="1" x14ac:dyDescent="0.25">
      <c r="W381" s="37"/>
      <c r="X381" s="52"/>
      <c r="Y381" s="52"/>
      <c r="Z381" s="37"/>
      <c r="AA381" s="18"/>
      <c r="AB381" s="18"/>
      <c r="AC381" s="18"/>
    </row>
    <row r="382" spans="23:29" customFormat="1" x14ac:dyDescent="0.25">
      <c r="W382" s="37"/>
      <c r="X382" s="52"/>
      <c r="Y382" s="52"/>
      <c r="Z382" s="37"/>
      <c r="AA382" s="18"/>
      <c r="AB382" s="18"/>
      <c r="AC382" s="18"/>
    </row>
    <row r="383" spans="23:29" customFormat="1" x14ac:dyDescent="0.25">
      <c r="W383" s="37"/>
      <c r="X383" s="52"/>
      <c r="Y383" s="52"/>
      <c r="Z383" s="37"/>
      <c r="AA383" s="18"/>
      <c r="AB383" s="18"/>
      <c r="AC383" s="18"/>
    </row>
    <row r="384" spans="23:29" customFormat="1" x14ac:dyDescent="0.25">
      <c r="W384" s="37"/>
      <c r="X384" s="52"/>
      <c r="Y384" s="52"/>
      <c r="Z384" s="37"/>
      <c r="AA384" s="18"/>
      <c r="AB384" s="18"/>
      <c r="AC384" s="18"/>
    </row>
    <row r="385" spans="23:29" customFormat="1" x14ac:dyDescent="0.25">
      <c r="W385" s="37"/>
      <c r="X385" s="52"/>
      <c r="Y385" s="52"/>
      <c r="Z385" s="37"/>
      <c r="AA385" s="18"/>
      <c r="AB385" s="18"/>
      <c r="AC385" s="18"/>
    </row>
    <row r="386" spans="23:29" customFormat="1" x14ac:dyDescent="0.25">
      <c r="W386" s="37"/>
      <c r="X386" s="52"/>
      <c r="Y386" s="52"/>
      <c r="Z386" s="37"/>
      <c r="AA386" s="18"/>
      <c r="AB386" s="18"/>
      <c r="AC386" s="18"/>
    </row>
    <row r="387" spans="23:29" customFormat="1" x14ac:dyDescent="0.25">
      <c r="W387" s="37"/>
      <c r="X387" s="52"/>
      <c r="Y387" s="52"/>
      <c r="Z387" s="37"/>
      <c r="AA387" s="18"/>
      <c r="AB387" s="18"/>
      <c r="AC387" s="18"/>
    </row>
    <row r="388" spans="23:29" customFormat="1" x14ac:dyDescent="0.25">
      <c r="W388" s="37"/>
      <c r="X388" s="52"/>
      <c r="Y388" s="52"/>
      <c r="Z388" s="37"/>
      <c r="AA388" s="18"/>
      <c r="AB388" s="18"/>
      <c r="AC388" s="18"/>
    </row>
    <row r="389" spans="23:29" customFormat="1" x14ac:dyDescent="0.25">
      <c r="W389" s="37"/>
      <c r="X389" s="52"/>
      <c r="Y389" s="52"/>
      <c r="Z389" s="37"/>
      <c r="AA389" s="18"/>
      <c r="AB389" s="18"/>
      <c r="AC389" s="18"/>
    </row>
    <row r="390" spans="23:29" customFormat="1" x14ac:dyDescent="0.25">
      <c r="W390" s="37"/>
      <c r="X390" s="52"/>
      <c r="Y390" s="52"/>
      <c r="Z390" s="37"/>
      <c r="AA390" s="18"/>
      <c r="AB390" s="18"/>
      <c r="AC390" s="18"/>
    </row>
    <row r="391" spans="23:29" customFormat="1" x14ac:dyDescent="0.25">
      <c r="W391" s="37"/>
      <c r="X391" s="52"/>
      <c r="Y391" s="52"/>
      <c r="Z391" s="37"/>
      <c r="AA391" s="18"/>
      <c r="AB391" s="18"/>
      <c r="AC391" s="18"/>
    </row>
    <row r="392" spans="23:29" customFormat="1" x14ac:dyDescent="0.25">
      <c r="W392" s="37"/>
      <c r="X392" s="52"/>
      <c r="Y392" s="52"/>
      <c r="Z392" s="37"/>
      <c r="AA392" s="18"/>
      <c r="AB392" s="18"/>
      <c r="AC392" s="18"/>
    </row>
    <row r="393" spans="23:29" customFormat="1" x14ac:dyDescent="0.25">
      <c r="W393" s="37"/>
      <c r="X393" s="52"/>
      <c r="Y393" s="52"/>
      <c r="Z393" s="37"/>
      <c r="AA393" s="18"/>
      <c r="AB393" s="18"/>
      <c r="AC393" s="18"/>
    </row>
    <row r="394" spans="23:29" customFormat="1" x14ac:dyDescent="0.25">
      <c r="W394" s="37"/>
      <c r="X394" s="52"/>
      <c r="Y394" s="52"/>
      <c r="Z394" s="37"/>
      <c r="AA394" s="18"/>
      <c r="AB394" s="18"/>
      <c r="AC394" s="18"/>
    </row>
    <row r="395" spans="23:29" customFormat="1" x14ac:dyDescent="0.25">
      <c r="W395" s="37"/>
      <c r="X395" s="52"/>
      <c r="Y395" s="52"/>
      <c r="Z395" s="37"/>
      <c r="AA395" s="18"/>
      <c r="AB395" s="18"/>
      <c r="AC395" s="18"/>
    </row>
    <row r="396" spans="23:29" customFormat="1" x14ac:dyDescent="0.25">
      <c r="W396" s="37"/>
      <c r="X396" s="52"/>
      <c r="Y396" s="52"/>
      <c r="Z396" s="37"/>
      <c r="AA396" s="18"/>
      <c r="AB396" s="18"/>
      <c r="AC396" s="18"/>
    </row>
    <row r="397" spans="23:29" customFormat="1" x14ac:dyDescent="0.25">
      <c r="W397" s="37"/>
      <c r="X397" s="52"/>
      <c r="Y397" s="52"/>
      <c r="Z397" s="37"/>
      <c r="AA397" s="18"/>
      <c r="AB397" s="18"/>
      <c r="AC397" s="18"/>
    </row>
    <row r="398" spans="23:29" customFormat="1" x14ac:dyDescent="0.25">
      <c r="W398" s="37"/>
      <c r="X398" s="52"/>
      <c r="Y398" s="52"/>
      <c r="Z398" s="37"/>
      <c r="AA398" s="18"/>
      <c r="AB398" s="18"/>
      <c r="AC398" s="18"/>
    </row>
    <row r="399" spans="23:29" customFormat="1" x14ac:dyDescent="0.25">
      <c r="W399" s="37"/>
      <c r="X399" s="52"/>
      <c r="Y399" s="52"/>
      <c r="Z399" s="37"/>
      <c r="AA399" s="18"/>
      <c r="AB399" s="18"/>
      <c r="AC399" s="18"/>
    </row>
    <row r="400" spans="23:29" customFormat="1" x14ac:dyDescent="0.25">
      <c r="W400" s="37"/>
      <c r="X400" s="52"/>
      <c r="Y400" s="52"/>
      <c r="Z400" s="37"/>
      <c r="AA400" s="18"/>
      <c r="AB400" s="18"/>
      <c r="AC400" s="18"/>
    </row>
    <row r="401" spans="23:29" customFormat="1" x14ac:dyDescent="0.25">
      <c r="W401" s="37"/>
      <c r="X401" s="52"/>
      <c r="Y401" s="52"/>
      <c r="Z401" s="37"/>
      <c r="AA401" s="18"/>
      <c r="AB401" s="18"/>
      <c r="AC401" s="18"/>
    </row>
    <row r="402" spans="23:29" customFormat="1" x14ac:dyDescent="0.25">
      <c r="W402" s="37"/>
      <c r="X402" s="52"/>
      <c r="Y402" s="52"/>
      <c r="Z402" s="37"/>
      <c r="AA402" s="18"/>
      <c r="AB402" s="18"/>
      <c r="AC402" s="18"/>
    </row>
    <row r="403" spans="23:29" customFormat="1" x14ac:dyDescent="0.25">
      <c r="W403" s="37"/>
      <c r="X403" s="52"/>
      <c r="Y403" s="52"/>
      <c r="Z403" s="37"/>
      <c r="AA403" s="18"/>
      <c r="AB403" s="18"/>
      <c r="AC403" s="18"/>
    </row>
    <row r="404" spans="23:29" customFormat="1" x14ac:dyDescent="0.25">
      <c r="W404" s="37"/>
      <c r="X404" s="52"/>
      <c r="Y404" s="52"/>
      <c r="Z404" s="37"/>
      <c r="AA404" s="18"/>
      <c r="AB404" s="18"/>
      <c r="AC404" s="18"/>
    </row>
    <row r="405" spans="23:29" customFormat="1" x14ac:dyDescent="0.25">
      <c r="W405" s="37"/>
      <c r="X405" s="52"/>
      <c r="Y405" s="52"/>
      <c r="Z405" s="37"/>
      <c r="AA405" s="18"/>
      <c r="AB405" s="18"/>
      <c r="AC405" s="18"/>
    </row>
    <row r="406" spans="23:29" customFormat="1" x14ac:dyDescent="0.25">
      <c r="W406" s="37"/>
      <c r="X406" s="52"/>
      <c r="Y406" s="52"/>
      <c r="Z406" s="37"/>
      <c r="AA406" s="18"/>
      <c r="AB406" s="18"/>
      <c r="AC406" s="18"/>
    </row>
    <row r="407" spans="23:29" customFormat="1" x14ac:dyDescent="0.25">
      <c r="W407" s="37"/>
      <c r="X407" s="52"/>
      <c r="Y407" s="52"/>
      <c r="Z407" s="37"/>
      <c r="AA407" s="18"/>
      <c r="AB407" s="18"/>
      <c r="AC407" s="18"/>
    </row>
    <row r="408" spans="23:29" customFormat="1" x14ac:dyDescent="0.25">
      <c r="W408" s="37"/>
      <c r="X408" s="52"/>
      <c r="Y408" s="52"/>
      <c r="Z408" s="37"/>
      <c r="AA408" s="18"/>
      <c r="AB408" s="18"/>
      <c r="AC408" s="18"/>
    </row>
    <row r="409" spans="23:29" customFormat="1" x14ac:dyDescent="0.25">
      <c r="W409" s="37"/>
      <c r="X409" s="52"/>
      <c r="Y409" s="52"/>
      <c r="Z409" s="37"/>
      <c r="AA409" s="18"/>
      <c r="AB409" s="18"/>
      <c r="AC409" s="18"/>
    </row>
    <row r="410" spans="23:29" customFormat="1" x14ac:dyDescent="0.25">
      <c r="W410" s="37"/>
      <c r="X410" s="52"/>
      <c r="Y410" s="52"/>
      <c r="Z410" s="37"/>
      <c r="AA410" s="18"/>
      <c r="AB410" s="18"/>
      <c r="AC410" s="18"/>
    </row>
    <row r="411" spans="23:29" customFormat="1" x14ac:dyDescent="0.25">
      <c r="W411" s="37"/>
      <c r="X411" s="52"/>
      <c r="Y411" s="52"/>
      <c r="Z411" s="37"/>
      <c r="AA411" s="18"/>
      <c r="AB411" s="18"/>
      <c r="AC411" s="18"/>
    </row>
    <row r="412" spans="23:29" customFormat="1" x14ac:dyDescent="0.25">
      <c r="W412" s="37"/>
      <c r="X412" s="52"/>
      <c r="Y412" s="52"/>
      <c r="Z412" s="37"/>
      <c r="AA412" s="18"/>
      <c r="AB412" s="18"/>
      <c r="AC412" s="18"/>
    </row>
    <row r="413" spans="23:29" customFormat="1" x14ac:dyDescent="0.25">
      <c r="W413" s="37"/>
      <c r="X413" s="52"/>
      <c r="Y413" s="52"/>
      <c r="Z413" s="37"/>
      <c r="AA413" s="18"/>
      <c r="AB413" s="18"/>
      <c r="AC413" s="18"/>
    </row>
    <row r="414" spans="23:29" customFormat="1" x14ac:dyDescent="0.25">
      <c r="W414" s="37"/>
      <c r="X414" s="52"/>
      <c r="Y414" s="52"/>
      <c r="Z414" s="37"/>
      <c r="AA414" s="18"/>
      <c r="AB414" s="18"/>
      <c r="AC414" s="18"/>
    </row>
    <row r="415" spans="23:29" customFormat="1" x14ac:dyDescent="0.25">
      <c r="W415" s="37"/>
      <c r="X415" s="52"/>
      <c r="Y415" s="52"/>
      <c r="Z415" s="37"/>
      <c r="AA415" s="18"/>
      <c r="AB415" s="18"/>
      <c r="AC415" s="18"/>
    </row>
    <row r="416" spans="23:29" customFormat="1" x14ac:dyDescent="0.25">
      <c r="W416" s="37"/>
      <c r="X416" s="52"/>
      <c r="Y416" s="52"/>
      <c r="Z416" s="37"/>
      <c r="AA416" s="18"/>
      <c r="AB416" s="18"/>
      <c r="AC416" s="18"/>
    </row>
    <row r="417" spans="23:29" customFormat="1" x14ac:dyDescent="0.25">
      <c r="W417" s="37"/>
      <c r="X417" s="52"/>
      <c r="Y417" s="52"/>
      <c r="Z417" s="37"/>
      <c r="AA417" s="18"/>
      <c r="AB417" s="18"/>
      <c r="AC417" s="18"/>
    </row>
    <row r="418" spans="23:29" customFormat="1" x14ac:dyDescent="0.25">
      <c r="W418" s="37"/>
      <c r="X418" s="52"/>
      <c r="Y418" s="52"/>
      <c r="Z418" s="37"/>
      <c r="AA418" s="18"/>
      <c r="AB418" s="18"/>
      <c r="AC418" s="18"/>
    </row>
    <row r="419" spans="23:29" customFormat="1" x14ac:dyDescent="0.25">
      <c r="W419" s="37"/>
      <c r="X419" s="52"/>
      <c r="Y419" s="52"/>
      <c r="Z419" s="37"/>
      <c r="AA419" s="18"/>
      <c r="AB419" s="18"/>
      <c r="AC419" s="18"/>
    </row>
    <row r="420" spans="23:29" customFormat="1" x14ac:dyDescent="0.25">
      <c r="W420" s="37"/>
      <c r="X420" s="52"/>
      <c r="Y420" s="52"/>
      <c r="Z420" s="37"/>
      <c r="AA420" s="18"/>
      <c r="AB420" s="18"/>
      <c r="AC420" s="18"/>
    </row>
    <row r="421" spans="23:29" customFormat="1" x14ac:dyDescent="0.25">
      <c r="W421" s="37"/>
      <c r="X421" s="52"/>
      <c r="Y421" s="52"/>
      <c r="Z421" s="37"/>
      <c r="AA421" s="18"/>
      <c r="AB421" s="18"/>
      <c r="AC421" s="18"/>
    </row>
    <row r="422" spans="23:29" customFormat="1" x14ac:dyDescent="0.25">
      <c r="W422" s="37"/>
      <c r="X422" s="52"/>
      <c r="Y422" s="52"/>
      <c r="Z422" s="37"/>
      <c r="AA422" s="18"/>
      <c r="AB422" s="18"/>
      <c r="AC422" s="18"/>
    </row>
    <row r="423" spans="23:29" customFormat="1" x14ac:dyDescent="0.25">
      <c r="W423" s="37"/>
      <c r="X423" s="52"/>
      <c r="Y423" s="52"/>
      <c r="Z423" s="37"/>
      <c r="AA423" s="18"/>
      <c r="AB423" s="18"/>
      <c r="AC423" s="18"/>
    </row>
    <row r="424" spans="23:29" customFormat="1" x14ac:dyDescent="0.25">
      <c r="W424" s="37"/>
      <c r="X424" s="52"/>
      <c r="Y424" s="52"/>
      <c r="Z424" s="37"/>
      <c r="AA424" s="18"/>
      <c r="AB424" s="18"/>
      <c r="AC424" s="18"/>
    </row>
    <row r="425" spans="23:29" customFormat="1" x14ac:dyDescent="0.25">
      <c r="W425" s="37"/>
      <c r="X425" s="52"/>
      <c r="Y425" s="52"/>
      <c r="Z425" s="37"/>
      <c r="AA425" s="18"/>
      <c r="AB425" s="18"/>
      <c r="AC425" s="18"/>
    </row>
    <row r="426" spans="23:29" customFormat="1" x14ac:dyDescent="0.25">
      <c r="W426" s="37"/>
      <c r="X426" s="52"/>
      <c r="Y426" s="52"/>
      <c r="Z426" s="37"/>
      <c r="AA426" s="18"/>
      <c r="AB426" s="18"/>
      <c r="AC426" s="18"/>
    </row>
    <row r="427" spans="23:29" customFormat="1" x14ac:dyDescent="0.25">
      <c r="W427" s="37"/>
      <c r="X427" s="52"/>
      <c r="Y427" s="52"/>
      <c r="Z427" s="37"/>
      <c r="AA427" s="18"/>
      <c r="AB427" s="18"/>
      <c r="AC427" s="18"/>
    </row>
    <row r="428" spans="23:29" customFormat="1" x14ac:dyDescent="0.25">
      <c r="W428" s="37"/>
      <c r="X428" s="52"/>
      <c r="Y428" s="52"/>
      <c r="Z428" s="37"/>
      <c r="AA428" s="18"/>
      <c r="AB428" s="18"/>
      <c r="AC428" s="18"/>
    </row>
    <row r="429" spans="23:29" customFormat="1" x14ac:dyDescent="0.25">
      <c r="W429" s="37"/>
      <c r="X429" s="52"/>
      <c r="Y429" s="52"/>
      <c r="Z429" s="37"/>
      <c r="AA429" s="18"/>
      <c r="AB429" s="18"/>
      <c r="AC429" s="18"/>
    </row>
    <row r="430" spans="23:29" customFormat="1" x14ac:dyDescent="0.25">
      <c r="W430" s="37"/>
      <c r="X430" s="52"/>
      <c r="Y430" s="52"/>
      <c r="Z430" s="37"/>
      <c r="AA430" s="18"/>
      <c r="AB430" s="18"/>
      <c r="AC430" s="18"/>
    </row>
    <row r="431" spans="23:29" customFormat="1" x14ac:dyDescent="0.25">
      <c r="W431" s="37"/>
      <c r="X431" s="52"/>
      <c r="Y431" s="52"/>
      <c r="Z431" s="37"/>
      <c r="AA431" s="18"/>
      <c r="AB431" s="18"/>
      <c r="AC431" s="18"/>
    </row>
    <row r="432" spans="23:29" customFormat="1" x14ac:dyDescent="0.25">
      <c r="W432" s="37"/>
      <c r="X432" s="52"/>
      <c r="Y432" s="52"/>
      <c r="Z432" s="37"/>
      <c r="AA432" s="18"/>
      <c r="AB432" s="18"/>
      <c r="AC432" s="18"/>
    </row>
    <row r="433" spans="23:29" customFormat="1" x14ac:dyDescent="0.25">
      <c r="W433" s="37"/>
      <c r="X433" s="52"/>
      <c r="Y433" s="52"/>
      <c r="Z433" s="37"/>
      <c r="AA433" s="18"/>
      <c r="AB433" s="18"/>
      <c r="AC433" s="18"/>
    </row>
    <row r="434" spans="23:29" customFormat="1" x14ac:dyDescent="0.25">
      <c r="W434" s="37"/>
      <c r="X434" s="52"/>
      <c r="Y434" s="52"/>
      <c r="Z434" s="37"/>
      <c r="AA434" s="18"/>
      <c r="AB434" s="18"/>
      <c r="AC434" s="18"/>
    </row>
    <row r="435" spans="23:29" customFormat="1" x14ac:dyDescent="0.25">
      <c r="W435" s="37"/>
      <c r="X435" s="52"/>
      <c r="Y435" s="52"/>
      <c r="Z435" s="37"/>
      <c r="AA435" s="18"/>
      <c r="AB435" s="18"/>
      <c r="AC435" s="18"/>
    </row>
    <row r="436" spans="23:29" customFormat="1" x14ac:dyDescent="0.25">
      <c r="W436" s="37"/>
      <c r="X436" s="52"/>
      <c r="Y436" s="52"/>
      <c r="Z436" s="37"/>
      <c r="AA436" s="18"/>
      <c r="AB436" s="18"/>
      <c r="AC436" s="18"/>
    </row>
    <row r="437" spans="23:29" customFormat="1" x14ac:dyDescent="0.25">
      <c r="W437" s="37"/>
      <c r="X437" s="52"/>
      <c r="Y437" s="52"/>
      <c r="Z437" s="37"/>
      <c r="AA437" s="18"/>
      <c r="AB437" s="18"/>
      <c r="AC437" s="18"/>
    </row>
    <row r="438" spans="23:29" customFormat="1" x14ac:dyDescent="0.25">
      <c r="W438" s="37"/>
      <c r="X438" s="52"/>
      <c r="Y438" s="52"/>
      <c r="Z438" s="37"/>
      <c r="AA438" s="18"/>
      <c r="AB438" s="18"/>
      <c r="AC438" s="18"/>
    </row>
    <row r="439" spans="23:29" customFormat="1" x14ac:dyDescent="0.25">
      <c r="W439" s="37"/>
      <c r="X439" s="52"/>
      <c r="Y439" s="52"/>
      <c r="Z439" s="37"/>
      <c r="AA439" s="18"/>
      <c r="AB439" s="18"/>
      <c r="AC439" s="18"/>
    </row>
    <row r="440" spans="23:29" customFormat="1" x14ac:dyDescent="0.25">
      <c r="W440" s="37"/>
      <c r="X440" s="52"/>
      <c r="Y440" s="52"/>
      <c r="Z440" s="37"/>
      <c r="AA440" s="18"/>
      <c r="AB440" s="18"/>
      <c r="AC440" s="18"/>
    </row>
    <row r="441" spans="23:29" customFormat="1" x14ac:dyDescent="0.25">
      <c r="W441" s="37"/>
      <c r="X441" s="52"/>
      <c r="Y441" s="52"/>
      <c r="Z441" s="37"/>
      <c r="AA441" s="18"/>
      <c r="AB441" s="18"/>
      <c r="AC441" s="18"/>
    </row>
    <row r="442" spans="23:29" customFormat="1" x14ac:dyDescent="0.25">
      <c r="W442" s="37"/>
      <c r="X442" s="52"/>
      <c r="Y442" s="52"/>
      <c r="Z442" s="37"/>
      <c r="AA442" s="18"/>
      <c r="AB442" s="18"/>
      <c r="AC442" s="18"/>
    </row>
    <row r="443" spans="23:29" customFormat="1" x14ac:dyDescent="0.25">
      <c r="W443" s="37"/>
      <c r="X443" s="52"/>
      <c r="Y443" s="52"/>
      <c r="Z443" s="37"/>
      <c r="AA443" s="18"/>
      <c r="AB443" s="18"/>
      <c r="AC443" s="18"/>
    </row>
    <row r="444" spans="23:29" customFormat="1" x14ac:dyDescent="0.25">
      <c r="W444" s="37"/>
      <c r="X444" s="52"/>
      <c r="Y444" s="52"/>
      <c r="Z444" s="37"/>
      <c r="AA444" s="18"/>
      <c r="AB444" s="18"/>
      <c r="AC444" s="18"/>
    </row>
    <row r="445" spans="23:29" customFormat="1" x14ac:dyDescent="0.25">
      <c r="W445" s="37"/>
      <c r="X445" s="52"/>
      <c r="Y445" s="52"/>
      <c r="Z445" s="37"/>
      <c r="AA445" s="18"/>
      <c r="AB445" s="18"/>
      <c r="AC445" s="18"/>
    </row>
    <row r="446" spans="23:29" customFormat="1" x14ac:dyDescent="0.25">
      <c r="W446" s="37"/>
      <c r="X446" s="52"/>
      <c r="Y446" s="52"/>
      <c r="Z446" s="37"/>
      <c r="AA446" s="18"/>
      <c r="AB446" s="18"/>
      <c r="AC446" s="18"/>
    </row>
    <row r="447" spans="23:29" customFormat="1" x14ac:dyDescent="0.25">
      <c r="W447" s="37"/>
      <c r="X447" s="52"/>
      <c r="Y447" s="52"/>
      <c r="Z447" s="37"/>
      <c r="AA447" s="18"/>
      <c r="AB447" s="18"/>
      <c r="AC447" s="18"/>
    </row>
    <row r="448" spans="23:29" customFormat="1" x14ac:dyDescent="0.25">
      <c r="W448" s="37"/>
      <c r="X448" s="52"/>
      <c r="Y448" s="52"/>
      <c r="Z448" s="37"/>
      <c r="AA448" s="18"/>
      <c r="AB448" s="18"/>
      <c r="AC448" s="18"/>
    </row>
    <row r="449" spans="23:29" customFormat="1" x14ac:dyDescent="0.25">
      <c r="W449" s="37"/>
      <c r="X449" s="52"/>
      <c r="Y449" s="52"/>
      <c r="Z449" s="37"/>
      <c r="AA449" s="18"/>
      <c r="AB449" s="18"/>
      <c r="AC449" s="18"/>
    </row>
    <row r="450" spans="23:29" customFormat="1" x14ac:dyDescent="0.25">
      <c r="W450" s="37"/>
      <c r="X450" s="52"/>
      <c r="Y450" s="52"/>
      <c r="Z450" s="37"/>
      <c r="AA450" s="18"/>
      <c r="AB450" s="18"/>
      <c r="AC450" s="18"/>
    </row>
    <row r="451" spans="23:29" customFormat="1" x14ac:dyDescent="0.25">
      <c r="W451" s="37"/>
      <c r="X451" s="52"/>
      <c r="Y451" s="52"/>
      <c r="Z451" s="37"/>
      <c r="AA451" s="18"/>
      <c r="AB451" s="18"/>
      <c r="AC451" s="18"/>
    </row>
    <row r="452" spans="23:29" customFormat="1" x14ac:dyDescent="0.25">
      <c r="W452" s="37"/>
      <c r="X452" s="52"/>
      <c r="Y452" s="52"/>
      <c r="Z452" s="37"/>
      <c r="AA452" s="18"/>
      <c r="AB452" s="18"/>
      <c r="AC452" s="18"/>
    </row>
    <row r="453" spans="23:29" customFormat="1" x14ac:dyDescent="0.25">
      <c r="W453" s="37"/>
      <c r="X453" s="52"/>
      <c r="Y453" s="52"/>
      <c r="Z453" s="37"/>
      <c r="AA453" s="18"/>
      <c r="AB453" s="18"/>
      <c r="AC453" s="18"/>
    </row>
    <row r="454" spans="23:29" customFormat="1" x14ac:dyDescent="0.25">
      <c r="W454" s="37"/>
      <c r="X454" s="52"/>
      <c r="Y454" s="52"/>
      <c r="Z454" s="37"/>
      <c r="AA454" s="18"/>
      <c r="AB454" s="18"/>
      <c r="AC454" s="18"/>
    </row>
    <row r="455" spans="23:29" customFormat="1" x14ac:dyDescent="0.25">
      <c r="W455" s="37"/>
      <c r="X455" s="52"/>
      <c r="Y455" s="52"/>
      <c r="Z455" s="37"/>
      <c r="AA455" s="18"/>
      <c r="AB455" s="18"/>
      <c r="AC455" s="18"/>
    </row>
    <row r="456" spans="23:29" customFormat="1" x14ac:dyDescent="0.25">
      <c r="W456" s="37"/>
      <c r="X456" s="52"/>
      <c r="Y456" s="52"/>
      <c r="Z456" s="37"/>
      <c r="AA456" s="18"/>
      <c r="AB456" s="18"/>
      <c r="AC456" s="18"/>
    </row>
    <row r="457" spans="23:29" customFormat="1" x14ac:dyDescent="0.25">
      <c r="W457" s="37"/>
      <c r="X457" s="52"/>
      <c r="Y457" s="52"/>
      <c r="Z457" s="37"/>
      <c r="AA457" s="18"/>
      <c r="AB457" s="18"/>
      <c r="AC457" s="18"/>
    </row>
    <row r="458" spans="23:29" customFormat="1" x14ac:dyDescent="0.25">
      <c r="W458" s="37"/>
      <c r="X458" s="52"/>
      <c r="Y458" s="52"/>
      <c r="Z458" s="37"/>
      <c r="AA458" s="18"/>
      <c r="AB458" s="18"/>
      <c r="AC458" s="18"/>
    </row>
    <row r="459" spans="23:29" customFormat="1" x14ac:dyDescent="0.25">
      <c r="W459" s="37"/>
      <c r="X459" s="52"/>
      <c r="Y459" s="52"/>
      <c r="Z459" s="37"/>
      <c r="AA459" s="18"/>
      <c r="AB459" s="18"/>
      <c r="AC459" s="18"/>
    </row>
    <row r="460" spans="23:29" customFormat="1" x14ac:dyDescent="0.25">
      <c r="W460" s="37"/>
      <c r="X460" s="52"/>
      <c r="Y460" s="52"/>
      <c r="Z460" s="37"/>
      <c r="AA460" s="18"/>
      <c r="AB460" s="18"/>
      <c r="AC460" s="18"/>
    </row>
    <row r="461" spans="23:29" customFormat="1" x14ac:dyDescent="0.25">
      <c r="W461" s="37"/>
      <c r="X461" s="52"/>
      <c r="Y461" s="52"/>
      <c r="Z461" s="37"/>
      <c r="AA461" s="18"/>
      <c r="AB461" s="18"/>
      <c r="AC461" s="18"/>
    </row>
    <row r="462" spans="23:29" customFormat="1" x14ac:dyDescent="0.25">
      <c r="W462" s="37"/>
      <c r="X462" s="52"/>
      <c r="Y462" s="52"/>
      <c r="Z462" s="37"/>
      <c r="AA462" s="18"/>
      <c r="AB462" s="18"/>
      <c r="AC462" s="18"/>
    </row>
    <row r="463" spans="23:29" customFormat="1" x14ac:dyDescent="0.25">
      <c r="W463" s="37"/>
      <c r="X463" s="52"/>
      <c r="Y463" s="52"/>
      <c r="Z463" s="37"/>
      <c r="AA463" s="18"/>
      <c r="AB463" s="18"/>
      <c r="AC463" s="18"/>
    </row>
    <row r="464" spans="23:29" customFormat="1" x14ac:dyDescent="0.25">
      <c r="W464" s="37"/>
      <c r="X464" s="52"/>
      <c r="Y464" s="52"/>
      <c r="Z464" s="37"/>
      <c r="AA464" s="18"/>
      <c r="AB464" s="18"/>
      <c r="AC464" s="18"/>
    </row>
    <row r="465" spans="23:29" customFormat="1" x14ac:dyDescent="0.25">
      <c r="W465" s="37"/>
      <c r="X465" s="52"/>
      <c r="Y465" s="52"/>
      <c r="Z465" s="37"/>
      <c r="AA465" s="18"/>
      <c r="AB465" s="18"/>
      <c r="AC465" s="18"/>
    </row>
    <row r="466" spans="23:29" customFormat="1" x14ac:dyDescent="0.25">
      <c r="W466" s="37"/>
      <c r="X466" s="52"/>
      <c r="Y466" s="52"/>
      <c r="Z466" s="37"/>
      <c r="AA466" s="18"/>
      <c r="AB466" s="18"/>
      <c r="AC466" s="18"/>
    </row>
    <row r="467" spans="23:29" customFormat="1" x14ac:dyDescent="0.25">
      <c r="W467" s="37"/>
      <c r="X467" s="52"/>
      <c r="Y467" s="52"/>
      <c r="Z467" s="37"/>
      <c r="AA467" s="18"/>
      <c r="AB467" s="18"/>
      <c r="AC467" s="18"/>
    </row>
    <row r="468" spans="23:29" customFormat="1" x14ac:dyDescent="0.25">
      <c r="W468" s="37"/>
      <c r="X468" s="52"/>
      <c r="Y468" s="52"/>
      <c r="Z468" s="37"/>
      <c r="AA468" s="18"/>
      <c r="AB468" s="18"/>
      <c r="AC468" s="18"/>
    </row>
    <row r="469" spans="23:29" customFormat="1" x14ac:dyDescent="0.25">
      <c r="W469" s="37"/>
      <c r="X469" s="52"/>
      <c r="Y469" s="52"/>
      <c r="Z469" s="37"/>
      <c r="AA469" s="18"/>
      <c r="AB469" s="18"/>
      <c r="AC469" s="18"/>
    </row>
    <row r="470" spans="23:29" customFormat="1" x14ac:dyDescent="0.25">
      <c r="W470" s="37"/>
      <c r="X470" s="52"/>
      <c r="Y470" s="52"/>
      <c r="Z470" s="37"/>
      <c r="AA470" s="18"/>
      <c r="AB470" s="18"/>
      <c r="AC470" s="18"/>
    </row>
    <row r="471" spans="23:29" customFormat="1" x14ac:dyDescent="0.25">
      <c r="W471" s="37"/>
      <c r="X471" s="52"/>
      <c r="Y471" s="52"/>
      <c r="Z471" s="37"/>
      <c r="AA471" s="18"/>
      <c r="AB471" s="18"/>
      <c r="AC471" s="18"/>
    </row>
    <row r="472" spans="23:29" customFormat="1" x14ac:dyDescent="0.25">
      <c r="W472" s="37"/>
      <c r="X472" s="52"/>
      <c r="Y472" s="52"/>
      <c r="Z472" s="37"/>
      <c r="AA472" s="18"/>
      <c r="AB472" s="18"/>
      <c r="AC472" s="18"/>
    </row>
    <row r="473" spans="23:29" customFormat="1" x14ac:dyDescent="0.25">
      <c r="W473" s="37"/>
      <c r="X473" s="52"/>
      <c r="Y473" s="52"/>
      <c r="Z473" s="37"/>
      <c r="AA473" s="18"/>
      <c r="AB473" s="18"/>
      <c r="AC473" s="18"/>
    </row>
    <row r="474" spans="23:29" customFormat="1" x14ac:dyDescent="0.25">
      <c r="W474" s="37"/>
      <c r="X474" s="52"/>
      <c r="Y474" s="52"/>
      <c r="Z474" s="37"/>
      <c r="AA474" s="18"/>
      <c r="AB474" s="18"/>
      <c r="AC474" s="18"/>
    </row>
    <row r="475" spans="23:29" customFormat="1" x14ac:dyDescent="0.25">
      <c r="W475" s="37"/>
      <c r="X475" s="52"/>
      <c r="Y475" s="52"/>
      <c r="Z475" s="37"/>
      <c r="AA475" s="18"/>
      <c r="AB475" s="18"/>
      <c r="AC475" s="18"/>
    </row>
    <row r="476" spans="23:29" customFormat="1" x14ac:dyDescent="0.25">
      <c r="W476" s="37"/>
      <c r="X476" s="52"/>
      <c r="Y476" s="52"/>
      <c r="Z476" s="37"/>
      <c r="AA476" s="18"/>
      <c r="AB476" s="18"/>
      <c r="AC476" s="18"/>
    </row>
    <row r="477" spans="23:29" customFormat="1" x14ac:dyDescent="0.25">
      <c r="W477" s="37"/>
      <c r="X477" s="52"/>
      <c r="Y477" s="52"/>
      <c r="Z477" s="37"/>
      <c r="AA477" s="18"/>
      <c r="AB477" s="18"/>
      <c r="AC477" s="18"/>
    </row>
    <row r="478" spans="23:29" customFormat="1" x14ac:dyDescent="0.25">
      <c r="W478" s="37"/>
      <c r="X478" s="52"/>
      <c r="Y478" s="52"/>
      <c r="Z478" s="37"/>
      <c r="AA478" s="18"/>
      <c r="AB478" s="18"/>
      <c r="AC478" s="18"/>
    </row>
    <row r="479" spans="23:29" customFormat="1" x14ac:dyDescent="0.25">
      <c r="W479" s="37"/>
      <c r="X479" s="52"/>
      <c r="Y479" s="52"/>
      <c r="Z479" s="37"/>
      <c r="AA479" s="18"/>
      <c r="AB479" s="18"/>
      <c r="AC479" s="18"/>
    </row>
    <row r="480" spans="23:29" customFormat="1" x14ac:dyDescent="0.25">
      <c r="W480" s="37"/>
      <c r="X480" s="52"/>
      <c r="Y480" s="52"/>
      <c r="Z480" s="37"/>
      <c r="AA480" s="18"/>
      <c r="AB480" s="18"/>
      <c r="AC480" s="18"/>
    </row>
    <row r="481" spans="23:29" customFormat="1" x14ac:dyDescent="0.25">
      <c r="W481" s="37"/>
      <c r="X481" s="52"/>
      <c r="Y481" s="52"/>
      <c r="Z481" s="37"/>
      <c r="AA481" s="18"/>
      <c r="AB481" s="18"/>
      <c r="AC481" s="18"/>
    </row>
    <row r="482" spans="23:29" customFormat="1" x14ac:dyDescent="0.25">
      <c r="W482" s="37"/>
      <c r="X482" s="52"/>
      <c r="Y482" s="52"/>
      <c r="Z482" s="37"/>
      <c r="AA482" s="18"/>
      <c r="AB482" s="18"/>
      <c r="AC482" s="18"/>
    </row>
    <row r="483" spans="23:29" customFormat="1" x14ac:dyDescent="0.25">
      <c r="W483" s="37"/>
      <c r="X483" s="52"/>
      <c r="Y483" s="52"/>
      <c r="Z483" s="37"/>
      <c r="AA483" s="18"/>
      <c r="AB483" s="18"/>
      <c r="AC483" s="18"/>
    </row>
    <row r="484" spans="23:29" customFormat="1" x14ac:dyDescent="0.25">
      <c r="W484" s="37"/>
      <c r="X484" s="52"/>
      <c r="Y484" s="52"/>
      <c r="Z484" s="37"/>
      <c r="AA484" s="18"/>
      <c r="AB484" s="18"/>
      <c r="AC484" s="18"/>
    </row>
    <row r="485" spans="23:29" customFormat="1" x14ac:dyDescent="0.25">
      <c r="W485" s="37"/>
      <c r="X485" s="52"/>
      <c r="Y485" s="52"/>
      <c r="Z485" s="37"/>
      <c r="AA485" s="18"/>
      <c r="AB485" s="18"/>
      <c r="AC485" s="18"/>
    </row>
    <row r="486" spans="23:29" customFormat="1" x14ac:dyDescent="0.25">
      <c r="W486" s="37"/>
      <c r="X486" s="52"/>
      <c r="Y486" s="52"/>
      <c r="Z486" s="37"/>
      <c r="AA486" s="18"/>
      <c r="AB486" s="18"/>
      <c r="AC486" s="18"/>
    </row>
    <row r="487" spans="23:29" customFormat="1" x14ac:dyDescent="0.25">
      <c r="W487" s="37"/>
      <c r="X487" s="52"/>
      <c r="Y487" s="52"/>
      <c r="Z487" s="37"/>
      <c r="AA487" s="18"/>
      <c r="AB487" s="18"/>
      <c r="AC487" s="18"/>
    </row>
    <row r="488" spans="23:29" customFormat="1" x14ac:dyDescent="0.25">
      <c r="W488" s="37"/>
      <c r="X488" s="52"/>
      <c r="Y488" s="52"/>
      <c r="Z488" s="37"/>
      <c r="AA488" s="18"/>
      <c r="AB488" s="18"/>
      <c r="AC488" s="18"/>
    </row>
    <row r="489" spans="23:29" customFormat="1" x14ac:dyDescent="0.25">
      <c r="W489" s="37"/>
      <c r="X489" s="52"/>
      <c r="Y489" s="52"/>
      <c r="Z489" s="37"/>
      <c r="AA489" s="18"/>
      <c r="AB489" s="18"/>
      <c r="AC489" s="18"/>
    </row>
    <row r="490" spans="23:29" customFormat="1" x14ac:dyDescent="0.25">
      <c r="W490" s="37"/>
      <c r="X490" s="52"/>
      <c r="Y490" s="52"/>
      <c r="Z490" s="37"/>
      <c r="AA490" s="18"/>
      <c r="AB490" s="18"/>
      <c r="AC490" s="18"/>
    </row>
    <row r="491" spans="23:29" customFormat="1" x14ac:dyDescent="0.25">
      <c r="W491" s="37"/>
      <c r="X491" s="52"/>
      <c r="Y491" s="52"/>
      <c r="Z491" s="37"/>
      <c r="AA491" s="18"/>
      <c r="AB491" s="18"/>
      <c r="AC491" s="18"/>
    </row>
    <row r="492" spans="23:29" customFormat="1" x14ac:dyDescent="0.25">
      <c r="W492" s="37"/>
      <c r="X492" s="52"/>
      <c r="Y492" s="52"/>
      <c r="Z492" s="37"/>
      <c r="AA492" s="18"/>
      <c r="AB492" s="18"/>
      <c r="AC492" s="18"/>
    </row>
    <row r="493" spans="23:29" customFormat="1" x14ac:dyDescent="0.25">
      <c r="W493" s="37"/>
      <c r="X493" s="52"/>
      <c r="Y493" s="52"/>
      <c r="Z493" s="37"/>
      <c r="AA493" s="18"/>
      <c r="AB493" s="18"/>
      <c r="AC493" s="18"/>
    </row>
    <row r="494" spans="23:29" customFormat="1" x14ac:dyDescent="0.25">
      <c r="W494" s="37"/>
      <c r="X494" s="52"/>
      <c r="Y494" s="52"/>
      <c r="Z494" s="37"/>
      <c r="AA494" s="18"/>
      <c r="AB494" s="18"/>
      <c r="AC494" s="18"/>
    </row>
    <row r="495" spans="23:29" customFormat="1" x14ac:dyDescent="0.25">
      <c r="W495" s="37"/>
      <c r="X495" s="52"/>
      <c r="Y495" s="52"/>
      <c r="Z495" s="37"/>
      <c r="AA495" s="18"/>
      <c r="AB495" s="18"/>
      <c r="AC495" s="18"/>
    </row>
    <row r="496" spans="23:29" customFormat="1" x14ac:dyDescent="0.25">
      <c r="W496" s="37"/>
      <c r="X496" s="52"/>
      <c r="Y496" s="52"/>
      <c r="Z496" s="37"/>
      <c r="AA496" s="18"/>
      <c r="AB496" s="18"/>
      <c r="AC496" s="18"/>
    </row>
    <row r="497" spans="23:29" customFormat="1" x14ac:dyDescent="0.25">
      <c r="W497" s="37"/>
      <c r="X497" s="52"/>
      <c r="Y497" s="52"/>
      <c r="Z497" s="37"/>
      <c r="AA497" s="18"/>
      <c r="AB497" s="18"/>
      <c r="AC497" s="18"/>
    </row>
    <row r="498" spans="23:29" customFormat="1" x14ac:dyDescent="0.25">
      <c r="W498" s="37"/>
      <c r="X498" s="52"/>
      <c r="Y498" s="52"/>
      <c r="Z498" s="37"/>
      <c r="AA498" s="18"/>
      <c r="AB498" s="18"/>
      <c r="AC498" s="18"/>
    </row>
    <row r="499" spans="23:29" customFormat="1" x14ac:dyDescent="0.25">
      <c r="W499" s="37"/>
      <c r="X499" s="52"/>
      <c r="Y499" s="52"/>
      <c r="Z499" s="37"/>
      <c r="AA499" s="18"/>
      <c r="AB499" s="18"/>
      <c r="AC499" s="18"/>
    </row>
    <row r="500" spans="23:29" customFormat="1" x14ac:dyDescent="0.25">
      <c r="W500" s="37"/>
      <c r="X500" s="52"/>
      <c r="Y500" s="52"/>
      <c r="Z500" s="37"/>
      <c r="AA500" s="18"/>
      <c r="AB500" s="18"/>
      <c r="AC500" s="18"/>
    </row>
    <row r="501" spans="23:29" customFormat="1" x14ac:dyDescent="0.25">
      <c r="W501" s="37"/>
      <c r="X501" s="52"/>
      <c r="Y501" s="52"/>
      <c r="Z501" s="37"/>
      <c r="AA501" s="18"/>
      <c r="AB501" s="18"/>
      <c r="AC501" s="18"/>
    </row>
    <row r="502" spans="23:29" customFormat="1" x14ac:dyDescent="0.25">
      <c r="W502" s="37"/>
      <c r="X502" s="52"/>
      <c r="Y502" s="52"/>
      <c r="Z502" s="37"/>
      <c r="AA502" s="18"/>
      <c r="AB502" s="18"/>
      <c r="AC502" s="18"/>
    </row>
    <row r="503" spans="23:29" customFormat="1" x14ac:dyDescent="0.25">
      <c r="W503" s="37"/>
      <c r="X503" s="52"/>
      <c r="Y503" s="52"/>
      <c r="Z503" s="37"/>
      <c r="AA503" s="18"/>
      <c r="AB503" s="18"/>
      <c r="AC503" s="18"/>
    </row>
    <row r="504" spans="23:29" customFormat="1" x14ac:dyDescent="0.25">
      <c r="W504" s="37"/>
      <c r="X504" s="52"/>
      <c r="Y504" s="52"/>
      <c r="Z504" s="37"/>
      <c r="AA504" s="18"/>
      <c r="AB504" s="18"/>
      <c r="AC504" s="18"/>
    </row>
    <row r="505" spans="23:29" customFormat="1" x14ac:dyDescent="0.25">
      <c r="W505" s="37"/>
      <c r="X505" s="52"/>
      <c r="Y505" s="52"/>
      <c r="Z505" s="37"/>
      <c r="AA505" s="18"/>
      <c r="AB505" s="18"/>
      <c r="AC505" s="18"/>
    </row>
    <row r="506" spans="23:29" customFormat="1" x14ac:dyDescent="0.25">
      <c r="W506" s="37"/>
      <c r="X506" s="52"/>
      <c r="Y506" s="52"/>
      <c r="Z506" s="37"/>
      <c r="AA506" s="18"/>
      <c r="AB506" s="18"/>
      <c r="AC506" s="18"/>
    </row>
    <row r="507" spans="23:29" customFormat="1" x14ac:dyDescent="0.25">
      <c r="W507" s="37"/>
      <c r="X507" s="52"/>
      <c r="Y507" s="52"/>
      <c r="Z507" s="37"/>
      <c r="AA507" s="18"/>
      <c r="AB507" s="18"/>
      <c r="AC507" s="18"/>
    </row>
    <row r="508" spans="23:29" customFormat="1" x14ac:dyDescent="0.25">
      <c r="W508" s="37"/>
      <c r="X508" s="52"/>
      <c r="Y508" s="52"/>
      <c r="Z508" s="37"/>
      <c r="AA508" s="18"/>
      <c r="AB508" s="18"/>
      <c r="AC508" s="18"/>
    </row>
    <row r="509" spans="23:29" customFormat="1" x14ac:dyDescent="0.25">
      <c r="W509" s="37"/>
      <c r="X509" s="52"/>
      <c r="Y509" s="52"/>
      <c r="Z509" s="37"/>
      <c r="AA509" s="18"/>
      <c r="AB509" s="18"/>
      <c r="AC509" s="18"/>
    </row>
    <row r="510" spans="23:29" customFormat="1" x14ac:dyDescent="0.25">
      <c r="W510" s="37"/>
      <c r="X510" s="52"/>
      <c r="Y510" s="52"/>
      <c r="Z510" s="37"/>
      <c r="AA510" s="18"/>
      <c r="AB510" s="18"/>
      <c r="AC510" s="18"/>
    </row>
    <row r="511" spans="23:29" customFormat="1" x14ac:dyDescent="0.25">
      <c r="W511" s="37"/>
      <c r="X511" s="52"/>
      <c r="Y511" s="52"/>
      <c r="Z511" s="37"/>
      <c r="AA511" s="18"/>
      <c r="AB511" s="18"/>
      <c r="AC511" s="18"/>
    </row>
    <row r="512" spans="23:29" customFormat="1" x14ac:dyDescent="0.25">
      <c r="W512" s="37"/>
      <c r="X512" s="52"/>
      <c r="Y512" s="52"/>
      <c r="Z512" s="37"/>
      <c r="AA512" s="18"/>
      <c r="AB512" s="18"/>
      <c r="AC512" s="18"/>
    </row>
    <row r="513" spans="23:29" customFormat="1" x14ac:dyDescent="0.25">
      <c r="W513" s="37"/>
      <c r="X513" s="52"/>
      <c r="Y513" s="52"/>
      <c r="Z513" s="37"/>
      <c r="AA513" s="18"/>
      <c r="AB513" s="18"/>
      <c r="AC513" s="18"/>
    </row>
    <row r="514" spans="23:29" customFormat="1" x14ac:dyDescent="0.25">
      <c r="W514" s="37"/>
      <c r="X514" s="52"/>
      <c r="Y514" s="52"/>
      <c r="Z514" s="37"/>
      <c r="AA514" s="18"/>
      <c r="AB514" s="18"/>
      <c r="AC514" s="18"/>
    </row>
    <row r="515" spans="23:29" customFormat="1" x14ac:dyDescent="0.25">
      <c r="W515" s="37"/>
      <c r="X515" s="52"/>
      <c r="Y515" s="52"/>
      <c r="Z515" s="37"/>
      <c r="AA515" s="18"/>
      <c r="AB515" s="18"/>
      <c r="AC515" s="18"/>
    </row>
    <row r="516" spans="23:29" customFormat="1" x14ac:dyDescent="0.25">
      <c r="W516" s="37"/>
      <c r="X516" s="52"/>
      <c r="Y516" s="52"/>
      <c r="Z516" s="37"/>
      <c r="AA516" s="18"/>
      <c r="AB516" s="18"/>
      <c r="AC516" s="18"/>
    </row>
    <row r="517" spans="23:29" customFormat="1" x14ac:dyDescent="0.25">
      <c r="W517" s="37"/>
      <c r="X517" s="52"/>
      <c r="Y517" s="52"/>
      <c r="Z517" s="37"/>
      <c r="AA517" s="18"/>
      <c r="AB517" s="18"/>
      <c r="AC517" s="18"/>
    </row>
    <row r="518" spans="23:29" customFormat="1" x14ac:dyDescent="0.25">
      <c r="W518" s="37"/>
      <c r="X518" s="52"/>
      <c r="Y518" s="52"/>
      <c r="Z518" s="37"/>
      <c r="AA518" s="18"/>
      <c r="AB518" s="18"/>
      <c r="AC518" s="18"/>
    </row>
    <row r="519" spans="23:29" customFormat="1" x14ac:dyDescent="0.25">
      <c r="W519" s="37"/>
      <c r="X519" s="52"/>
      <c r="Y519" s="52"/>
      <c r="Z519" s="37"/>
      <c r="AA519" s="18"/>
      <c r="AB519" s="18"/>
      <c r="AC519" s="18"/>
    </row>
    <row r="520" spans="23:29" customFormat="1" x14ac:dyDescent="0.25">
      <c r="W520" s="37"/>
      <c r="X520" s="52"/>
      <c r="Y520" s="52"/>
      <c r="Z520" s="37"/>
      <c r="AA520" s="18"/>
      <c r="AB520" s="18"/>
      <c r="AC520" s="18"/>
    </row>
    <row r="521" spans="23:29" customFormat="1" x14ac:dyDescent="0.25">
      <c r="W521" s="37"/>
      <c r="X521" s="52"/>
      <c r="Y521" s="52"/>
      <c r="Z521" s="37"/>
      <c r="AA521" s="18"/>
      <c r="AB521" s="18"/>
      <c r="AC521" s="18"/>
    </row>
    <row r="522" spans="23:29" customFormat="1" x14ac:dyDescent="0.25">
      <c r="W522" s="37"/>
      <c r="X522" s="52"/>
      <c r="Y522" s="52"/>
      <c r="Z522" s="37"/>
      <c r="AA522" s="18"/>
      <c r="AB522" s="18"/>
      <c r="AC522" s="18"/>
    </row>
    <row r="523" spans="23:29" customFormat="1" x14ac:dyDescent="0.25">
      <c r="W523" s="37"/>
      <c r="X523" s="52"/>
      <c r="Y523" s="52"/>
      <c r="Z523" s="37"/>
      <c r="AA523" s="18"/>
      <c r="AB523" s="18"/>
      <c r="AC523" s="18"/>
    </row>
    <row r="524" spans="23:29" customFormat="1" x14ac:dyDescent="0.25">
      <c r="W524" s="37"/>
      <c r="X524" s="52"/>
      <c r="Y524" s="52"/>
      <c r="Z524" s="37"/>
      <c r="AA524" s="18"/>
      <c r="AB524" s="18"/>
      <c r="AC524" s="18"/>
    </row>
    <row r="525" spans="23:29" customFormat="1" x14ac:dyDescent="0.25">
      <c r="W525" s="37"/>
      <c r="X525" s="52"/>
      <c r="Y525" s="52"/>
      <c r="Z525" s="37"/>
      <c r="AA525" s="18"/>
      <c r="AB525" s="18"/>
      <c r="AC525" s="18"/>
    </row>
    <row r="526" spans="23:29" customFormat="1" x14ac:dyDescent="0.25">
      <c r="W526" s="37"/>
      <c r="X526" s="52"/>
      <c r="Y526" s="52"/>
      <c r="Z526" s="37"/>
      <c r="AA526" s="18"/>
      <c r="AB526" s="18"/>
      <c r="AC526" s="18"/>
    </row>
    <row r="527" spans="23:29" customFormat="1" x14ac:dyDescent="0.25">
      <c r="W527" s="37"/>
      <c r="X527" s="52"/>
      <c r="Y527" s="52"/>
      <c r="Z527" s="37"/>
      <c r="AA527" s="18"/>
      <c r="AB527" s="18"/>
      <c r="AC527" s="18"/>
    </row>
    <row r="528" spans="23:29" customFormat="1" x14ac:dyDescent="0.25">
      <c r="W528" s="37"/>
      <c r="X528" s="52"/>
      <c r="Y528" s="52"/>
      <c r="Z528" s="37"/>
      <c r="AA528" s="18"/>
      <c r="AB528" s="18"/>
      <c r="AC528" s="18"/>
    </row>
    <row r="529" spans="23:29" customFormat="1" x14ac:dyDescent="0.25">
      <c r="W529" s="37"/>
      <c r="X529" s="52"/>
      <c r="Y529" s="52"/>
      <c r="Z529" s="37"/>
      <c r="AA529" s="18"/>
      <c r="AB529" s="18"/>
      <c r="AC529" s="18"/>
    </row>
    <row r="530" spans="23:29" customFormat="1" x14ac:dyDescent="0.25">
      <c r="W530" s="37"/>
      <c r="X530" s="52"/>
      <c r="Y530" s="52"/>
      <c r="Z530" s="37"/>
      <c r="AA530" s="18"/>
      <c r="AB530" s="18"/>
      <c r="AC530" s="18"/>
    </row>
    <row r="531" spans="23:29" customFormat="1" x14ac:dyDescent="0.25">
      <c r="W531" s="37"/>
      <c r="X531" s="52"/>
      <c r="Y531" s="52"/>
      <c r="Z531" s="37"/>
      <c r="AA531" s="18"/>
      <c r="AB531" s="18"/>
      <c r="AC531" s="18"/>
    </row>
    <row r="532" spans="23:29" customFormat="1" x14ac:dyDescent="0.25">
      <c r="W532" s="37"/>
      <c r="X532" s="52"/>
      <c r="Y532" s="52"/>
      <c r="Z532" s="37"/>
      <c r="AA532" s="18"/>
      <c r="AB532" s="18"/>
      <c r="AC532" s="18"/>
    </row>
    <row r="533" spans="23:29" customFormat="1" x14ac:dyDescent="0.25">
      <c r="W533" s="37"/>
      <c r="X533" s="52"/>
      <c r="Y533" s="52"/>
      <c r="Z533" s="37"/>
      <c r="AA533" s="18"/>
      <c r="AB533" s="18"/>
      <c r="AC533" s="18"/>
    </row>
    <row r="534" spans="23:29" customFormat="1" x14ac:dyDescent="0.25">
      <c r="W534" s="37"/>
      <c r="X534" s="52"/>
      <c r="Y534" s="52"/>
      <c r="Z534" s="37"/>
      <c r="AA534" s="18"/>
      <c r="AB534" s="18"/>
      <c r="AC534" s="18"/>
    </row>
    <row r="535" spans="23:29" customFormat="1" x14ac:dyDescent="0.25">
      <c r="W535" s="37"/>
      <c r="X535" s="52"/>
      <c r="Y535" s="52"/>
      <c r="Z535" s="37"/>
      <c r="AA535" s="18"/>
      <c r="AB535" s="18"/>
      <c r="AC535" s="18"/>
    </row>
    <row r="536" spans="23:29" customFormat="1" x14ac:dyDescent="0.25">
      <c r="W536" s="37"/>
      <c r="X536" s="52"/>
      <c r="Y536" s="52"/>
      <c r="Z536" s="37"/>
      <c r="AA536" s="18"/>
      <c r="AB536" s="18"/>
      <c r="AC536" s="18"/>
    </row>
    <row r="537" spans="23:29" customFormat="1" x14ac:dyDescent="0.25">
      <c r="W537" s="37"/>
      <c r="X537" s="52"/>
      <c r="Y537" s="52"/>
      <c r="Z537" s="37"/>
      <c r="AA537" s="18"/>
      <c r="AB537" s="18"/>
      <c r="AC537" s="18"/>
    </row>
    <row r="538" spans="23:29" customFormat="1" x14ac:dyDescent="0.25">
      <c r="W538" s="37"/>
      <c r="X538" s="52"/>
      <c r="Y538" s="52"/>
      <c r="Z538" s="37"/>
      <c r="AA538" s="18"/>
      <c r="AB538" s="18"/>
      <c r="AC538" s="18"/>
    </row>
    <row r="539" spans="23:29" customFormat="1" x14ac:dyDescent="0.25">
      <c r="W539" s="37"/>
      <c r="X539" s="52"/>
      <c r="Y539" s="52"/>
      <c r="Z539" s="37"/>
      <c r="AA539" s="18"/>
      <c r="AB539" s="18"/>
      <c r="AC539" s="18"/>
    </row>
    <row r="540" spans="23:29" customFormat="1" x14ac:dyDescent="0.25">
      <c r="W540" s="37"/>
      <c r="X540" s="52"/>
      <c r="Y540" s="52"/>
      <c r="Z540" s="37"/>
      <c r="AA540" s="18"/>
      <c r="AB540" s="18"/>
      <c r="AC540" s="18"/>
    </row>
    <row r="541" spans="23:29" customFormat="1" x14ac:dyDescent="0.25">
      <c r="W541" s="37"/>
      <c r="X541" s="52"/>
      <c r="Y541" s="52"/>
      <c r="Z541" s="37"/>
      <c r="AA541" s="18"/>
      <c r="AB541" s="18"/>
      <c r="AC541" s="18"/>
    </row>
    <row r="542" spans="23:29" customFormat="1" x14ac:dyDescent="0.25">
      <c r="W542" s="37"/>
      <c r="X542" s="52"/>
      <c r="Y542" s="52"/>
      <c r="Z542" s="37"/>
      <c r="AA542" s="18"/>
      <c r="AB542" s="18"/>
      <c r="AC542" s="18"/>
    </row>
    <row r="543" spans="23:29" customFormat="1" x14ac:dyDescent="0.25">
      <c r="W543" s="37"/>
      <c r="X543" s="52"/>
      <c r="Y543" s="52"/>
      <c r="Z543" s="37"/>
      <c r="AA543" s="18"/>
      <c r="AB543" s="18"/>
      <c r="AC543" s="18"/>
    </row>
    <row r="544" spans="23:29" customFormat="1" x14ac:dyDescent="0.25">
      <c r="W544" s="37"/>
      <c r="X544" s="52"/>
      <c r="Y544" s="52"/>
      <c r="Z544" s="37"/>
      <c r="AA544" s="18"/>
      <c r="AB544" s="18"/>
      <c r="AC544" s="18"/>
    </row>
    <row r="545" spans="23:29" customFormat="1" x14ac:dyDescent="0.25">
      <c r="W545" s="37"/>
      <c r="X545" s="52"/>
      <c r="Y545" s="52"/>
      <c r="Z545" s="37"/>
      <c r="AA545" s="18"/>
      <c r="AB545" s="18"/>
      <c r="AC545" s="18"/>
    </row>
    <row r="546" spans="23:29" customFormat="1" x14ac:dyDescent="0.25">
      <c r="W546" s="37"/>
      <c r="X546" s="52"/>
      <c r="Y546" s="52"/>
      <c r="Z546" s="37"/>
      <c r="AA546" s="18"/>
      <c r="AB546" s="18"/>
      <c r="AC546" s="18"/>
    </row>
    <row r="547" spans="23:29" customFormat="1" x14ac:dyDescent="0.25">
      <c r="W547" s="37"/>
      <c r="X547" s="52"/>
      <c r="Y547" s="52"/>
      <c r="Z547" s="37"/>
      <c r="AA547" s="18"/>
      <c r="AB547" s="18"/>
      <c r="AC547" s="18"/>
    </row>
    <row r="548" spans="23:29" customFormat="1" x14ac:dyDescent="0.25">
      <c r="W548" s="37"/>
      <c r="X548" s="52"/>
      <c r="Y548" s="52"/>
      <c r="Z548" s="37"/>
      <c r="AA548" s="18"/>
      <c r="AB548" s="18"/>
      <c r="AC548" s="18"/>
    </row>
    <row r="549" spans="23:29" customFormat="1" x14ac:dyDescent="0.25">
      <c r="W549" s="37"/>
      <c r="X549" s="52"/>
      <c r="Y549" s="52"/>
      <c r="Z549" s="37"/>
      <c r="AA549" s="18"/>
      <c r="AB549" s="18"/>
      <c r="AC549" s="18"/>
    </row>
    <row r="550" spans="23:29" customFormat="1" x14ac:dyDescent="0.25">
      <c r="W550" s="37"/>
      <c r="X550" s="52"/>
      <c r="Y550" s="52"/>
      <c r="Z550" s="37"/>
      <c r="AA550" s="18"/>
      <c r="AB550" s="18"/>
      <c r="AC550" s="18"/>
    </row>
    <row r="551" spans="23:29" customFormat="1" x14ac:dyDescent="0.25">
      <c r="W551" s="37"/>
      <c r="X551" s="52"/>
      <c r="Y551" s="52"/>
      <c r="Z551" s="37"/>
      <c r="AA551" s="18"/>
      <c r="AB551" s="18"/>
      <c r="AC551" s="18"/>
    </row>
    <row r="552" spans="23:29" customFormat="1" x14ac:dyDescent="0.25">
      <c r="W552" s="37"/>
      <c r="X552" s="52"/>
      <c r="Y552" s="52"/>
      <c r="Z552" s="37"/>
      <c r="AA552" s="18"/>
      <c r="AB552" s="18"/>
      <c r="AC552" s="18"/>
    </row>
    <row r="553" spans="23:29" customFormat="1" x14ac:dyDescent="0.25">
      <c r="W553" s="37"/>
      <c r="X553" s="52"/>
      <c r="Y553" s="52"/>
      <c r="Z553" s="37"/>
      <c r="AA553" s="18"/>
      <c r="AB553" s="18"/>
      <c r="AC553" s="18"/>
    </row>
    <row r="554" spans="23:29" customFormat="1" x14ac:dyDescent="0.25">
      <c r="W554" s="37"/>
      <c r="X554" s="52"/>
      <c r="Y554" s="52"/>
      <c r="Z554" s="37"/>
      <c r="AA554" s="18"/>
      <c r="AB554" s="18"/>
      <c r="AC554" s="18"/>
    </row>
    <row r="555" spans="23:29" customFormat="1" x14ac:dyDescent="0.25">
      <c r="W555" s="37"/>
      <c r="X555" s="52"/>
      <c r="Y555" s="52"/>
      <c r="Z555" s="37"/>
      <c r="AA555" s="18"/>
      <c r="AB555" s="18"/>
      <c r="AC555" s="18"/>
    </row>
    <row r="556" spans="23:29" customFormat="1" x14ac:dyDescent="0.25">
      <c r="W556" s="37"/>
      <c r="X556" s="52"/>
      <c r="Y556" s="52"/>
      <c r="Z556" s="37"/>
      <c r="AA556" s="18"/>
      <c r="AB556" s="18"/>
      <c r="AC556" s="18"/>
    </row>
    <row r="557" spans="23:29" customFormat="1" x14ac:dyDescent="0.25">
      <c r="W557" s="37"/>
      <c r="X557" s="52"/>
      <c r="Y557" s="52"/>
      <c r="Z557" s="37"/>
      <c r="AA557" s="18"/>
      <c r="AB557" s="18"/>
      <c r="AC557" s="18"/>
    </row>
    <row r="558" spans="23:29" customFormat="1" x14ac:dyDescent="0.25">
      <c r="W558" s="37"/>
      <c r="X558" s="52"/>
      <c r="Y558" s="52"/>
      <c r="Z558" s="37"/>
      <c r="AA558" s="18"/>
      <c r="AB558" s="18"/>
      <c r="AC558" s="18"/>
    </row>
    <row r="559" spans="23:29" customFormat="1" x14ac:dyDescent="0.25">
      <c r="W559" s="37"/>
      <c r="X559" s="52"/>
      <c r="Y559" s="52"/>
      <c r="Z559" s="37"/>
      <c r="AA559" s="18"/>
      <c r="AB559" s="18"/>
      <c r="AC559" s="18"/>
    </row>
    <row r="560" spans="23:29" customFormat="1" x14ac:dyDescent="0.25">
      <c r="W560" s="37"/>
      <c r="X560" s="52"/>
      <c r="Y560" s="52"/>
      <c r="Z560" s="37"/>
      <c r="AA560" s="18"/>
      <c r="AB560" s="18"/>
      <c r="AC560" s="18"/>
    </row>
    <row r="561" spans="23:29" customFormat="1" x14ac:dyDescent="0.25">
      <c r="W561" s="37"/>
      <c r="X561" s="52"/>
      <c r="Y561" s="52"/>
      <c r="Z561" s="37"/>
      <c r="AA561" s="18"/>
      <c r="AB561" s="18"/>
      <c r="AC561" s="18"/>
    </row>
    <row r="562" spans="23:29" customFormat="1" x14ac:dyDescent="0.25">
      <c r="W562" s="37"/>
      <c r="X562" s="52"/>
      <c r="Y562" s="52"/>
      <c r="Z562" s="37"/>
      <c r="AA562" s="18"/>
      <c r="AB562" s="18"/>
      <c r="AC562" s="18"/>
    </row>
    <row r="563" spans="23:29" customFormat="1" x14ac:dyDescent="0.25">
      <c r="W563" s="37"/>
      <c r="X563" s="52"/>
      <c r="Y563" s="52"/>
      <c r="Z563" s="37"/>
      <c r="AA563" s="18"/>
      <c r="AB563" s="18"/>
      <c r="AC563" s="18"/>
    </row>
    <row r="564" spans="23:29" customFormat="1" x14ac:dyDescent="0.25">
      <c r="W564" s="37"/>
      <c r="X564" s="52"/>
      <c r="Y564" s="52"/>
      <c r="Z564" s="37"/>
      <c r="AA564" s="18"/>
      <c r="AB564" s="18"/>
      <c r="AC564" s="18"/>
    </row>
    <row r="565" spans="23:29" customFormat="1" x14ac:dyDescent="0.25">
      <c r="W565" s="37"/>
      <c r="X565" s="52"/>
      <c r="Y565" s="52"/>
      <c r="Z565" s="37"/>
      <c r="AA565" s="18"/>
      <c r="AB565" s="18"/>
      <c r="AC565" s="18"/>
    </row>
    <row r="566" spans="23:29" customFormat="1" x14ac:dyDescent="0.25">
      <c r="W566" s="37"/>
      <c r="X566" s="52"/>
      <c r="Y566" s="52"/>
      <c r="Z566" s="37"/>
      <c r="AA566" s="18"/>
      <c r="AB566" s="18"/>
      <c r="AC566" s="18"/>
    </row>
    <row r="567" spans="23:29" customFormat="1" x14ac:dyDescent="0.25">
      <c r="W567" s="37"/>
      <c r="X567" s="52"/>
      <c r="Y567" s="52"/>
      <c r="Z567" s="37"/>
      <c r="AA567" s="18"/>
      <c r="AB567" s="18"/>
      <c r="AC567" s="18"/>
    </row>
    <row r="568" spans="23:29" customFormat="1" x14ac:dyDescent="0.25">
      <c r="W568" s="37"/>
      <c r="X568" s="52"/>
      <c r="Y568" s="52"/>
      <c r="Z568" s="37"/>
      <c r="AA568" s="18"/>
      <c r="AB568" s="18"/>
      <c r="AC568" s="18"/>
    </row>
    <row r="569" spans="23:29" customFormat="1" x14ac:dyDescent="0.25">
      <c r="W569" s="37"/>
      <c r="X569" s="52"/>
      <c r="Y569" s="52"/>
      <c r="Z569" s="37"/>
      <c r="AA569" s="18"/>
      <c r="AB569" s="18"/>
      <c r="AC569" s="18"/>
    </row>
    <row r="570" spans="23:29" customFormat="1" x14ac:dyDescent="0.25">
      <c r="W570" s="37"/>
      <c r="X570" s="52"/>
      <c r="Y570" s="52"/>
      <c r="Z570" s="37"/>
      <c r="AA570" s="18"/>
      <c r="AB570" s="18"/>
      <c r="AC570" s="18"/>
    </row>
    <row r="571" spans="23:29" customFormat="1" x14ac:dyDescent="0.25">
      <c r="W571" s="37"/>
      <c r="X571" s="52"/>
      <c r="Y571" s="52"/>
      <c r="Z571" s="37"/>
      <c r="AA571" s="18"/>
      <c r="AB571" s="18"/>
      <c r="AC571" s="18"/>
    </row>
    <row r="572" spans="23:29" customFormat="1" x14ac:dyDescent="0.25">
      <c r="W572" s="37"/>
      <c r="X572" s="52"/>
      <c r="Y572" s="52"/>
      <c r="Z572" s="37"/>
      <c r="AA572" s="18"/>
      <c r="AB572" s="18"/>
      <c r="AC572" s="18"/>
    </row>
    <row r="573" spans="23:29" customFormat="1" x14ac:dyDescent="0.25">
      <c r="W573" s="37"/>
      <c r="X573" s="52"/>
      <c r="Y573" s="52"/>
      <c r="Z573" s="37"/>
      <c r="AA573" s="18"/>
      <c r="AB573" s="18"/>
      <c r="AC573" s="18"/>
    </row>
    <row r="574" spans="23:29" customFormat="1" x14ac:dyDescent="0.25">
      <c r="W574" s="37"/>
      <c r="X574" s="52"/>
      <c r="Y574" s="52"/>
      <c r="Z574" s="37"/>
      <c r="AA574" s="18"/>
      <c r="AB574" s="18"/>
      <c r="AC574" s="18"/>
    </row>
    <row r="575" spans="23:29" customFormat="1" x14ac:dyDescent="0.25">
      <c r="W575" s="37"/>
      <c r="X575" s="52"/>
      <c r="Y575" s="52"/>
      <c r="Z575" s="37"/>
      <c r="AA575" s="18"/>
      <c r="AB575" s="18"/>
      <c r="AC575" s="18"/>
    </row>
    <row r="576" spans="23:29" customFormat="1" x14ac:dyDescent="0.25">
      <c r="W576" s="37"/>
      <c r="X576" s="52"/>
      <c r="Y576" s="52"/>
      <c r="Z576" s="37"/>
      <c r="AA576" s="18"/>
      <c r="AB576" s="18"/>
      <c r="AC576" s="18"/>
    </row>
    <row r="577" spans="23:29" customFormat="1" x14ac:dyDescent="0.25">
      <c r="W577" s="37"/>
      <c r="X577" s="52"/>
      <c r="Y577" s="52"/>
      <c r="Z577" s="37"/>
      <c r="AA577" s="18"/>
      <c r="AB577" s="18"/>
      <c r="AC577" s="18"/>
    </row>
    <row r="578" spans="23:29" customFormat="1" x14ac:dyDescent="0.25">
      <c r="W578" s="37"/>
      <c r="X578" s="52"/>
      <c r="Y578" s="52"/>
      <c r="Z578" s="37"/>
      <c r="AA578" s="18"/>
      <c r="AB578" s="18"/>
      <c r="AC578" s="18"/>
    </row>
    <row r="579" spans="23:29" customFormat="1" x14ac:dyDescent="0.25">
      <c r="W579" s="37"/>
      <c r="X579" s="52"/>
      <c r="Y579" s="52"/>
      <c r="Z579" s="37"/>
      <c r="AA579" s="18"/>
      <c r="AB579" s="18"/>
      <c r="AC579" s="18"/>
    </row>
    <row r="580" spans="23:29" customFormat="1" x14ac:dyDescent="0.25">
      <c r="W580" s="37"/>
      <c r="X580" s="52"/>
      <c r="Y580" s="52"/>
      <c r="Z580" s="37"/>
      <c r="AA580" s="18"/>
      <c r="AB580" s="18"/>
      <c r="AC580" s="18"/>
    </row>
    <row r="581" spans="23:29" customFormat="1" x14ac:dyDescent="0.25">
      <c r="W581" s="37"/>
      <c r="X581" s="52"/>
      <c r="Y581" s="52"/>
      <c r="Z581" s="37"/>
      <c r="AA581" s="18"/>
      <c r="AB581" s="18"/>
      <c r="AC581" s="18"/>
    </row>
    <row r="582" spans="23:29" customFormat="1" x14ac:dyDescent="0.25">
      <c r="W582" s="37"/>
      <c r="X582" s="52"/>
      <c r="Y582" s="52"/>
      <c r="Z582" s="37"/>
      <c r="AA582" s="18"/>
      <c r="AB582" s="18"/>
      <c r="AC582" s="18"/>
    </row>
    <row r="583" spans="23:29" customFormat="1" x14ac:dyDescent="0.25">
      <c r="W583" s="37"/>
      <c r="X583" s="52"/>
      <c r="Y583" s="52"/>
      <c r="Z583" s="37"/>
      <c r="AA583" s="18"/>
      <c r="AB583" s="18"/>
      <c r="AC583" s="18"/>
    </row>
    <row r="584" spans="23:29" customFormat="1" x14ac:dyDescent="0.25">
      <c r="W584" s="37"/>
      <c r="X584" s="52"/>
      <c r="Y584" s="52"/>
      <c r="Z584" s="37"/>
      <c r="AA584" s="18"/>
      <c r="AB584" s="18"/>
      <c r="AC584" s="18"/>
    </row>
    <row r="585" spans="23:29" customFormat="1" x14ac:dyDescent="0.25">
      <c r="W585" s="37"/>
      <c r="X585" s="52"/>
      <c r="Y585" s="52"/>
      <c r="Z585" s="37"/>
      <c r="AA585" s="18"/>
      <c r="AB585" s="18"/>
      <c r="AC585" s="18"/>
    </row>
    <row r="586" spans="23:29" customFormat="1" x14ac:dyDescent="0.25">
      <c r="W586" s="37"/>
      <c r="X586" s="52"/>
      <c r="Y586" s="52"/>
      <c r="Z586" s="37"/>
      <c r="AA586" s="18"/>
      <c r="AB586" s="18"/>
      <c r="AC586" s="18"/>
    </row>
    <row r="587" spans="23:29" customFormat="1" x14ac:dyDescent="0.25">
      <c r="W587" s="37"/>
      <c r="X587" s="52"/>
      <c r="Y587" s="52"/>
      <c r="Z587" s="37"/>
      <c r="AA587" s="18"/>
      <c r="AB587" s="18"/>
      <c r="AC587" s="18"/>
    </row>
    <row r="588" spans="23:29" customFormat="1" x14ac:dyDescent="0.25">
      <c r="W588" s="37"/>
      <c r="X588" s="52"/>
      <c r="Y588" s="52"/>
      <c r="Z588" s="37"/>
      <c r="AA588" s="18"/>
      <c r="AB588" s="18"/>
      <c r="AC588" s="18"/>
    </row>
    <row r="589" spans="23:29" customFormat="1" x14ac:dyDescent="0.25">
      <c r="W589" s="37"/>
      <c r="X589" s="52"/>
      <c r="Y589" s="52"/>
      <c r="Z589" s="37"/>
      <c r="AA589" s="18"/>
      <c r="AB589" s="18"/>
      <c r="AC589" s="18"/>
    </row>
    <row r="590" spans="23:29" customFormat="1" x14ac:dyDescent="0.25">
      <c r="W590" s="37"/>
      <c r="X590" s="52"/>
      <c r="Y590" s="52"/>
      <c r="Z590" s="37"/>
      <c r="AA590" s="18"/>
      <c r="AB590" s="18"/>
      <c r="AC590" s="18"/>
    </row>
    <row r="591" spans="23:29" customFormat="1" x14ac:dyDescent="0.25">
      <c r="W591" s="37"/>
      <c r="X591" s="52"/>
      <c r="Y591" s="52"/>
      <c r="Z591" s="37"/>
      <c r="AA591" s="18"/>
      <c r="AB591" s="18"/>
      <c r="AC591" s="18"/>
    </row>
    <row r="592" spans="23:29" customFormat="1" x14ac:dyDescent="0.25">
      <c r="W592" s="37"/>
      <c r="X592" s="52"/>
      <c r="Y592" s="52"/>
      <c r="Z592" s="37"/>
      <c r="AA592" s="18"/>
      <c r="AB592" s="18"/>
      <c r="AC592" s="18"/>
    </row>
    <row r="593" spans="23:29" customFormat="1" x14ac:dyDescent="0.25">
      <c r="W593" s="37"/>
      <c r="X593" s="52"/>
      <c r="Y593" s="52"/>
      <c r="Z593" s="37"/>
      <c r="AA593" s="18"/>
      <c r="AB593" s="18"/>
      <c r="AC593" s="18"/>
    </row>
    <row r="594" spans="23:29" customFormat="1" x14ac:dyDescent="0.25">
      <c r="W594" s="37"/>
      <c r="X594" s="52"/>
      <c r="Y594" s="52"/>
      <c r="Z594" s="37"/>
      <c r="AA594" s="18"/>
      <c r="AB594" s="18"/>
      <c r="AC594" s="18"/>
    </row>
    <row r="595" spans="23:29" customFormat="1" x14ac:dyDescent="0.25">
      <c r="W595" s="37"/>
      <c r="X595" s="52"/>
      <c r="Y595" s="52"/>
      <c r="Z595" s="37"/>
      <c r="AA595" s="18"/>
      <c r="AB595" s="18"/>
      <c r="AC595" s="18"/>
    </row>
    <row r="596" spans="23:29" customFormat="1" x14ac:dyDescent="0.25">
      <c r="W596" s="37"/>
      <c r="X596" s="52"/>
      <c r="Y596" s="52"/>
      <c r="Z596" s="37"/>
      <c r="AA596" s="18"/>
      <c r="AB596" s="18"/>
      <c r="AC596" s="18"/>
    </row>
    <row r="597" spans="23:29" customFormat="1" x14ac:dyDescent="0.25">
      <c r="W597" s="37"/>
      <c r="X597" s="52"/>
      <c r="Y597" s="52"/>
      <c r="Z597" s="37"/>
      <c r="AA597" s="18"/>
      <c r="AB597" s="18"/>
      <c r="AC597" s="18"/>
    </row>
    <row r="598" spans="23:29" customFormat="1" x14ac:dyDescent="0.25">
      <c r="W598" s="37"/>
      <c r="X598" s="52"/>
      <c r="Y598" s="52"/>
      <c r="Z598" s="37"/>
      <c r="AA598" s="18"/>
      <c r="AB598" s="18"/>
      <c r="AC598" s="18"/>
    </row>
    <row r="599" spans="23:29" customFormat="1" x14ac:dyDescent="0.25">
      <c r="W599" s="37"/>
      <c r="X599" s="52"/>
      <c r="Y599" s="52"/>
      <c r="Z599" s="37"/>
      <c r="AA599" s="18"/>
      <c r="AB599" s="18"/>
      <c r="AC599" s="18"/>
    </row>
    <row r="600" spans="23:29" customFormat="1" x14ac:dyDescent="0.25">
      <c r="W600" s="37"/>
      <c r="X600" s="52"/>
      <c r="Y600" s="52"/>
      <c r="Z600" s="37"/>
      <c r="AA600" s="18"/>
      <c r="AB600" s="18"/>
      <c r="AC600" s="18"/>
    </row>
    <row r="601" spans="23:29" customFormat="1" x14ac:dyDescent="0.25">
      <c r="W601" s="37"/>
      <c r="X601" s="52"/>
      <c r="Y601" s="52"/>
      <c r="Z601" s="37"/>
      <c r="AA601" s="18"/>
      <c r="AB601" s="18"/>
      <c r="AC601" s="18"/>
    </row>
    <row r="602" spans="23:29" customFormat="1" x14ac:dyDescent="0.25">
      <c r="W602" s="37"/>
      <c r="X602" s="52"/>
      <c r="Y602" s="52"/>
      <c r="Z602" s="37"/>
      <c r="AA602" s="18"/>
      <c r="AB602" s="18"/>
      <c r="AC602" s="18"/>
    </row>
    <row r="603" spans="23:29" customFormat="1" x14ac:dyDescent="0.25">
      <c r="W603" s="37"/>
      <c r="X603" s="52"/>
      <c r="Y603" s="52"/>
      <c r="Z603" s="37"/>
      <c r="AA603" s="18"/>
      <c r="AB603" s="18"/>
      <c r="AC603" s="18"/>
    </row>
    <row r="604" spans="23:29" customFormat="1" x14ac:dyDescent="0.25">
      <c r="W604" s="37"/>
      <c r="X604" s="52"/>
      <c r="Y604" s="52"/>
      <c r="Z604" s="37"/>
      <c r="AA604" s="18"/>
      <c r="AB604" s="18"/>
      <c r="AC604" s="18"/>
    </row>
    <row r="605" spans="23:29" customFormat="1" x14ac:dyDescent="0.25">
      <c r="W605" s="37"/>
      <c r="X605" s="52"/>
      <c r="Y605" s="52"/>
      <c r="Z605" s="37"/>
      <c r="AA605" s="18"/>
      <c r="AB605" s="18"/>
      <c r="AC605" s="18"/>
    </row>
    <row r="606" spans="23:29" customFormat="1" x14ac:dyDescent="0.25">
      <c r="W606" s="37"/>
      <c r="X606" s="52"/>
      <c r="Y606" s="52"/>
      <c r="Z606" s="37"/>
      <c r="AA606" s="18"/>
      <c r="AB606" s="18"/>
      <c r="AC606" s="18"/>
    </row>
    <row r="607" spans="23:29" customFormat="1" x14ac:dyDescent="0.25">
      <c r="W607" s="37"/>
      <c r="X607" s="52"/>
      <c r="Y607" s="52"/>
      <c r="Z607" s="37"/>
      <c r="AA607" s="18"/>
      <c r="AB607" s="18"/>
      <c r="AC607" s="18"/>
    </row>
    <row r="608" spans="23:29" customFormat="1" x14ac:dyDescent="0.25">
      <c r="W608" s="37"/>
      <c r="X608" s="52"/>
      <c r="Y608" s="52"/>
      <c r="Z608" s="37"/>
      <c r="AA608" s="18"/>
      <c r="AB608" s="18"/>
      <c r="AC608" s="18"/>
    </row>
    <row r="609" spans="23:29" customFormat="1" x14ac:dyDescent="0.25">
      <c r="W609" s="37"/>
      <c r="X609" s="52"/>
      <c r="Y609" s="52"/>
      <c r="Z609" s="37"/>
      <c r="AA609" s="18"/>
      <c r="AB609" s="18"/>
      <c r="AC609" s="18"/>
    </row>
    <row r="610" spans="23:29" customFormat="1" x14ac:dyDescent="0.25">
      <c r="W610" s="37"/>
      <c r="X610" s="52"/>
      <c r="Y610" s="52"/>
      <c r="Z610" s="37"/>
      <c r="AA610" s="18"/>
      <c r="AB610" s="18"/>
      <c r="AC610" s="18"/>
    </row>
    <row r="611" spans="23:29" customFormat="1" x14ac:dyDescent="0.25">
      <c r="W611" s="37"/>
      <c r="X611" s="52"/>
      <c r="Y611" s="52"/>
      <c r="Z611" s="37"/>
      <c r="AA611" s="18"/>
      <c r="AB611" s="18"/>
      <c r="AC611" s="18"/>
    </row>
    <row r="612" spans="23:29" customFormat="1" x14ac:dyDescent="0.25">
      <c r="W612" s="37"/>
      <c r="X612" s="52"/>
      <c r="Y612" s="52"/>
      <c r="Z612" s="37"/>
      <c r="AA612" s="18"/>
      <c r="AB612" s="18"/>
      <c r="AC612" s="18"/>
    </row>
    <row r="613" spans="23:29" customFormat="1" x14ac:dyDescent="0.25">
      <c r="W613" s="37"/>
      <c r="X613" s="52"/>
      <c r="Y613" s="52"/>
      <c r="Z613" s="37"/>
      <c r="AA613" s="18"/>
      <c r="AB613" s="18"/>
      <c r="AC613" s="18"/>
    </row>
    <row r="614" spans="23:29" customFormat="1" x14ac:dyDescent="0.25">
      <c r="W614" s="37"/>
      <c r="X614" s="52"/>
      <c r="Y614" s="52"/>
      <c r="Z614" s="37"/>
      <c r="AA614" s="18"/>
      <c r="AB614" s="18"/>
      <c r="AC614" s="18"/>
    </row>
    <row r="615" spans="23:29" customFormat="1" x14ac:dyDescent="0.25">
      <c r="W615" s="37"/>
      <c r="X615" s="52"/>
      <c r="Y615" s="52"/>
      <c r="Z615" s="37"/>
      <c r="AA615" s="18"/>
      <c r="AB615" s="18"/>
      <c r="AC615" s="18"/>
    </row>
    <row r="616" spans="23:29" customFormat="1" x14ac:dyDescent="0.25">
      <c r="W616" s="37"/>
      <c r="X616" s="52"/>
      <c r="Y616" s="52"/>
      <c r="Z616" s="37"/>
      <c r="AA616" s="18"/>
      <c r="AB616" s="18"/>
      <c r="AC616" s="18"/>
    </row>
    <row r="617" spans="23:29" customFormat="1" x14ac:dyDescent="0.25">
      <c r="W617" s="37"/>
      <c r="X617" s="52"/>
      <c r="Y617" s="52"/>
      <c r="Z617" s="37"/>
      <c r="AA617" s="18"/>
      <c r="AB617" s="18"/>
      <c r="AC617" s="18"/>
    </row>
    <row r="618" spans="23:29" customFormat="1" x14ac:dyDescent="0.25">
      <c r="W618" s="37"/>
      <c r="X618" s="52"/>
      <c r="Y618" s="52"/>
      <c r="Z618" s="37"/>
      <c r="AA618" s="18"/>
      <c r="AB618" s="18"/>
      <c r="AC618" s="18"/>
    </row>
    <row r="619" spans="23:29" customFormat="1" x14ac:dyDescent="0.25">
      <c r="W619" s="37"/>
      <c r="X619" s="52"/>
      <c r="Y619" s="52"/>
      <c r="Z619" s="37"/>
      <c r="AA619" s="18"/>
      <c r="AB619" s="18"/>
      <c r="AC619" s="18"/>
    </row>
    <row r="620" spans="23:29" customFormat="1" x14ac:dyDescent="0.25">
      <c r="W620" s="37"/>
      <c r="X620" s="52"/>
      <c r="Y620" s="52"/>
      <c r="Z620" s="37"/>
      <c r="AA620" s="18"/>
      <c r="AB620" s="18"/>
      <c r="AC620" s="18"/>
    </row>
    <row r="621" spans="23:29" customFormat="1" x14ac:dyDescent="0.25">
      <c r="W621" s="37"/>
      <c r="X621" s="52"/>
      <c r="Y621" s="52"/>
      <c r="Z621" s="37"/>
      <c r="AA621" s="18"/>
      <c r="AB621" s="18"/>
      <c r="AC621" s="18"/>
    </row>
    <row r="622" spans="23:29" customFormat="1" x14ac:dyDescent="0.25">
      <c r="W622" s="37"/>
      <c r="X622" s="52"/>
      <c r="Y622" s="52"/>
      <c r="Z622" s="37"/>
      <c r="AA622" s="18"/>
      <c r="AB622" s="18"/>
      <c r="AC622" s="18"/>
    </row>
    <row r="623" spans="23:29" customFormat="1" x14ac:dyDescent="0.25">
      <c r="W623" s="37"/>
      <c r="X623" s="52"/>
      <c r="Y623" s="52"/>
      <c r="Z623" s="37"/>
      <c r="AA623" s="18"/>
      <c r="AB623" s="18"/>
      <c r="AC623" s="18"/>
    </row>
    <row r="624" spans="23:29" customFormat="1" x14ac:dyDescent="0.25">
      <c r="W624" s="37"/>
      <c r="X624" s="52"/>
      <c r="Y624" s="52"/>
      <c r="Z624" s="37"/>
      <c r="AA624" s="18"/>
      <c r="AB624" s="18"/>
      <c r="AC624" s="18"/>
    </row>
    <row r="625" spans="23:29" customFormat="1" x14ac:dyDescent="0.25">
      <c r="W625" s="37"/>
      <c r="X625" s="52"/>
      <c r="Y625" s="52"/>
      <c r="Z625" s="37"/>
      <c r="AA625" s="18"/>
      <c r="AB625" s="18"/>
      <c r="AC625" s="18"/>
    </row>
    <row r="626" spans="23:29" customFormat="1" x14ac:dyDescent="0.25">
      <c r="W626" s="37"/>
      <c r="X626" s="52"/>
      <c r="Y626" s="52"/>
      <c r="Z626" s="37"/>
      <c r="AA626" s="18"/>
      <c r="AB626" s="18"/>
      <c r="AC626" s="18"/>
    </row>
    <row r="627" spans="23:29" customFormat="1" x14ac:dyDescent="0.25">
      <c r="W627" s="37"/>
      <c r="X627" s="52"/>
      <c r="Y627" s="52"/>
      <c r="Z627" s="37"/>
      <c r="AA627" s="18"/>
      <c r="AB627" s="18"/>
      <c r="AC627" s="18"/>
    </row>
    <row r="628" spans="23:29" customFormat="1" x14ac:dyDescent="0.25">
      <c r="W628" s="37"/>
      <c r="X628" s="52"/>
      <c r="Y628" s="52"/>
      <c r="Z628" s="37"/>
      <c r="AA628" s="18"/>
      <c r="AB628" s="18"/>
      <c r="AC628" s="18"/>
    </row>
    <row r="629" spans="23:29" customFormat="1" x14ac:dyDescent="0.25">
      <c r="W629" s="37"/>
      <c r="X629" s="52"/>
      <c r="Y629" s="52"/>
      <c r="Z629" s="37"/>
      <c r="AA629" s="18"/>
      <c r="AB629" s="18"/>
      <c r="AC629" s="18"/>
    </row>
    <row r="630" spans="23:29" customFormat="1" x14ac:dyDescent="0.25">
      <c r="W630" s="37"/>
      <c r="X630" s="52"/>
      <c r="Y630" s="52"/>
      <c r="Z630" s="37"/>
      <c r="AA630" s="18"/>
      <c r="AB630" s="18"/>
      <c r="AC630" s="18"/>
    </row>
    <row r="631" spans="23:29" customFormat="1" x14ac:dyDescent="0.25">
      <c r="W631" s="37"/>
      <c r="X631" s="52"/>
      <c r="Y631" s="52"/>
      <c r="Z631" s="37"/>
      <c r="AA631" s="18"/>
      <c r="AB631" s="18"/>
      <c r="AC631" s="18"/>
    </row>
    <row r="632" spans="23:29" customFormat="1" x14ac:dyDescent="0.25">
      <c r="W632" s="37"/>
      <c r="X632" s="52"/>
      <c r="Y632" s="52"/>
      <c r="Z632" s="37"/>
      <c r="AA632" s="18"/>
      <c r="AB632" s="18"/>
      <c r="AC632" s="18"/>
    </row>
    <row r="633" spans="23:29" customFormat="1" x14ac:dyDescent="0.25">
      <c r="W633" s="37"/>
      <c r="X633" s="52"/>
      <c r="Y633" s="52"/>
      <c r="Z633" s="37"/>
      <c r="AA633" s="18"/>
      <c r="AB633" s="18"/>
      <c r="AC633" s="18"/>
    </row>
    <row r="634" spans="23:29" customFormat="1" x14ac:dyDescent="0.25">
      <c r="W634" s="37"/>
      <c r="X634" s="52"/>
      <c r="Y634" s="52"/>
      <c r="Z634" s="37"/>
      <c r="AA634" s="18"/>
      <c r="AB634" s="18"/>
      <c r="AC634" s="18"/>
    </row>
    <row r="635" spans="23:29" customFormat="1" x14ac:dyDescent="0.25">
      <c r="W635" s="37"/>
      <c r="X635" s="52"/>
      <c r="Y635" s="52"/>
      <c r="Z635" s="37"/>
      <c r="AA635" s="18"/>
      <c r="AB635" s="18"/>
      <c r="AC635" s="18"/>
    </row>
    <row r="636" spans="23:29" customFormat="1" x14ac:dyDescent="0.25">
      <c r="W636" s="37"/>
      <c r="X636" s="52"/>
      <c r="Y636" s="52"/>
      <c r="Z636" s="37"/>
      <c r="AA636" s="18"/>
      <c r="AB636" s="18"/>
      <c r="AC636" s="18"/>
    </row>
    <row r="637" spans="23:29" customFormat="1" x14ac:dyDescent="0.25">
      <c r="W637" s="37"/>
      <c r="X637" s="52"/>
      <c r="Y637" s="52"/>
      <c r="Z637" s="37"/>
      <c r="AA637" s="18"/>
      <c r="AB637" s="18"/>
      <c r="AC637" s="18"/>
    </row>
    <row r="638" spans="23:29" customFormat="1" x14ac:dyDescent="0.25">
      <c r="W638" s="37"/>
      <c r="X638" s="52"/>
      <c r="Y638" s="52"/>
      <c r="Z638" s="37"/>
      <c r="AA638" s="18"/>
      <c r="AB638" s="18"/>
      <c r="AC638" s="18"/>
    </row>
    <row r="639" spans="23:29" customFormat="1" x14ac:dyDescent="0.25">
      <c r="W639" s="37"/>
      <c r="X639" s="52"/>
      <c r="Y639" s="52"/>
      <c r="Z639" s="37"/>
      <c r="AA639" s="18"/>
      <c r="AB639" s="18"/>
      <c r="AC639" s="18"/>
    </row>
    <row r="640" spans="23:29" customFormat="1" x14ac:dyDescent="0.25">
      <c r="W640" s="37"/>
      <c r="X640" s="52"/>
      <c r="Y640" s="52"/>
      <c r="Z640" s="37"/>
      <c r="AA640" s="18"/>
      <c r="AB640" s="18"/>
      <c r="AC640" s="18"/>
    </row>
    <row r="641" spans="23:29" customFormat="1" x14ac:dyDescent="0.25">
      <c r="W641" s="37"/>
      <c r="X641" s="52"/>
      <c r="Y641" s="52"/>
      <c r="Z641" s="37"/>
      <c r="AA641" s="18"/>
      <c r="AB641" s="18"/>
      <c r="AC641" s="18"/>
    </row>
    <row r="642" spans="23:29" customFormat="1" x14ac:dyDescent="0.25">
      <c r="W642" s="37"/>
      <c r="X642" s="52"/>
      <c r="Y642" s="52"/>
      <c r="Z642" s="37"/>
      <c r="AA642" s="18"/>
      <c r="AB642" s="18"/>
      <c r="AC642" s="18"/>
    </row>
    <row r="643" spans="23:29" customFormat="1" x14ac:dyDescent="0.25">
      <c r="W643" s="37"/>
      <c r="X643" s="52"/>
      <c r="Y643" s="52"/>
      <c r="Z643" s="37"/>
      <c r="AA643" s="18"/>
      <c r="AB643" s="18"/>
      <c r="AC643" s="18"/>
    </row>
    <row r="644" spans="23:29" customFormat="1" x14ac:dyDescent="0.25">
      <c r="W644" s="37"/>
      <c r="X644" s="52"/>
      <c r="Y644" s="52"/>
      <c r="Z644" s="37"/>
      <c r="AA644" s="18"/>
      <c r="AB644" s="18"/>
      <c r="AC644" s="18"/>
    </row>
    <row r="645" spans="23:29" customFormat="1" x14ac:dyDescent="0.25">
      <c r="W645" s="37"/>
      <c r="X645" s="52"/>
      <c r="Y645" s="52"/>
      <c r="Z645" s="37"/>
      <c r="AA645" s="18"/>
      <c r="AB645" s="18"/>
      <c r="AC645" s="18"/>
    </row>
    <row r="646" spans="23:29" customFormat="1" x14ac:dyDescent="0.25">
      <c r="W646" s="37"/>
      <c r="X646" s="52"/>
      <c r="Y646" s="52"/>
      <c r="Z646" s="37"/>
      <c r="AA646" s="18"/>
      <c r="AB646" s="18"/>
      <c r="AC646" s="18"/>
    </row>
    <row r="647" spans="23:29" customFormat="1" x14ac:dyDescent="0.25">
      <c r="W647" s="37"/>
      <c r="X647" s="52"/>
      <c r="Y647" s="52"/>
      <c r="Z647" s="37"/>
      <c r="AA647" s="18"/>
      <c r="AB647" s="18"/>
      <c r="AC647" s="18"/>
    </row>
    <row r="648" spans="23:29" customFormat="1" x14ac:dyDescent="0.25">
      <c r="W648" s="37"/>
      <c r="X648" s="52"/>
      <c r="Y648" s="52"/>
      <c r="Z648" s="37"/>
      <c r="AA648" s="18"/>
      <c r="AB648" s="18"/>
      <c r="AC648" s="18"/>
    </row>
    <row r="649" spans="23:29" customFormat="1" x14ac:dyDescent="0.25">
      <c r="W649" s="37"/>
      <c r="X649" s="52"/>
      <c r="Y649" s="52"/>
      <c r="Z649" s="37"/>
      <c r="AA649" s="18"/>
      <c r="AB649" s="18"/>
      <c r="AC649" s="18"/>
    </row>
    <row r="650" spans="23:29" customFormat="1" x14ac:dyDescent="0.25">
      <c r="W650" s="37"/>
      <c r="X650" s="52"/>
      <c r="Y650" s="52"/>
      <c r="Z650" s="37"/>
      <c r="AA650" s="18"/>
      <c r="AB650" s="18"/>
      <c r="AC650" s="18"/>
    </row>
    <row r="651" spans="23:29" customFormat="1" x14ac:dyDescent="0.25">
      <c r="W651" s="37"/>
      <c r="X651" s="52"/>
      <c r="Y651" s="52"/>
      <c r="Z651" s="37"/>
      <c r="AA651" s="18"/>
      <c r="AB651" s="18"/>
      <c r="AC651" s="18"/>
    </row>
    <row r="652" spans="23:29" customFormat="1" x14ac:dyDescent="0.25">
      <c r="W652" s="37"/>
      <c r="X652" s="52"/>
      <c r="Y652" s="52"/>
      <c r="Z652" s="37"/>
      <c r="AA652" s="18"/>
      <c r="AB652" s="18"/>
      <c r="AC652" s="18"/>
    </row>
    <row r="653" spans="23:29" customFormat="1" x14ac:dyDescent="0.25">
      <c r="W653" s="37"/>
      <c r="X653" s="52"/>
      <c r="Y653" s="52"/>
      <c r="Z653" s="37"/>
      <c r="AA653" s="18"/>
      <c r="AB653" s="18"/>
      <c r="AC653" s="18"/>
    </row>
    <row r="654" spans="23:29" customFormat="1" x14ac:dyDescent="0.25">
      <c r="W654" s="37"/>
      <c r="X654" s="52"/>
      <c r="Y654" s="52"/>
      <c r="Z654" s="37"/>
      <c r="AA654" s="18"/>
      <c r="AB654" s="18"/>
      <c r="AC654" s="18"/>
    </row>
    <row r="655" spans="23:29" customFormat="1" x14ac:dyDescent="0.25">
      <c r="W655" s="37"/>
      <c r="X655" s="52"/>
      <c r="Y655" s="52"/>
      <c r="Z655" s="37"/>
      <c r="AA655" s="18"/>
      <c r="AB655" s="18"/>
      <c r="AC655" s="18"/>
    </row>
    <row r="656" spans="23:29" customFormat="1" x14ac:dyDescent="0.25">
      <c r="W656" s="37"/>
      <c r="X656" s="52"/>
      <c r="Y656" s="52"/>
      <c r="Z656" s="37"/>
      <c r="AA656" s="18"/>
      <c r="AB656" s="18"/>
      <c r="AC656" s="18"/>
    </row>
    <row r="657" spans="23:29" customFormat="1" x14ac:dyDescent="0.25">
      <c r="W657" s="37"/>
      <c r="X657" s="52"/>
      <c r="Y657" s="52"/>
      <c r="Z657" s="37"/>
      <c r="AA657" s="18"/>
      <c r="AB657" s="18"/>
      <c r="AC657" s="18"/>
    </row>
    <row r="658" spans="23:29" customFormat="1" x14ac:dyDescent="0.25">
      <c r="W658" s="37"/>
      <c r="X658" s="52"/>
      <c r="Y658" s="52"/>
      <c r="Z658" s="37"/>
      <c r="AA658" s="18"/>
      <c r="AB658" s="18"/>
      <c r="AC658" s="18"/>
    </row>
    <row r="659" spans="23:29" customFormat="1" x14ac:dyDescent="0.25">
      <c r="W659" s="37"/>
      <c r="X659" s="52"/>
      <c r="Y659" s="52"/>
      <c r="Z659" s="37"/>
      <c r="AA659" s="18"/>
      <c r="AB659" s="18"/>
      <c r="AC659" s="18"/>
    </row>
    <row r="660" spans="23:29" customFormat="1" x14ac:dyDescent="0.25">
      <c r="W660" s="37"/>
      <c r="X660" s="52"/>
      <c r="Y660" s="52"/>
      <c r="Z660" s="37"/>
      <c r="AA660" s="18"/>
      <c r="AB660" s="18"/>
      <c r="AC660" s="18"/>
    </row>
    <row r="661" spans="23:29" customFormat="1" x14ac:dyDescent="0.25">
      <c r="W661" s="37"/>
      <c r="X661" s="52"/>
      <c r="Y661" s="52"/>
      <c r="Z661" s="37"/>
      <c r="AA661" s="18"/>
      <c r="AB661" s="18"/>
      <c r="AC661" s="18"/>
    </row>
    <row r="662" spans="23:29" customFormat="1" x14ac:dyDescent="0.25">
      <c r="W662" s="37"/>
      <c r="X662" s="52"/>
      <c r="Y662" s="52"/>
      <c r="Z662" s="37"/>
      <c r="AA662" s="18"/>
      <c r="AB662" s="18"/>
      <c r="AC662" s="18"/>
    </row>
    <row r="663" spans="23:29" customFormat="1" x14ac:dyDescent="0.25">
      <c r="W663" s="37"/>
      <c r="X663" s="52"/>
      <c r="Y663" s="52"/>
      <c r="Z663" s="37"/>
      <c r="AA663" s="18"/>
      <c r="AB663" s="18"/>
      <c r="AC663" s="18"/>
    </row>
    <row r="664" spans="23:29" customFormat="1" x14ac:dyDescent="0.25">
      <c r="W664" s="37"/>
      <c r="X664" s="52"/>
      <c r="Y664" s="52"/>
      <c r="Z664" s="37"/>
      <c r="AA664" s="18"/>
      <c r="AB664" s="18"/>
      <c r="AC664" s="18"/>
    </row>
    <row r="665" spans="23:29" customFormat="1" x14ac:dyDescent="0.25">
      <c r="W665" s="37"/>
      <c r="X665" s="52"/>
      <c r="Y665" s="52"/>
      <c r="Z665" s="37"/>
      <c r="AA665" s="18"/>
      <c r="AB665" s="18"/>
      <c r="AC665" s="18"/>
    </row>
    <row r="666" spans="23:29" customFormat="1" x14ac:dyDescent="0.25">
      <c r="W666" s="37"/>
      <c r="X666" s="52"/>
      <c r="Y666" s="52"/>
      <c r="Z666" s="37"/>
      <c r="AA666" s="18"/>
      <c r="AB666" s="18"/>
      <c r="AC666" s="18"/>
    </row>
    <row r="667" spans="23:29" customFormat="1" x14ac:dyDescent="0.25">
      <c r="W667" s="37"/>
      <c r="X667" s="52"/>
      <c r="Y667" s="52"/>
      <c r="Z667" s="37"/>
      <c r="AA667" s="18"/>
      <c r="AB667" s="18"/>
      <c r="AC667" s="18"/>
    </row>
    <row r="668" spans="23:29" customFormat="1" x14ac:dyDescent="0.25">
      <c r="W668" s="37"/>
      <c r="X668" s="52"/>
      <c r="Y668" s="52"/>
      <c r="Z668" s="37"/>
      <c r="AA668" s="18"/>
      <c r="AB668" s="18"/>
      <c r="AC668" s="18"/>
    </row>
    <row r="669" spans="23:29" customFormat="1" x14ac:dyDescent="0.25">
      <c r="W669" s="37"/>
      <c r="X669" s="52"/>
      <c r="Y669" s="52"/>
      <c r="Z669" s="37"/>
      <c r="AA669" s="18"/>
      <c r="AB669" s="18"/>
      <c r="AC669" s="18"/>
    </row>
    <row r="670" spans="23:29" customFormat="1" x14ac:dyDescent="0.25">
      <c r="W670" s="37"/>
      <c r="X670" s="52"/>
      <c r="Y670" s="52"/>
      <c r="Z670" s="37"/>
      <c r="AA670" s="18"/>
      <c r="AB670" s="18"/>
      <c r="AC670" s="18"/>
    </row>
    <row r="671" spans="23:29" customFormat="1" x14ac:dyDescent="0.25">
      <c r="W671" s="37"/>
      <c r="X671" s="52"/>
      <c r="Y671" s="52"/>
      <c r="Z671" s="37"/>
      <c r="AA671" s="18"/>
      <c r="AB671" s="18"/>
      <c r="AC671" s="18"/>
    </row>
    <row r="672" spans="23:29" customFormat="1" x14ac:dyDescent="0.25">
      <c r="W672" s="37"/>
      <c r="X672" s="52"/>
      <c r="Y672" s="52"/>
      <c r="Z672" s="37"/>
      <c r="AA672" s="18"/>
      <c r="AB672" s="18"/>
      <c r="AC672" s="18"/>
    </row>
    <row r="673" spans="23:29" customFormat="1" x14ac:dyDescent="0.25">
      <c r="W673" s="37"/>
      <c r="X673" s="52"/>
      <c r="Y673" s="52"/>
      <c r="Z673" s="37"/>
      <c r="AA673" s="18"/>
      <c r="AB673" s="18"/>
      <c r="AC673" s="18"/>
    </row>
    <row r="674" spans="23:29" customFormat="1" x14ac:dyDescent="0.25">
      <c r="W674" s="37"/>
      <c r="X674" s="52"/>
      <c r="Y674" s="52"/>
      <c r="Z674" s="37"/>
      <c r="AA674" s="18"/>
      <c r="AB674" s="18"/>
      <c r="AC674" s="18"/>
    </row>
    <row r="675" spans="23:29" customFormat="1" x14ac:dyDescent="0.25">
      <c r="W675" s="37"/>
      <c r="X675" s="52"/>
      <c r="Y675" s="52"/>
      <c r="Z675" s="37"/>
      <c r="AA675" s="18"/>
      <c r="AB675" s="18"/>
      <c r="AC675" s="18"/>
    </row>
    <row r="676" spans="23:29" customFormat="1" x14ac:dyDescent="0.25">
      <c r="W676" s="37"/>
      <c r="X676" s="52"/>
      <c r="Y676" s="52"/>
      <c r="Z676" s="37"/>
      <c r="AA676" s="18"/>
      <c r="AB676" s="18"/>
      <c r="AC676" s="18"/>
    </row>
    <row r="677" spans="23:29" customFormat="1" x14ac:dyDescent="0.25">
      <c r="W677" s="37"/>
      <c r="X677" s="52"/>
      <c r="Y677" s="52"/>
      <c r="Z677" s="37"/>
      <c r="AA677" s="18"/>
      <c r="AB677" s="18"/>
      <c r="AC677" s="18"/>
    </row>
    <row r="678" spans="23:29" customFormat="1" x14ac:dyDescent="0.25">
      <c r="W678" s="37"/>
      <c r="X678" s="52"/>
      <c r="Y678" s="52"/>
      <c r="Z678" s="37"/>
      <c r="AA678" s="18"/>
      <c r="AB678" s="18"/>
      <c r="AC678" s="18"/>
    </row>
    <row r="679" spans="23:29" customFormat="1" x14ac:dyDescent="0.25">
      <c r="W679" s="37"/>
      <c r="X679" s="52"/>
      <c r="Y679" s="52"/>
      <c r="Z679" s="37"/>
      <c r="AA679" s="18"/>
      <c r="AB679" s="18"/>
      <c r="AC679" s="18"/>
    </row>
    <row r="680" spans="23:29" customFormat="1" x14ac:dyDescent="0.25">
      <c r="W680" s="37"/>
      <c r="X680" s="52"/>
      <c r="Y680" s="52"/>
      <c r="Z680" s="37"/>
      <c r="AA680" s="18"/>
      <c r="AB680" s="18"/>
      <c r="AC680" s="18"/>
    </row>
    <row r="681" spans="23:29" customFormat="1" x14ac:dyDescent="0.25">
      <c r="W681" s="37"/>
      <c r="X681" s="52"/>
      <c r="Y681" s="52"/>
      <c r="Z681" s="37"/>
      <c r="AA681" s="18"/>
      <c r="AB681" s="18"/>
      <c r="AC681" s="18"/>
    </row>
    <row r="682" spans="23:29" customFormat="1" x14ac:dyDescent="0.25">
      <c r="W682" s="37"/>
      <c r="X682" s="52"/>
      <c r="Y682" s="52"/>
      <c r="Z682" s="37"/>
      <c r="AA682" s="18"/>
      <c r="AB682" s="18"/>
      <c r="AC682" s="18"/>
    </row>
    <row r="683" spans="23:29" customFormat="1" x14ac:dyDescent="0.25">
      <c r="W683" s="37"/>
      <c r="X683" s="52"/>
      <c r="Y683" s="52"/>
      <c r="Z683" s="37"/>
      <c r="AA683" s="18"/>
      <c r="AB683" s="18"/>
      <c r="AC683" s="18"/>
    </row>
    <row r="684" spans="23:29" customFormat="1" x14ac:dyDescent="0.25">
      <c r="W684" s="37"/>
      <c r="X684" s="52"/>
      <c r="Y684" s="52"/>
      <c r="Z684" s="37"/>
      <c r="AA684" s="18"/>
      <c r="AB684" s="18"/>
      <c r="AC684" s="18"/>
    </row>
    <row r="685" spans="23:29" customFormat="1" x14ac:dyDescent="0.25">
      <c r="W685" s="37"/>
      <c r="X685" s="52"/>
      <c r="Y685" s="52"/>
      <c r="Z685" s="37"/>
      <c r="AA685" s="18"/>
      <c r="AB685" s="18"/>
      <c r="AC685" s="18"/>
    </row>
    <row r="686" spans="23:29" customFormat="1" x14ac:dyDescent="0.25">
      <c r="W686" s="37"/>
      <c r="X686" s="52"/>
      <c r="Y686" s="52"/>
      <c r="Z686" s="37"/>
      <c r="AA686" s="18"/>
      <c r="AB686" s="18"/>
      <c r="AC686" s="18"/>
    </row>
    <row r="687" spans="23:29" customFormat="1" x14ac:dyDescent="0.25">
      <c r="W687" s="37"/>
      <c r="X687" s="52"/>
      <c r="Y687" s="52"/>
      <c r="Z687" s="37"/>
      <c r="AA687" s="18"/>
      <c r="AB687" s="18"/>
      <c r="AC687" s="18"/>
    </row>
    <row r="688" spans="23:29" customFormat="1" x14ac:dyDescent="0.25">
      <c r="W688" s="37"/>
      <c r="X688" s="52"/>
      <c r="Y688" s="52"/>
      <c r="Z688" s="37"/>
      <c r="AA688" s="18"/>
      <c r="AB688" s="18"/>
      <c r="AC688" s="18"/>
    </row>
    <row r="689" spans="23:29" customFormat="1" x14ac:dyDescent="0.25">
      <c r="W689" s="37"/>
      <c r="X689" s="52"/>
      <c r="Y689" s="52"/>
      <c r="Z689" s="37"/>
      <c r="AA689" s="18"/>
      <c r="AB689" s="18"/>
      <c r="AC689" s="18"/>
    </row>
    <row r="690" spans="23:29" customFormat="1" x14ac:dyDescent="0.25">
      <c r="W690" s="37"/>
      <c r="X690" s="52"/>
      <c r="Y690" s="52"/>
      <c r="Z690" s="37"/>
      <c r="AA690" s="18"/>
      <c r="AB690" s="18"/>
      <c r="AC690" s="18"/>
    </row>
    <row r="691" spans="23:29" customFormat="1" x14ac:dyDescent="0.25">
      <c r="W691" s="37"/>
      <c r="X691" s="52"/>
      <c r="Y691" s="52"/>
      <c r="Z691" s="37"/>
      <c r="AA691" s="18"/>
      <c r="AB691" s="18"/>
      <c r="AC691" s="18"/>
    </row>
    <row r="692" spans="23:29" customFormat="1" x14ac:dyDescent="0.25">
      <c r="W692" s="37"/>
      <c r="X692" s="52"/>
      <c r="Y692" s="52"/>
      <c r="Z692" s="37"/>
      <c r="AA692" s="18"/>
      <c r="AB692" s="18"/>
      <c r="AC692" s="18"/>
    </row>
    <row r="693" spans="23:29" customFormat="1" x14ac:dyDescent="0.25">
      <c r="W693" s="37"/>
      <c r="X693" s="52"/>
      <c r="Y693" s="52"/>
      <c r="Z693" s="37"/>
      <c r="AA693" s="18"/>
      <c r="AB693" s="18"/>
      <c r="AC693" s="18"/>
    </row>
    <row r="694" spans="23:29" customFormat="1" x14ac:dyDescent="0.25">
      <c r="W694" s="37"/>
      <c r="X694" s="52"/>
      <c r="Y694" s="52"/>
      <c r="Z694" s="37"/>
      <c r="AA694" s="18"/>
      <c r="AB694" s="18"/>
      <c r="AC694" s="18"/>
    </row>
    <row r="695" spans="23:29" customFormat="1" x14ac:dyDescent="0.25">
      <c r="W695" s="37"/>
      <c r="X695" s="52"/>
      <c r="Y695" s="52"/>
      <c r="Z695" s="37"/>
      <c r="AA695" s="18"/>
      <c r="AB695" s="18"/>
      <c r="AC695" s="18"/>
    </row>
    <row r="696" spans="23:29" customFormat="1" x14ac:dyDescent="0.25">
      <c r="W696" s="37"/>
      <c r="X696" s="52"/>
      <c r="Y696" s="52"/>
      <c r="Z696" s="37"/>
      <c r="AA696" s="18"/>
      <c r="AB696" s="18"/>
      <c r="AC696" s="18"/>
    </row>
    <row r="697" spans="23:29" customFormat="1" x14ac:dyDescent="0.25">
      <c r="W697" s="37"/>
      <c r="X697" s="52"/>
      <c r="Y697" s="52"/>
      <c r="Z697" s="37"/>
      <c r="AA697" s="18"/>
      <c r="AB697" s="18"/>
      <c r="AC697" s="18"/>
    </row>
    <row r="698" spans="23:29" customFormat="1" x14ac:dyDescent="0.25">
      <c r="W698" s="37"/>
      <c r="X698" s="52"/>
      <c r="Y698" s="52"/>
      <c r="Z698" s="37"/>
      <c r="AA698" s="18"/>
      <c r="AB698" s="18"/>
      <c r="AC698" s="18"/>
    </row>
    <row r="699" spans="23:29" customFormat="1" x14ac:dyDescent="0.25">
      <c r="W699" s="37"/>
      <c r="X699" s="52"/>
      <c r="Y699" s="52"/>
      <c r="Z699" s="37"/>
      <c r="AA699" s="18"/>
      <c r="AB699" s="18"/>
      <c r="AC699" s="18"/>
    </row>
    <row r="700" spans="23:29" customFormat="1" x14ac:dyDescent="0.25">
      <c r="W700" s="37"/>
      <c r="X700" s="52"/>
      <c r="Y700" s="52"/>
      <c r="Z700" s="37"/>
      <c r="AA700" s="18"/>
      <c r="AB700" s="18"/>
      <c r="AC700" s="18"/>
    </row>
    <row r="701" spans="23:29" customFormat="1" x14ac:dyDescent="0.25">
      <c r="W701" s="37"/>
      <c r="X701" s="52"/>
      <c r="Y701" s="52"/>
      <c r="Z701" s="37"/>
      <c r="AA701" s="18"/>
      <c r="AB701" s="18"/>
      <c r="AC701" s="18"/>
    </row>
    <row r="702" spans="23:29" customFormat="1" x14ac:dyDescent="0.25">
      <c r="W702" s="37"/>
      <c r="X702" s="52"/>
      <c r="Y702" s="52"/>
      <c r="Z702" s="37"/>
      <c r="AA702" s="18"/>
      <c r="AB702" s="18"/>
      <c r="AC702" s="18"/>
    </row>
    <row r="703" spans="23:29" customFormat="1" x14ac:dyDescent="0.25">
      <c r="W703" s="37"/>
      <c r="X703" s="52"/>
      <c r="Y703" s="52"/>
      <c r="Z703" s="37"/>
      <c r="AA703" s="18"/>
      <c r="AB703" s="18"/>
      <c r="AC703" s="18"/>
    </row>
    <row r="704" spans="23:29" customFormat="1" x14ac:dyDescent="0.25">
      <c r="W704" s="37"/>
      <c r="X704" s="52"/>
      <c r="Y704" s="52"/>
      <c r="Z704" s="37"/>
      <c r="AA704" s="18"/>
      <c r="AB704" s="18"/>
      <c r="AC704" s="18"/>
    </row>
    <row r="705" spans="23:29" customFormat="1" x14ac:dyDescent="0.25">
      <c r="W705" s="37"/>
      <c r="X705" s="52"/>
      <c r="Y705" s="52"/>
      <c r="Z705" s="37"/>
      <c r="AA705" s="18"/>
      <c r="AB705" s="18"/>
      <c r="AC705" s="18"/>
    </row>
    <row r="706" spans="23:29" customFormat="1" x14ac:dyDescent="0.25">
      <c r="W706" s="37"/>
      <c r="X706" s="52"/>
      <c r="Y706" s="52"/>
      <c r="Z706" s="37"/>
      <c r="AA706" s="18"/>
      <c r="AB706" s="18"/>
      <c r="AC706" s="18"/>
    </row>
    <row r="707" spans="23:29" customFormat="1" x14ac:dyDescent="0.25">
      <c r="W707" s="37"/>
      <c r="X707" s="52"/>
      <c r="Y707" s="52"/>
      <c r="Z707" s="37"/>
      <c r="AA707" s="18"/>
      <c r="AB707" s="18"/>
      <c r="AC707" s="18"/>
    </row>
    <row r="708" spans="23:29" customFormat="1" x14ac:dyDescent="0.25">
      <c r="W708" s="37"/>
      <c r="X708" s="52"/>
      <c r="Y708" s="52"/>
      <c r="Z708" s="37"/>
      <c r="AA708" s="18"/>
      <c r="AB708" s="18"/>
      <c r="AC708" s="18"/>
    </row>
    <row r="709" spans="23:29" customFormat="1" x14ac:dyDescent="0.25">
      <c r="W709" s="37"/>
      <c r="X709" s="52"/>
      <c r="Y709" s="52"/>
      <c r="Z709" s="37"/>
      <c r="AA709" s="18"/>
      <c r="AB709" s="18"/>
      <c r="AC709" s="18"/>
    </row>
    <row r="710" spans="23:29" customFormat="1" x14ac:dyDescent="0.25">
      <c r="W710" s="37"/>
      <c r="X710" s="52"/>
      <c r="Y710" s="52"/>
      <c r="Z710" s="37"/>
      <c r="AA710" s="18"/>
      <c r="AB710" s="18"/>
      <c r="AC710" s="18"/>
    </row>
    <row r="711" spans="23:29" customFormat="1" x14ac:dyDescent="0.25">
      <c r="W711" s="37"/>
      <c r="X711" s="52"/>
      <c r="Y711" s="52"/>
      <c r="Z711" s="37"/>
      <c r="AA711" s="18"/>
      <c r="AB711" s="18"/>
      <c r="AC711" s="18"/>
    </row>
    <row r="712" spans="23:29" customFormat="1" x14ac:dyDescent="0.25">
      <c r="W712" s="37"/>
      <c r="X712" s="52"/>
      <c r="Y712" s="52"/>
      <c r="Z712" s="37"/>
      <c r="AA712" s="18"/>
      <c r="AB712" s="18"/>
      <c r="AC712" s="18"/>
    </row>
    <row r="713" spans="23:29" customFormat="1" x14ac:dyDescent="0.25">
      <c r="W713" s="37"/>
      <c r="X713" s="52"/>
      <c r="Y713" s="52"/>
      <c r="Z713" s="37"/>
      <c r="AA713" s="18"/>
      <c r="AB713" s="18"/>
      <c r="AC713" s="18"/>
    </row>
    <row r="714" spans="23:29" customFormat="1" x14ac:dyDescent="0.25">
      <c r="W714" s="37"/>
      <c r="X714" s="52"/>
      <c r="Y714" s="52"/>
      <c r="Z714" s="37"/>
      <c r="AA714" s="18"/>
      <c r="AB714" s="18"/>
      <c r="AC714" s="18"/>
    </row>
    <row r="715" spans="23:29" customFormat="1" x14ac:dyDescent="0.25">
      <c r="W715" s="37"/>
      <c r="X715" s="52"/>
      <c r="Y715" s="52"/>
      <c r="Z715" s="37"/>
      <c r="AA715" s="18"/>
      <c r="AB715" s="18"/>
      <c r="AC715" s="18"/>
    </row>
    <row r="716" spans="23:29" customFormat="1" x14ac:dyDescent="0.25">
      <c r="W716" s="37"/>
      <c r="X716" s="52"/>
      <c r="Y716" s="52"/>
      <c r="Z716" s="37"/>
      <c r="AA716" s="18"/>
      <c r="AB716" s="18"/>
      <c r="AC716" s="18"/>
    </row>
    <row r="717" spans="23:29" customFormat="1" x14ac:dyDescent="0.25">
      <c r="W717" s="37"/>
      <c r="X717" s="52"/>
      <c r="Y717" s="52"/>
      <c r="Z717" s="37"/>
      <c r="AA717" s="18"/>
      <c r="AB717" s="18"/>
      <c r="AC717" s="18"/>
    </row>
    <row r="718" spans="23:29" customFormat="1" x14ac:dyDescent="0.25">
      <c r="W718" s="37"/>
      <c r="X718" s="52"/>
      <c r="Y718" s="52"/>
      <c r="Z718" s="37"/>
      <c r="AA718" s="18"/>
      <c r="AB718" s="18"/>
      <c r="AC718" s="18"/>
    </row>
    <row r="719" spans="23:29" customFormat="1" x14ac:dyDescent="0.25">
      <c r="W719" s="37"/>
      <c r="X719" s="52"/>
      <c r="Y719" s="52"/>
      <c r="Z719" s="37"/>
      <c r="AA719" s="18"/>
      <c r="AB719" s="18"/>
      <c r="AC719" s="18"/>
    </row>
    <row r="720" spans="23:29" customFormat="1" x14ac:dyDescent="0.25">
      <c r="W720" s="37"/>
      <c r="X720" s="52"/>
      <c r="Y720" s="52"/>
      <c r="Z720" s="37"/>
      <c r="AA720" s="18"/>
      <c r="AB720" s="18"/>
      <c r="AC720" s="18"/>
    </row>
    <row r="721" spans="23:29" customFormat="1" x14ac:dyDescent="0.25">
      <c r="W721" s="37"/>
      <c r="X721" s="52"/>
      <c r="Y721" s="52"/>
      <c r="Z721" s="37"/>
      <c r="AA721" s="18"/>
      <c r="AB721" s="18"/>
      <c r="AC721" s="18"/>
    </row>
    <row r="722" spans="23:29" customFormat="1" x14ac:dyDescent="0.25">
      <c r="W722" s="37"/>
      <c r="X722" s="52"/>
      <c r="Y722" s="52"/>
      <c r="Z722" s="37"/>
      <c r="AA722" s="18"/>
      <c r="AB722" s="18"/>
      <c r="AC722" s="18"/>
    </row>
    <row r="723" spans="23:29" customFormat="1" x14ac:dyDescent="0.25">
      <c r="W723" s="37"/>
      <c r="X723" s="52"/>
      <c r="Y723" s="52"/>
      <c r="Z723" s="37"/>
      <c r="AA723" s="18"/>
      <c r="AB723" s="18"/>
      <c r="AC723" s="18"/>
    </row>
    <row r="724" spans="23:29" customFormat="1" x14ac:dyDescent="0.25">
      <c r="W724" s="37"/>
      <c r="X724" s="52"/>
      <c r="Y724" s="52"/>
      <c r="Z724" s="37"/>
      <c r="AA724" s="18"/>
      <c r="AB724" s="18"/>
      <c r="AC724" s="18"/>
    </row>
    <row r="725" spans="23:29" customFormat="1" x14ac:dyDescent="0.25">
      <c r="W725" s="37"/>
      <c r="X725" s="52"/>
      <c r="Y725" s="52"/>
      <c r="Z725" s="37"/>
      <c r="AA725" s="18"/>
      <c r="AB725" s="18"/>
      <c r="AC725" s="18"/>
    </row>
    <row r="726" spans="23:29" customFormat="1" x14ac:dyDescent="0.25">
      <c r="W726" s="37"/>
      <c r="X726" s="52"/>
      <c r="Y726" s="52"/>
      <c r="Z726" s="37"/>
      <c r="AA726" s="18"/>
      <c r="AB726" s="18"/>
      <c r="AC726" s="18"/>
    </row>
    <row r="727" spans="23:29" customFormat="1" x14ac:dyDescent="0.25">
      <c r="W727" s="37"/>
      <c r="X727" s="52"/>
      <c r="Y727" s="52"/>
      <c r="Z727" s="37"/>
      <c r="AA727" s="18"/>
      <c r="AB727" s="18"/>
      <c r="AC727" s="18"/>
    </row>
    <row r="728" spans="23:29" customFormat="1" x14ac:dyDescent="0.25">
      <c r="W728" s="37"/>
      <c r="X728" s="52"/>
      <c r="Y728" s="52"/>
      <c r="Z728" s="37"/>
      <c r="AA728" s="18"/>
      <c r="AB728" s="18"/>
      <c r="AC728" s="18"/>
    </row>
    <row r="729" spans="23:29" customFormat="1" x14ac:dyDescent="0.25">
      <c r="W729" s="37"/>
      <c r="X729" s="52"/>
      <c r="Y729" s="52"/>
      <c r="Z729" s="37"/>
      <c r="AA729" s="18"/>
      <c r="AB729" s="18"/>
      <c r="AC729" s="18"/>
    </row>
    <row r="730" spans="23:29" customFormat="1" x14ac:dyDescent="0.25">
      <c r="W730" s="37"/>
      <c r="X730" s="52"/>
      <c r="Y730" s="52"/>
      <c r="Z730" s="37"/>
      <c r="AA730" s="18"/>
      <c r="AB730" s="18"/>
      <c r="AC730" s="18"/>
    </row>
    <row r="731" spans="23:29" customFormat="1" x14ac:dyDescent="0.25">
      <c r="W731" s="37"/>
      <c r="X731" s="52"/>
      <c r="Y731" s="52"/>
      <c r="Z731" s="37"/>
      <c r="AA731" s="18"/>
      <c r="AB731" s="18"/>
      <c r="AC731" s="18"/>
    </row>
    <row r="732" spans="23:29" customFormat="1" x14ac:dyDescent="0.25">
      <c r="W732" s="37"/>
      <c r="X732" s="52"/>
      <c r="Y732" s="52"/>
      <c r="Z732" s="37"/>
      <c r="AA732" s="18"/>
      <c r="AB732" s="18"/>
      <c r="AC732" s="18"/>
    </row>
    <row r="733" spans="23:29" customFormat="1" x14ac:dyDescent="0.25">
      <c r="W733" s="37"/>
      <c r="X733" s="52"/>
      <c r="Y733" s="52"/>
      <c r="Z733" s="37"/>
      <c r="AA733" s="18"/>
      <c r="AB733" s="18"/>
      <c r="AC733" s="18"/>
    </row>
    <row r="734" spans="23:29" customFormat="1" x14ac:dyDescent="0.25">
      <c r="W734" s="37"/>
      <c r="X734" s="52"/>
      <c r="Y734" s="52"/>
      <c r="Z734" s="37"/>
      <c r="AA734" s="18"/>
      <c r="AB734" s="18"/>
      <c r="AC734" s="18"/>
    </row>
    <row r="735" spans="23:29" customFormat="1" x14ac:dyDescent="0.25">
      <c r="W735" s="37"/>
      <c r="X735" s="52"/>
      <c r="Y735" s="52"/>
      <c r="Z735" s="37"/>
      <c r="AA735" s="18"/>
      <c r="AB735" s="18"/>
      <c r="AC735" s="18"/>
    </row>
    <row r="736" spans="23:29" customFormat="1" x14ac:dyDescent="0.25">
      <c r="W736" s="37"/>
      <c r="X736" s="52"/>
      <c r="Y736" s="52"/>
      <c r="Z736" s="37"/>
      <c r="AA736" s="18"/>
      <c r="AB736" s="18"/>
      <c r="AC736" s="18"/>
    </row>
    <row r="737" spans="23:29" customFormat="1" x14ac:dyDescent="0.25">
      <c r="W737" s="37"/>
      <c r="X737" s="52"/>
      <c r="Y737" s="52"/>
      <c r="Z737" s="37"/>
      <c r="AA737" s="18"/>
      <c r="AB737" s="18"/>
      <c r="AC737" s="18"/>
    </row>
    <row r="738" spans="23:29" customFormat="1" x14ac:dyDescent="0.25">
      <c r="W738" s="37"/>
      <c r="X738" s="52"/>
      <c r="Y738" s="52"/>
      <c r="Z738" s="37"/>
      <c r="AA738" s="18"/>
      <c r="AB738" s="18"/>
      <c r="AC738" s="18"/>
    </row>
    <row r="739" spans="23:29" customFormat="1" x14ac:dyDescent="0.25">
      <c r="W739" s="37"/>
      <c r="X739" s="52"/>
      <c r="Y739" s="52"/>
      <c r="Z739" s="37"/>
      <c r="AA739" s="18"/>
      <c r="AB739" s="18"/>
      <c r="AC739" s="18"/>
    </row>
    <row r="740" spans="23:29" customFormat="1" x14ac:dyDescent="0.25">
      <c r="W740" s="37"/>
      <c r="X740" s="52"/>
      <c r="Y740" s="52"/>
      <c r="Z740" s="37"/>
      <c r="AA740" s="18"/>
      <c r="AB740" s="18"/>
      <c r="AC740" s="18"/>
    </row>
    <row r="741" spans="23:29" customFormat="1" x14ac:dyDescent="0.25">
      <c r="W741" s="37"/>
      <c r="X741" s="52"/>
      <c r="Y741" s="52"/>
      <c r="Z741" s="37"/>
      <c r="AA741" s="18"/>
      <c r="AB741" s="18"/>
      <c r="AC741" s="18"/>
    </row>
    <row r="742" spans="23:29" customFormat="1" x14ac:dyDescent="0.25">
      <c r="W742" s="37"/>
      <c r="X742" s="52"/>
      <c r="Y742" s="52"/>
      <c r="Z742" s="37"/>
      <c r="AA742" s="18"/>
      <c r="AB742" s="18"/>
      <c r="AC742" s="18"/>
    </row>
    <row r="743" spans="23:29" customFormat="1" x14ac:dyDescent="0.25">
      <c r="W743" s="37"/>
      <c r="X743" s="52"/>
      <c r="Y743" s="52"/>
      <c r="Z743" s="37"/>
      <c r="AA743" s="18"/>
      <c r="AB743" s="18"/>
      <c r="AC743" s="18"/>
    </row>
    <row r="744" spans="23:29" customFormat="1" x14ac:dyDescent="0.25">
      <c r="W744" s="37"/>
      <c r="X744" s="52"/>
      <c r="Y744" s="52"/>
      <c r="Z744" s="37"/>
      <c r="AA744" s="18"/>
      <c r="AB744" s="18"/>
      <c r="AC744" s="18"/>
    </row>
    <row r="745" spans="23:29" customFormat="1" x14ac:dyDescent="0.25">
      <c r="W745" s="37"/>
      <c r="X745" s="52"/>
      <c r="Y745" s="52"/>
      <c r="Z745" s="37"/>
      <c r="AA745" s="18"/>
      <c r="AB745" s="18"/>
      <c r="AC745" s="18"/>
    </row>
    <row r="746" spans="23:29" customFormat="1" x14ac:dyDescent="0.25">
      <c r="W746" s="37"/>
      <c r="X746" s="52"/>
      <c r="Y746" s="52"/>
      <c r="Z746" s="37"/>
      <c r="AA746" s="18"/>
      <c r="AB746" s="18"/>
      <c r="AC746" s="18"/>
    </row>
    <row r="747" spans="23:29" customFormat="1" x14ac:dyDescent="0.25">
      <c r="W747" s="37"/>
      <c r="X747" s="52"/>
      <c r="Y747" s="52"/>
      <c r="Z747" s="37"/>
      <c r="AA747" s="18"/>
      <c r="AB747" s="18"/>
      <c r="AC747" s="18"/>
    </row>
    <row r="748" spans="23:29" customFormat="1" x14ac:dyDescent="0.25">
      <c r="W748" s="37"/>
      <c r="X748" s="52"/>
      <c r="Y748" s="52"/>
      <c r="Z748" s="37"/>
      <c r="AA748" s="18"/>
      <c r="AB748" s="18"/>
      <c r="AC748" s="18"/>
    </row>
    <row r="749" spans="23:29" customFormat="1" x14ac:dyDescent="0.25">
      <c r="W749" s="37"/>
      <c r="X749" s="52"/>
      <c r="Y749" s="52"/>
      <c r="Z749" s="37"/>
      <c r="AA749" s="18"/>
      <c r="AB749" s="18"/>
      <c r="AC749" s="18"/>
    </row>
    <row r="750" spans="23:29" customFormat="1" x14ac:dyDescent="0.25">
      <c r="W750" s="37"/>
      <c r="X750" s="52"/>
      <c r="Y750" s="52"/>
      <c r="Z750" s="37"/>
      <c r="AA750" s="18"/>
      <c r="AB750" s="18"/>
      <c r="AC750" s="18"/>
    </row>
    <row r="751" spans="23:29" customFormat="1" x14ac:dyDescent="0.25">
      <c r="W751" s="37"/>
      <c r="X751" s="52"/>
      <c r="Y751" s="52"/>
      <c r="Z751" s="37"/>
      <c r="AA751" s="18"/>
      <c r="AB751" s="18"/>
      <c r="AC751" s="18"/>
    </row>
    <row r="752" spans="23:29" customFormat="1" x14ac:dyDescent="0.25">
      <c r="W752" s="37"/>
      <c r="X752" s="52"/>
      <c r="Y752" s="52"/>
      <c r="Z752" s="37"/>
      <c r="AA752" s="18"/>
      <c r="AB752" s="18"/>
      <c r="AC752" s="18"/>
    </row>
    <row r="753" spans="23:29" customFormat="1" x14ac:dyDescent="0.25">
      <c r="W753" s="37"/>
      <c r="X753" s="52"/>
      <c r="Y753" s="52"/>
      <c r="Z753" s="37"/>
      <c r="AA753" s="18"/>
      <c r="AB753" s="18"/>
      <c r="AC753" s="18"/>
    </row>
    <row r="754" spans="23:29" customFormat="1" x14ac:dyDescent="0.25">
      <c r="W754" s="37"/>
      <c r="X754" s="52"/>
      <c r="Y754" s="52"/>
      <c r="Z754" s="37"/>
      <c r="AA754" s="18"/>
      <c r="AB754" s="18"/>
      <c r="AC754" s="18"/>
    </row>
    <row r="755" spans="23:29" customFormat="1" x14ac:dyDescent="0.25">
      <c r="W755" s="37"/>
      <c r="X755" s="52"/>
      <c r="Y755" s="52"/>
      <c r="Z755" s="37"/>
      <c r="AA755" s="18"/>
      <c r="AB755" s="18"/>
      <c r="AC755" s="18"/>
    </row>
    <row r="756" spans="23:29" customFormat="1" x14ac:dyDescent="0.25">
      <c r="W756" s="37"/>
      <c r="X756" s="52"/>
      <c r="Y756" s="52"/>
      <c r="Z756" s="37"/>
      <c r="AA756" s="18"/>
      <c r="AB756" s="18"/>
      <c r="AC756" s="18"/>
    </row>
    <row r="757" spans="23:29" customFormat="1" x14ac:dyDescent="0.25">
      <c r="W757" s="37"/>
      <c r="X757" s="52"/>
      <c r="Y757" s="52"/>
      <c r="Z757" s="37"/>
      <c r="AA757" s="18"/>
      <c r="AB757" s="18"/>
      <c r="AC757" s="18"/>
    </row>
    <row r="758" spans="23:29" customFormat="1" x14ac:dyDescent="0.25">
      <c r="W758" s="37"/>
      <c r="X758" s="52"/>
      <c r="Y758" s="52"/>
      <c r="Z758" s="37"/>
      <c r="AA758" s="18"/>
      <c r="AB758" s="18"/>
      <c r="AC758" s="18"/>
    </row>
    <row r="759" spans="23:29" customFormat="1" x14ac:dyDescent="0.25">
      <c r="W759" s="37"/>
      <c r="X759" s="52"/>
      <c r="Y759" s="52"/>
      <c r="Z759" s="37"/>
      <c r="AA759" s="18"/>
      <c r="AB759" s="18"/>
      <c r="AC759" s="18"/>
    </row>
    <row r="760" spans="23:29" customFormat="1" x14ac:dyDescent="0.25">
      <c r="W760" s="37"/>
      <c r="X760" s="52"/>
      <c r="Y760" s="52"/>
      <c r="Z760" s="37"/>
      <c r="AA760" s="18"/>
      <c r="AB760" s="18"/>
      <c r="AC760" s="18"/>
    </row>
    <row r="761" spans="23:29" customFormat="1" x14ac:dyDescent="0.25">
      <c r="W761" s="37"/>
      <c r="X761" s="52"/>
      <c r="Y761" s="52"/>
      <c r="Z761" s="37"/>
      <c r="AA761" s="18"/>
      <c r="AB761" s="18"/>
      <c r="AC761" s="18"/>
    </row>
    <row r="762" spans="23:29" customFormat="1" x14ac:dyDescent="0.25">
      <c r="W762" s="37"/>
      <c r="X762" s="52"/>
      <c r="Y762" s="52"/>
      <c r="Z762" s="37"/>
      <c r="AA762" s="18"/>
      <c r="AB762" s="18"/>
      <c r="AC762" s="18"/>
    </row>
    <row r="763" spans="23:29" customFormat="1" x14ac:dyDescent="0.25">
      <c r="W763" s="37"/>
      <c r="X763" s="52"/>
      <c r="Y763" s="52"/>
      <c r="Z763" s="37"/>
      <c r="AA763" s="18"/>
      <c r="AB763" s="18"/>
      <c r="AC763" s="18"/>
    </row>
    <row r="764" spans="23:29" customFormat="1" x14ac:dyDescent="0.25">
      <c r="W764" s="37"/>
      <c r="X764" s="52"/>
      <c r="Y764" s="52"/>
      <c r="Z764" s="37"/>
      <c r="AA764" s="18"/>
      <c r="AB764" s="18"/>
      <c r="AC764" s="18"/>
    </row>
    <row r="765" spans="23:29" customFormat="1" x14ac:dyDescent="0.25">
      <c r="W765" s="37"/>
      <c r="X765" s="52"/>
      <c r="Y765" s="52"/>
      <c r="Z765" s="37"/>
      <c r="AA765" s="18"/>
      <c r="AB765" s="18"/>
      <c r="AC765" s="18"/>
    </row>
    <row r="766" spans="23:29" customFormat="1" x14ac:dyDescent="0.25">
      <c r="W766" s="37"/>
      <c r="X766" s="52"/>
      <c r="Y766" s="52"/>
      <c r="Z766" s="37"/>
      <c r="AA766" s="18"/>
      <c r="AB766" s="18"/>
      <c r="AC766" s="18"/>
    </row>
    <row r="767" spans="23:29" customFormat="1" x14ac:dyDescent="0.25">
      <c r="W767" s="37"/>
      <c r="X767" s="52"/>
      <c r="Y767" s="52"/>
      <c r="Z767" s="37"/>
      <c r="AA767" s="18"/>
      <c r="AB767" s="18"/>
      <c r="AC767" s="18"/>
    </row>
    <row r="768" spans="23:29" customFormat="1" x14ac:dyDescent="0.25">
      <c r="W768" s="37"/>
      <c r="X768" s="52"/>
      <c r="Y768" s="52"/>
      <c r="Z768" s="37"/>
      <c r="AA768" s="18"/>
      <c r="AB768" s="18"/>
      <c r="AC768" s="18"/>
    </row>
    <row r="769" spans="23:29" customFormat="1" x14ac:dyDescent="0.25">
      <c r="W769" s="37"/>
      <c r="X769" s="52"/>
      <c r="Y769" s="52"/>
      <c r="Z769" s="37"/>
      <c r="AA769" s="18"/>
      <c r="AB769" s="18"/>
      <c r="AC769" s="18"/>
    </row>
    <row r="770" spans="23:29" customFormat="1" x14ac:dyDescent="0.25">
      <c r="W770" s="37"/>
      <c r="X770" s="52"/>
      <c r="Y770" s="52"/>
      <c r="Z770" s="37"/>
      <c r="AA770" s="18"/>
      <c r="AB770" s="18"/>
      <c r="AC770" s="18"/>
    </row>
    <row r="771" spans="23:29" customFormat="1" x14ac:dyDescent="0.25">
      <c r="W771" s="37"/>
      <c r="X771" s="52"/>
      <c r="Y771" s="52"/>
      <c r="Z771" s="37"/>
      <c r="AA771" s="18"/>
      <c r="AB771" s="18"/>
      <c r="AC771" s="18"/>
    </row>
    <row r="772" spans="23:29" customFormat="1" x14ac:dyDescent="0.25">
      <c r="W772" s="37"/>
      <c r="X772" s="52"/>
      <c r="Y772" s="52"/>
      <c r="Z772" s="37"/>
      <c r="AA772" s="18"/>
      <c r="AB772" s="18"/>
      <c r="AC772" s="18"/>
    </row>
    <row r="773" spans="23:29" customFormat="1" x14ac:dyDescent="0.25">
      <c r="W773" s="37"/>
      <c r="X773" s="52"/>
      <c r="Y773" s="52"/>
      <c r="Z773" s="37"/>
      <c r="AA773" s="18"/>
      <c r="AB773" s="18"/>
      <c r="AC773" s="18"/>
    </row>
    <row r="774" spans="23:29" customFormat="1" x14ac:dyDescent="0.25">
      <c r="W774" s="37"/>
      <c r="X774" s="52"/>
      <c r="Y774" s="52"/>
      <c r="Z774" s="37"/>
      <c r="AA774" s="18"/>
      <c r="AB774" s="18"/>
      <c r="AC774" s="18"/>
    </row>
    <row r="775" spans="23:29" customFormat="1" x14ac:dyDescent="0.25">
      <c r="W775" s="37"/>
      <c r="X775" s="52"/>
      <c r="Y775" s="52"/>
      <c r="Z775" s="37"/>
      <c r="AA775" s="18"/>
      <c r="AB775" s="18"/>
      <c r="AC775" s="18"/>
    </row>
    <row r="776" spans="23:29" customFormat="1" x14ac:dyDescent="0.25">
      <c r="W776" s="37"/>
      <c r="X776" s="52"/>
      <c r="Y776" s="52"/>
      <c r="Z776" s="37"/>
      <c r="AA776" s="18"/>
      <c r="AB776" s="18"/>
      <c r="AC776" s="18"/>
    </row>
    <row r="777" spans="23:29" customFormat="1" x14ac:dyDescent="0.25">
      <c r="W777" s="37"/>
      <c r="X777" s="52"/>
      <c r="Y777" s="52"/>
      <c r="Z777" s="37"/>
      <c r="AA777" s="18"/>
      <c r="AB777" s="18"/>
      <c r="AC777" s="18"/>
    </row>
    <row r="778" spans="23:29" customFormat="1" x14ac:dyDescent="0.25">
      <c r="W778" s="37"/>
      <c r="X778" s="52"/>
      <c r="Y778" s="52"/>
      <c r="Z778" s="37"/>
      <c r="AA778" s="18"/>
      <c r="AB778" s="18"/>
      <c r="AC778" s="18"/>
    </row>
    <row r="779" spans="23:29" customFormat="1" x14ac:dyDescent="0.25">
      <c r="W779" s="37"/>
      <c r="X779" s="52"/>
      <c r="Y779" s="52"/>
      <c r="Z779" s="37"/>
      <c r="AA779" s="18"/>
      <c r="AB779" s="18"/>
      <c r="AC779" s="18"/>
    </row>
    <row r="780" spans="23:29" customFormat="1" x14ac:dyDescent="0.25">
      <c r="W780" s="37"/>
      <c r="X780" s="52"/>
      <c r="Y780" s="52"/>
      <c r="Z780" s="37"/>
      <c r="AA780" s="18"/>
      <c r="AB780" s="18"/>
      <c r="AC780" s="18"/>
    </row>
    <row r="781" spans="23:29" customFormat="1" x14ac:dyDescent="0.25">
      <c r="W781" s="37"/>
      <c r="X781" s="52"/>
      <c r="Y781" s="52"/>
      <c r="Z781" s="37"/>
      <c r="AA781" s="18"/>
      <c r="AB781" s="18"/>
      <c r="AC781" s="18"/>
    </row>
    <row r="782" spans="23:29" customFormat="1" x14ac:dyDescent="0.25">
      <c r="W782" s="37"/>
      <c r="X782" s="52"/>
      <c r="Y782" s="52"/>
      <c r="Z782" s="37"/>
      <c r="AA782" s="18"/>
      <c r="AB782" s="18"/>
      <c r="AC782" s="18"/>
    </row>
    <row r="783" spans="23:29" customFormat="1" x14ac:dyDescent="0.25">
      <c r="W783" s="37"/>
      <c r="X783" s="52"/>
      <c r="Y783" s="52"/>
      <c r="Z783" s="37"/>
      <c r="AA783" s="18"/>
      <c r="AB783" s="18"/>
      <c r="AC783" s="18"/>
    </row>
    <row r="784" spans="23:29" customFormat="1" x14ac:dyDescent="0.25">
      <c r="W784" s="37"/>
      <c r="X784" s="52"/>
      <c r="Y784" s="52"/>
      <c r="Z784" s="37"/>
      <c r="AA784" s="18"/>
      <c r="AB784" s="18"/>
      <c r="AC784" s="18"/>
    </row>
    <row r="785" spans="23:29" customFormat="1" x14ac:dyDescent="0.25">
      <c r="W785" s="37"/>
      <c r="X785" s="52"/>
      <c r="Y785" s="52"/>
      <c r="Z785" s="37"/>
      <c r="AA785" s="18"/>
      <c r="AB785" s="18"/>
      <c r="AC785" s="18"/>
    </row>
    <row r="786" spans="23:29" customFormat="1" x14ac:dyDescent="0.25">
      <c r="W786" s="37"/>
      <c r="X786" s="52"/>
      <c r="Y786" s="52"/>
      <c r="Z786" s="37"/>
      <c r="AA786" s="18"/>
      <c r="AB786" s="18"/>
      <c r="AC786" s="18"/>
    </row>
    <row r="787" spans="23:29" customFormat="1" x14ac:dyDescent="0.25">
      <c r="W787" s="37"/>
      <c r="X787" s="52"/>
      <c r="Y787" s="52"/>
      <c r="Z787" s="37"/>
      <c r="AA787" s="18"/>
      <c r="AB787" s="18"/>
      <c r="AC787" s="18"/>
    </row>
    <row r="788" spans="23:29" customFormat="1" x14ac:dyDescent="0.25">
      <c r="W788" s="37"/>
      <c r="X788" s="52"/>
      <c r="Y788" s="52"/>
      <c r="Z788" s="37"/>
      <c r="AA788" s="18"/>
      <c r="AB788" s="18"/>
      <c r="AC788" s="18"/>
    </row>
    <row r="789" spans="23:29" customFormat="1" x14ac:dyDescent="0.25">
      <c r="W789" s="37"/>
      <c r="X789" s="52"/>
      <c r="Y789" s="52"/>
      <c r="Z789" s="37"/>
      <c r="AA789" s="18"/>
      <c r="AB789" s="18"/>
      <c r="AC789" s="18"/>
    </row>
    <row r="790" spans="23:29" customFormat="1" x14ac:dyDescent="0.25">
      <c r="W790" s="37"/>
      <c r="X790" s="52"/>
      <c r="Y790" s="52"/>
      <c r="Z790" s="37"/>
      <c r="AA790" s="18"/>
      <c r="AB790" s="18"/>
      <c r="AC790" s="18"/>
    </row>
    <row r="791" spans="23:29" customFormat="1" x14ac:dyDescent="0.25">
      <c r="W791" s="37"/>
      <c r="X791" s="52"/>
      <c r="Y791" s="52"/>
      <c r="Z791" s="37"/>
      <c r="AA791" s="18"/>
      <c r="AB791" s="18"/>
      <c r="AC791" s="18"/>
    </row>
    <row r="792" spans="23:29" customFormat="1" x14ac:dyDescent="0.25">
      <c r="W792" s="37"/>
      <c r="X792" s="52"/>
      <c r="Y792" s="52"/>
      <c r="Z792" s="37"/>
      <c r="AA792" s="18"/>
      <c r="AB792" s="18"/>
      <c r="AC792" s="18"/>
    </row>
    <row r="793" spans="23:29" customFormat="1" x14ac:dyDescent="0.25">
      <c r="W793" s="37"/>
      <c r="X793" s="52"/>
      <c r="Y793" s="52"/>
      <c r="Z793" s="37"/>
      <c r="AA793" s="18"/>
      <c r="AB793" s="18"/>
      <c r="AC793" s="18"/>
    </row>
    <row r="794" spans="23:29" customFormat="1" x14ac:dyDescent="0.25">
      <c r="W794" s="37"/>
      <c r="X794" s="52"/>
      <c r="Y794" s="52"/>
      <c r="Z794" s="37"/>
      <c r="AA794" s="18"/>
      <c r="AB794" s="18"/>
      <c r="AC794" s="18"/>
    </row>
    <row r="795" spans="23:29" customFormat="1" x14ac:dyDescent="0.25">
      <c r="W795" s="37"/>
      <c r="X795" s="52"/>
      <c r="Y795" s="52"/>
      <c r="Z795" s="37"/>
      <c r="AA795" s="18"/>
      <c r="AB795" s="18"/>
      <c r="AC795" s="18"/>
    </row>
    <row r="796" spans="23:29" customFormat="1" x14ac:dyDescent="0.25">
      <c r="W796" s="37"/>
      <c r="X796" s="52"/>
      <c r="Y796" s="52"/>
      <c r="Z796" s="37"/>
      <c r="AA796" s="18"/>
      <c r="AB796" s="18"/>
      <c r="AC796" s="18"/>
    </row>
    <row r="797" spans="23:29" customFormat="1" x14ac:dyDescent="0.25">
      <c r="W797" s="37"/>
      <c r="X797" s="52"/>
      <c r="Y797" s="52"/>
      <c r="Z797" s="37"/>
      <c r="AA797" s="18"/>
      <c r="AB797" s="18"/>
      <c r="AC797" s="18"/>
    </row>
    <row r="798" spans="23:29" customFormat="1" x14ac:dyDescent="0.25">
      <c r="W798" s="37"/>
      <c r="X798" s="52"/>
      <c r="Y798" s="52"/>
      <c r="Z798" s="37"/>
      <c r="AA798" s="18"/>
      <c r="AB798" s="18"/>
      <c r="AC798" s="18"/>
    </row>
    <row r="799" spans="23:29" customFormat="1" x14ac:dyDescent="0.25">
      <c r="W799" s="37"/>
      <c r="X799" s="52"/>
      <c r="Y799" s="52"/>
      <c r="Z799" s="37"/>
      <c r="AA799" s="18"/>
      <c r="AB799" s="18"/>
      <c r="AC799" s="18"/>
    </row>
    <row r="800" spans="23:29" customFormat="1" x14ac:dyDescent="0.25">
      <c r="W800" s="37"/>
      <c r="X800" s="52"/>
      <c r="Y800" s="52"/>
      <c r="Z800" s="37"/>
      <c r="AA800" s="18"/>
      <c r="AB800" s="18"/>
      <c r="AC800" s="18"/>
    </row>
    <row r="801" spans="23:29" customFormat="1" x14ac:dyDescent="0.25">
      <c r="W801" s="37"/>
      <c r="X801" s="52"/>
      <c r="Y801" s="52"/>
      <c r="Z801" s="37"/>
      <c r="AA801" s="18"/>
      <c r="AB801" s="18"/>
      <c r="AC801" s="18"/>
    </row>
    <row r="802" spans="23:29" customFormat="1" x14ac:dyDescent="0.25">
      <c r="W802" s="37"/>
      <c r="X802" s="52"/>
      <c r="Y802" s="52"/>
      <c r="Z802" s="37"/>
      <c r="AA802" s="18"/>
      <c r="AB802" s="18"/>
      <c r="AC802" s="18"/>
    </row>
    <row r="803" spans="23:29" customFormat="1" x14ac:dyDescent="0.25">
      <c r="W803" s="37"/>
      <c r="X803" s="52"/>
      <c r="Y803" s="52"/>
      <c r="Z803" s="37"/>
      <c r="AA803" s="18"/>
      <c r="AB803" s="18"/>
      <c r="AC803" s="18"/>
    </row>
    <row r="804" spans="23:29" customFormat="1" x14ac:dyDescent="0.25">
      <c r="W804" s="37"/>
      <c r="X804" s="52"/>
      <c r="Y804" s="52"/>
      <c r="Z804" s="37"/>
      <c r="AA804" s="18"/>
      <c r="AB804" s="18"/>
      <c r="AC804" s="18"/>
    </row>
    <row r="805" spans="23:29" customFormat="1" x14ac:dyDescent="0.25">
      <c r="W805" s="37"/>
      <c r="X805" s="52"/>
      <c r="Y805" s="52"/>
      <c r="Z805" s="37"/>
      <c r="AA805" s="18"/>
      <c r="AB805" s="18"/>
      <c r="AC805" s="18"/>
    </row>
    <row r="806" spans="23:29" customFormat="1" x14ac:dyDescent="0.25">
      <c r="W806" s="37"/>
      <c r="X806" s="52"/>
      <c r="Y806" s="52"/>
      <c r="Z806" s="37"/>
      <c r="AA806" s="18"/>
      <c r="AB806" s="18"/>
      <c r="AC806" s="18"/>
    </row>
    <row r="807" spans="23:29" customFormat="1" x14ac:dyDescent="0.25">
      <c r="W807" s="37"/>
      <c r="X807" s="52"/>
      <c r="Y807" s="52"/>
      <c r="Z807" s="37"/>
      <c r="AA807" s="18"/>
      <c r="AB807" s="18"/>
      <c r="AC807" s="18"/>
    </row>
    <row r="808" spans="23:29" customFormat="1" x14ac:dyDescent="0.25">
      <c r="W808" s="37"/>
      <c r="X808" s="52"/>
      <c r="Y808" s="52"/>
      <c r="Z808" s="37"/>
      <c r="AA808" s="18"/>
      <c r="AB808" s="18"/>
      <c r="AC808" s="18"/>
    </row>
    <row r="809" spans="23:29" customFormat="1" x14ac:dyDescent="0.25">
      <c r="W809" s="37"/>
      <c r="X809" s="52"/>
      <c r="Y809" s="52"/>
      <c r="Z809" s="37"/>
      <c r="AA809" s="18"/>
      <c r="AB809" s="18"/>
      <c r="AC809" s="18"/>
    </row>
    <row r="810" spans="23:29" customFormat="1" x14ac:dyDescent="0.25">
      <c r="W810" s="37"/>
      <c r="X810" s="52"/>
      <c r="Y810" s="52"/>
      <c r="Z810" s="37"/>
      <c r="AA810" s="18"/>
      <c r="AB810" s="18"/>
      <c r="AC810" s="18"/>
    </row>
    <row r="811" spans="23:29" customFormat="1" x14ac:dyDescent="0.25">
      <c r="W811" s="37"/>
      <c r="X811" s="52"/>
      <c r="Y811" s="52"/>
      <c r="Z811" s="37"/>
      <c r="AA811" s="18"/>
      <c r="AB811" s="18"/>
      <c r="AC811" s="18"/>
    </row>
    <row r="812" spans="23:29" customFormat="1" x14ac:dyDescent="0.25">
      <c r="W812" s="37"/>
      <c r="X812" s="52"/>
      <c r="Y812" s="52"/>
      <c r="Z812" s="37"/>
      <c r="AA812" s="18"/>
      <c r="AB812" s="18"/>
      <c r="AC812" s="18"/>
    </row>
    <row r="813" spans="23:29" customFormat="1" x14ac:dyDescent="0.25">
      <c r="W813" s="37"/>
      <c r="X813" s="52"/>
      <c r="Y813" s="52"/>
      <c r="Z813" s="37"/>
      <c r="AA813" s="18"/>
      <c r="AB813" s="18"/>
      <c r="AC813" s="18"/>
    </row>
    <row r="814" spans="23:29" customFormat="1" x14ac:dyDescent="0.25">
      <c r="W814" s="37"/>
      <c r="X814" s="52"/>
      <c r="Y814" s="52"/>
      <c r="Z814" s="37"/>
      <c r="AA814" s="18"/>
      <c r="AB814" s="18"/>
      <c r="AC814" s="18"/>
    </row>
    <row r="815" spans="23:29" customFormat="1" x14ac:dyDescent="0.25">
      <c r="W815" s="37"/>
      <c r="X815" s="52"/>
      <c r="Y815" s="52"/>
      <c r="Z815" s="37"/>
      <c r="AA815" s="18"/>
      <c r="AB815" s="18"/>
      <c r="AC815" s="18"/>
    </row>
    <row r="816" spans="23:29" customFormat="1" x14ac:dyDescent="0.25">
      <c r="W816" s="37"/>
      <c r="X816" s="52"/>
      <c r="Y816" s="52"/>
      <c r="Z816" s="37"/>
      <c r="AA816" s="18"/>
      <c r="AB816" s="18"/>
      <c r="AC816" s="18"/>
    </row>
    <row r="817" spans="23:29" customFormat="1" x14ac:dyDescent="0.25">
      <c r="W817" s="37"/>
      <c r="X817" s="52"/>
      <c r="Y817" s="52"/>
      <c r="Z817" s="37"/>
      <c r="AA817" s="18"/>
      <c r="AB817" s="18"/>
      <c r="AC817" s="18"/>
    </row>
    <row r="818" spans="23:29" customFormat="1" x14ac:dyDescent="0.25">
      <c r="W818" s="37"/>
      <c r="X818" s="52"/>
      <c r="Y818" s="52"/>
      <c r="Z818" s="37"/>
      <c r="AA818" s="18"/>
      <c r="AB818" s="18"/>
      <c r="AC818" s="18"/>
    </row>
    <row r="819" spans="23:29" customFormat="1" x14ac:dyDescent="0.25">
      <c r="W819" s="37"/>
      <c r="X819" s="52"/>
      <c r="Y819" s="52"/>
      <c r="Z819" s="37"/>
      <c r="AA819" s="18"/>
      <c r="AB819" s="18"/>
      <c r="AC819" s="18"/>
    </row>
    <row r="820" spans="23:29" customFormat="1" x14ac:dyDescent="0.25">
      <c r="W820" s="37"/>
      <c r="X820" s="52"/>
      <c r="Y820" s="52"/>
      <c r="Z820" s="37"/>
      <c r="AA820" s="18"/>
      <c r="AB820" s="18"/>
      <c r="AC820" s="18"/>
    </row>
    <row r="821" spans="23:29" customFormat="1" x14ac:dyDescent="0.25">
      <c r="W821" s="37"/>
      <c r="X821" s="52"/>
      <c r="Y821" s="52"/>
      <c r="Z821" s="37"/>
      <c r="AA821" s="18"/>
      <c r="AB821" s="18"/>
      <c r="AC821" s="18"/>
    </row>
    <row r="822" spans="23:29" customFormat="1" x14ac:dyDescent="0.25">
      <c r="W822" s="37"/>
      <c r="X822" s="52"/>
      <c r="Y822" s="52"/>
      <c r="Z822" s="37"/>
      <c r="AA822" s="18"/>
      <c r="AB822" s="18"/>
      <c r="AC822" s="18"/>
    </row>
    <row r="823" spans="23:29" customFormat="1" x14ac:dyDescent="0.25">
      <c r="W823" s="37"/>
      <c r="X823" s="52"/>
      <c r="Y823" s="52"/>
      <c r="Z823" s="37"/>
      <c r="AA823" s="18"/>
      <c r="AB823" s="18"/>
      <c r="AC823" s="18"/>
    </row>
    <row r="824" spans="23:29" customFormat="1" x14ac:dyDescent="0.25">
      <c r="W824" s="37"/>
      <c r="X824" s="52"/>
      <c r="Y824" s="52"/>
      <c r="Z824" s="37"/>
      <c r="AA824" s="18"/>
      <c r="AB824" s="18"/>
      <c r="AC824" s="18"/>
    </row>
    <row r="825" spans="23:29" customFormat="1" x14ac:dyDescent="0.25">
      <c r="W825" s="37"/>
      <c r="X825" s="52"/>
      <c r="Y825" s="52"/>
      <c r="Z825" s="37"/>
      <c r="AA825" s="18"/>
      <c r="AB825" s="18"/>
      <c r="AC825" s="18"/>
    </row>
    <row r="826" spans="23:29" customFormat="1" x14ac:dyDescent="0.25">
      <c r="W826" s="37"/>
      <c r="X826" s="52"/>
      <c r="Y826" s="52"/>
      <c r="Z826" s="37"/>
      <c r="AA826" s="18"/>
      <c r="AB826" s="18"/>
      <c r="AC826" s="18"/>
    </row>
    <row r="827" spans="23:29" customFormat="1" x14ac:dyDescent="0.25">
      <c r="W827" s="37"/>
      <c r="X827" s="52"/>
      <c r="Y827" s="52"/>
      <c r="Z827" s="37"/>
      <c r="AA827" s="18"/>
      <c r="AB827" s="18"/>
      <c r="AC827" s="18"/>
    </row>
    <row r="828" spans="23:29" customFormat="1" x14ac:dyDescent="0.25">
      <c r="W828" s="37"/>
      <c r="X828" s="52"/>
      <c r="Y828" s="52"/>
      <c r="Z828" s="37"/>
      <c r="AA828" s="18"/>
      <c r="AB828" s="18"/>
      <c r="AC828" s="18"/>
    </row>
    <row r="829" spans="23:29" customFormat="1" x14ac:dyDescent="0.25">
      <c r="W829" s="37"/>
      <c r="X829" s="52"/>
      <c r="Y829" s="52"/>
      <c r="Z829" s="37"/>
      <c r="AA829" s="18"/>
      <c r="AB829" s="18"/>
      <c r="AC829" s="18"/>
    </row>
    <row r="830" spans="23:29" customFormat="1" x14ac:dyDescent="0.25">
      <c r="W830" s="37"/>
      <c r="X830" s="52"/>
      <c r="Y830" s="52"/>
      <c r="Z830" s="37"/>
      <c r="AA830" s="18"/>
      <c r="AB830" s="18"/>
      <c r="AC830" s="18"/>
    </row>
    <row r="831" spans="23:29" customFormat="1" x14ac:dyDescent="0.25">
      <c r="W831" s="37"/>
      <c r="X831" s="52"/>
      <c r="Y831" s="52"/>
      <c r="Z831" s="37"/>
      <c r="AA831" s="18"/>
      <c r="AB831" s="18"/>
      <c r="AC831" s="18"/>
    </row>
    <row r="832" spans="23:29" customFormat="1" x14ac:dyDescent="0.25">
      <c r="W832" s="37"/>
      <c r="X832" s="52"/>
      <c r="Y832" s="52"/>
      <c r="Z832" s="37"/>
      <c r="AA832" s="18"/>
      <c r="AB832" s="18"/>
      <c r="AC832" s="18"/>
    </row>
    <row r="833" spans="23:29" customFormat="1" x14ac:dyDescent="0.25">
      <c r="W833" s="37"/>
      <c r="X833" s="52"/>
      <c r="Y833" s="52"/>
      <c r="Z833" s="37"/>
      <c r="AA833" s="18"/>
      <c r="AB833" s="18"/>
      <c r="AC833" s="18"/>
    </row>
    <row r="834" spans="23:29" customFormat="1" x14ac:dyDescent="0.25">
      <c r="W834" s="37"/>
      <c r="X834" s="52"/>
      <c r="Y834" s="52"/>
      <c r="Z834" s="37"/>
      <c r="AA834" s="18"/>
      <c r="AB834" s="18"/>
      <c r="AC834" s="18"/>
    </row>
    <row r="835" spans="23:29" customFormat="1" x14ac:dyDescent="0.25">
      <c r="W835" s="37"/>
      <c r="X835" s="52"/>
      <c r="Y835" s="52"/>
      <c r="Z835" s="37"/>
      <c r="AA835" s="18"/>
      <c r="AB835" s="18"/>
      <c r="AC835" s="18"/>
    </row>
    <row r="836" spans="23:29" customFormat="1" x14ac:dyDescent="0.25">
      <c r="W836" s="37"/>
      <c r="X836" s="52"/>
      <c r="Y836" s="52"/>
      <c r="Z836" s="37"/>
      <c r="AA836" s="18"/>
      <c r="AB836" s="18"/>
      <c r="AC836" s="18"/>
    </row>
    <row r="837" spans="23:29" customFormat="1" x14ac:dyDescent="0.25">
      <c r="W837" s="37"/>
      <c r="X837" s="52"/>
      <c r="Y837" s="52"/>
      <c r="Z837" s="37"/>
      <c r="AA837" s="18"/>
      <c r="AB837" s="18"/>
      <c r="AC837" s="18"/>
    </row>
    <row r="838" spans="23:29" customFormat="1" x14ac:dyDescent="0.25">
      <c r="W838" s="37"/>
      <c r="X838" s="52"/>
      <c r="Y838" s="52"/>
      <c r="Z838" s="37"/>
      <c r="AA838" s="18"/>
      <c r="AB838" s="18"/>
      <c r="AC838" s="18"/>
    </row>
    <row r="839" spans="23:29" customFormat="1" x14ac:dyDescent="0.25">
      <c r="W839" s="37"/>
      <c r="X839" s="52"/>
      <c r="Y839" s="52"/>
      <c r="Z839" s="37"/>
      <c r="AA839" s="18"/>
      <c r="AB839" s="18"/>
      <c r="AC839" s="18"/>
    </row>
    <row r="840" spans="23:29" customFormat="1" x14ac:dyDescent="0.25">
      <c r="W840" s="37"/>
      <c r="X840" s="52"/>
      <c r="Y840" s="52"/>
      <c r="Z840" s="37"/>
      <c r="AA840" s="18"/>
      <c r="AB840" s="18"/>
      <c r="AC840" s="18"/>
    </row>
    <row r="841" spans="23:29" customFormat="1" x14ac:dyDescent="0.25">
      <c r="W841" s="37"/>
      <c r="X841" s="52"/>
      <c r="Y841" s="52"/>
      <c r="Z841" s="37"/>
      <c r="AA841" s="18"/>
      <c r="AB841" s="18"/>
      <c r="AC841" s="18"/>
    </row>
    <row r="842" spans="23:29" customFormat="1" x14ac:dyDescent="0.25">
      <c r="W842" s="37"/>
      <c r="X842" s="52"/>
      <c r="Y842" s="52"/>
      <c r="Z842" s="37"/>
      <c r="AA842" s="18"/>
      <c r="AB842" s="18"/>
      <c r="AC842" s="18"/>
    </row>
    <row r="843" spans="23:29" customFormat="1" x14ac:dyDescent="0.25">
      <c r="W843" s="37"/>
      <c r="X843" s="52"/>
      <c r="Y843" s="52"/>
      <c r="Z843" s="37"/>
      <c r="AA843" s="18"/>
      <c r="AB843" s="18"/>
      <c r="AC843" s="18"/>
    </row>
    <row r="844" spans="23:29" customFormat="1" x14ac:dyDescent="0.25">
      <c r="W844" s="37"/>
      <c r="X844" s="52"/>
      <c r="Y844" s="52"/>
      <c r="Z844" s="37"/>
      <c r="AA844" s="18"/>
      <c r="AB844" s="18"/>
      <c r="AC844" s="18"/>
    </row>
    <row r="845" spans="23:29" customFormat="1" x14ac:dyDescent="0.25">
      <c r="W845" s="37"/>
      <c r="X845" s="52"/>
      <c r="Y845" s="52"/>
      <c r="Z845" s="37"/>
      <c r="AA845" s="18"/>
      <c r="AB845" s="18"/>
      <c r="AC845" s="18"/>
    </row>
    <row r="846" spans="23:29" customFormat="1" x14ac:dyDescent="0.25">
      <c r="W846" s="37"/>
      <c r="X846" s="52"/>
      <c r="Y846" s="52"/>
      <c r="Z846" s="37"/>
      <c r="AA846" s="18"/>
      <c r="AB846" s="18"/>
      <c r="AC846" s="18"/>
    </row>
    <row r="847" spans="23:29" customFormat="1" x14ac:dyDescent="0.25">
      <c r="W847" s="37"/>
      <c r="X847" s="52"/>
      <c r="Y847" s="52"/>
      <c r="Z847" s="37"/>
      <c r="AA847" s="18"/>
      <c r="AB847" s="18"/>
      <c r="AC847" s="18"/>
    </row>
    <row r="848" spans="23:29" customFormat="1" x14ac:dyDescent="0.25">
      <c r="W848" s="37"/>
      <c r="X848" s="52"/>
      <c r="Y848" s="52"/>
      <c r="Z848" s="37"/>
      <c r="AA848" s="18"/>
      <c r="AB848" s="18"/>
      <c r="AC848" s="18"/>
    </row>
    <row r="849" spans="23:29" customFormat="1" x14ac:dyDescent="0.25">
      <c r="W849" s="37"/>
      <c r="X849" s="52"/>
      <c r="Y849" s="52"/>
      <c r="Z849" s="37"/>
      <c r="AA849" s="18"/>
      <c r="AB849" s="18"/>
      <c r="AC849" s="18"/>
    </row>
    <row r="850" spans="23:29" customFormat="1" x14ac:dyDescent="0.25">
      <c r="W850" s="37"/>
      <c r="X850" s="52"/>
      <c r="Y850" s="52"/>
      <c r="Z850" s="37"/>
      <c r="AA850" s="18"/>
      <c r="AB850" s="18"/>
      <c r="AC850" s="18"/>
    </row>
    <row r="851" spans="23:29" customFormat="1" x14ac:dyDescent="0.25">
      <c r="W851" s="37"/>
      <c r="X851" s="52"/>
      <c r="Y851" s="52"/>
      <c r="Z851" s="37"/>
      <c r="AA851" s="18"/>
      <c r="AB851" s="18"/>
      <c r="AC851" s="18"/>
    </row>
    <row r="852" spans="23:29" customFormat="1" x14ac:dyDescent="0.25">
      <c r="W852" s="37"/>
      <c r="X852" s="52"/>
      <c r="Y852" s="52"/>
      <c r="Z852" s="37"/>
      <c r="AA852" s="18"/>
      <c r="AB852" s="18"/>
      <c r="AC852" s="18"/>
    </row>
    <row r="853" spans="23:29" customFormat="1" x14ac:dyDescent="0.25">
      <c r="W853" s="37"/>
      <c r="X853" s="52"/>
      <c r="Y853" s="52"/>
      <c r="Z853" s="37"/>
      <c r="AA853" s="18"/>
      <c r="AB853" s="18"/>
      <c r="AC853" s="18"/>
    </row>
    <row r="854" spans="23:29" customFormat="1" x14ac:dyDescent="0.25">
      <c r="W854" s="37"/>
      <c r="X854" s="52"/>
      <c r="Y854" s="52"/>
      <c r="Z854" s="37"/>
      <c r="AA854" s="18"/>
      <c r="AB854" s="18"/>
      <c r="AC854" s="18"/>
    </row>
    <row r="855" spans="23:29" customFormat="1" x14ac:dyDescent="0.25">
      <c r="W855" s="37"/>
      <c r="X855" s="52"/>
      <c r="Y855" s="52"/>
      <c r="Z855" s="37"/>
      <c r="AA855" s="18"/>
      <c r="AB855" s="18"/>
      <c r="AC855" s="18"/>
    </row>
    <row r="856" spans="23:29" customFormat="1" x14ac:dyDescent="0.25">
      <c r="W856" s="37"/>
      <c r="X856" s="52"/>
      <c r="Y856" s="52"/>
      <c r="Z856" s="37"/>
      <c r="AA856" s="18"/>
      <c r="AB856" s="18"/>
      <c r="AC856" s="18"/>
    </row>
    <row r="857" spans="23:29" customFormat="1" x14ac:dyDescent="0.25">
      <c r="W857" s="37"/>
      <c r="X857" s="52"/>
      <c r="Y857" s="52"/>
      <c r="Z857" s="37"/>
      <c r="AA857" s="18"/>
      <c r="AB857" s="18"/>
      <c r="AC857" s="18"/>
    </row>
    <row r="858" spans="23:29" customFormat="1" x14ac:dyDescent="0.25">
      <c r="W858" s="37"/>
      <c r="X858" s="52"/>
      <c r="Y858" s="52"/>
      <c r="Z858" s="37"/>
      <c r="AA858" s="18"/>
      <c r="AB858" s="18"/>
      <c r="AC858" s="18"/>
    </row>
    <row r="859" spans="23:29" customFormat="1" x14ac:dyDescent="0.25">
      <c r="W859" s="37"/>
      <c r="X859" s="52"/>
      <c r="Y859" s="52"/>
      <c r="Z859" s="37"/>
      <c r="AA859" s="18"/>
      <c r="AB859" s="18"/>
      <c r="AC859" s="18"/>
    </row>
    <row r="860" spans="23:29" customFormat="1" x14ac:dyDescent="0.25">
      <c r="W860" s="37"/>
      <c r="X860" s="52"/>
      <c r="Y860" s="52"/>
      <c r="Z860" s="37"/>
      <c r="AA860" s="18"/>
      <c r="AB860" s="18"/>
      <c r="AC860" s="18"/>
    </row>
    <row r="861" spans="23:29" customFormat="1" x14ac:dyDescent="0.25">
      <c r="W861" s="37"/>
      <c r="X861" s="52"/>
      <c r="Y861" s="52"/>
      <c r="Z861" s="37"/>
      <c r="AA861" s="18"/>
      <c r="AB861" s="18"/>
      <c r="AC861" s="18"/>
    </row>
    <row r="862" spans="23:29" customFormat="1" x14ac:dyDescent="0.25">
      <c r="W862" s="37"/>
      <c r="X862" s="52"/>
      <c r="Y862" s="52"/>
      <c r="Z862" s="37"/>
      <c r="AA862" s="18"/>
      <c r="AB862" s="18"/>
      <c r="AC862" s="18"/>
    </row>
    <row r="863" spans="23:29" customFormat="1" x14ac:dyDescent="0.25">
      <c r="W863" s="37"/>
      <c r="X863" s="52"/>
      <c r="Y863" s="52"/>
      <c r="Z863" s="37"/>
      <c r="AA863" s="18"/>
      <c r="AB863" s="18"/>
      <c r="AC863" s="18"/>
    </row>
    <row r="864" spans="23:29" customFormat="1" x14ac:dyDescent="0.25">
      <c r="W864" s="37"/>
      <c r="X864" s="52"/>
      <c r="Y864" s="52"/>
      <c r="Z864" s="37"/>
      <c r="AA864" s="18"/>
      <c r="AB864" s="18"/>
      <c r="AC864" s="18"/>
    </row>
    <row r="865" spans="23:29" customFormat="1" x14ac:dyDescent="0.25">
      <c r="W865" s="37"/>
      <c r="X865" s="52"/>
      <c r="Y865" s="52"/>
      <c r="Z865" s="37"/>
      <c r="AA865" s="18"/>
      <c r="AB865" s="18"/>
      <c r="AC865" s="18"/>
    </row>
    <row r="866" spans="23:29" customFormat="1" x14ac:dyDescent="0.25">
      <c r="W866" s="37"/>
      <c r="X866" s="52"/>
      <c r="Y866" s="52"/>
      <c r="Z866" s="37"/>
      <c r="AA866" s="18"/>
      <c r="AB866" s="18"/>
      <c r="AC866" s="18"/>
    </row>
    <row r="867" spans="23:29" customFormat="1" x14ac:dyDescent="0.25">
      <c r="W867" s="37"/>
      <c r="X867" s="52"/>
      <c r="Y867" s="52"/>
      <c r="Z867" s="37"/>
      <c r="AA867" s="18"/>
      <c r="AB867" s="18"/>
      <c r="AC867" s="18"/>
    </row>
    <row r="868" spans="23:29" customFormat="1" x14ac:dyDescent="0.25">
      <c r="W868" s="37"/>
      <c r="X868" s="52"/>
      <c r="Y868" s="52"/>
      <c r="Z868" s="37"/>
      <c r="AA868" s="18"/>
      <c r="AB868" s="18"/>
      <c r="AC868" s="18"/>
    </row>
    <row r="869" spans="23:29" customFormat="1" x14ac:dyDescent="0.25">
      <c r="W869" s="37"/>
      <c r="X869" s="52"/>
      <c r="Y869" s="52"/>
      <c r="Z869" s="37"/>
      <c r="AA869" s="18"/>
      <c r="AB869" s="18"/>
      <c r="AC869" s="18"/>
    </row>
    <row r="870" spans="23:29" customFormat="1" x14ac:dyDescent="0.25">
      <c r="W870" s="37"/>
      <c r="X870" s="52"/>
      <c r="Y870" s="52"/>
      <c r="Z870" s="37"/>
      <c r="AA870" s="18"/>
      <c r="AB870" s="18"/>
      <c r="AC870" s="18"/>
    </row>
    <row r="871" spans="23:29" customFormat="1" x14ac:dyDescent="0.25">
      <c r="W871" s="37"/>
      <c r="X871" s="52"/>
      <c r="Y871" s="52"/>
      <c r="Z871" s="37"/>
      <c r="AA871" s="18"/>
      <c r="AB871" s="18"/>
      <c r="AC871" s="18"/>
    </row>
    <row r="872" spans="23:29" customFormat="1" x14ac:dyDescent="0.25">
      <c r="W872" s="37"/>
      <c r="X872" s="52"/>
      <c r="Y872" s="52"/>
      <c r="Z872" s="37"/>
      <c r="AA872" s="18"/>
      <c r="AB872" s="18"/>
      <c r="AC872" s="18"/>
    </row>
    <row r="873" spans="23:29" customFormat="1" x14ac:dyDescent="0.25">
      <c r="W873" s="37"/>
      <c r="X873" s="52"/>
      <c r="Y873" s="52"/>
      <c r="Z873" s="37"/>
      <c r="AA873" s="18"/>
      <c r="AB873" s="18"/>
      <c r="AC873" s="18"/>
    </row>
    <row r="874" spans="23:29" customFormat="1" x14ac:dyDescent="0.25">
      <c r="W874" s="37"/>
      <c r="X874" s="52"/>
      <c r="Y874" s="52"/>
      <c r="Z874" s="37"/>
      <c r="AA874" s="18"/>
      <c r="AB874" s="18"/>
      <c r="AC874" s="18"/>
    </row>
  </sheetData>
  <mergeCells count="8">
    <mergeCell ref="W31:Y31"/>
    <mergeCell ref="W32:Z32"/>
    <mergeCell ref="A1:AI1"/>
    <mergeCell ref="FO2:FQ2"/>
    <mergeCell ref="AA18:AC18"/>
    <mergeCell ref="FC27:FE27"/>
    <mergeCell ref="A28:B28"/>
    <mergeCell ref="FC28:FF2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-0.249977111117893"/>
  </sheetPr>
  <dimension ref="A1:IX38"/>
  <sheetViews>
    <sheetView topLeftCell="GV1" zoomScale="70" zoomScaleNormal="70" workbookViewId="0">
      <selection activeCell="HI3" sqref="HI3:HI11"/>
    </sheetView>
  </sheetViews>
  <sheetFormatPr defaultRowHeight="15" x14ac:dyDescent="0.25"/>
  <cols>
    <col min="1" max="1" width="6.5703125" customWidth="1"/>
    <col min="2" max="2" width="39.28515625" customWidth="1"/>
    <col min="3" max="3" width="4" style="1" customWidth="1"/>
    <col min="4" max="4" width="5.28515625" style="6" customWidth="1"/>
    <col min="5" max="5" width="8.140625" customWidth="1"/>
    <col min="6" max="6" width="9.42578125" customWidth="1"/>
    <col min="7" max="7" width="4" style="1" customWidth="1"/>
    <col min="8" max="8" width="5.28515625" style="6" customWidth="1"/>
    <col min="9" max="9" width="7.85546875" style="2" customWidth="1"/>
    <col min="10" max="10" width="8.7109375" style="2" customWidth="1"/>
    <col min="11" max="11" width="4" style="1" customWidth="1"/>
    <col min="12" max="12" width="5.28515625" style="6" customWidth="1"/>
    <col min="13" max="13" width="7.7109375" style="2" customWidth="1"/>
    <col min="14" max="14" width="8.42578125" style="2" customWidth="1"/>
    <col min="15" max="15" width="4.28515625" style="2" customWidth="1"/>
    <col min="16" max="17" width="7.7109375" style="2" customWidth="1"/>
    <col min="18" max="18" width="8.42578125" style="2" customWidth="1"/>
    <col min="19" max="19" width="4" style="1" customWidth="1"/>
    <col min="20" max="20" width="5.28515625" style="6" customWidth="1"/>
    <col min="21" max="21" width="8" style="2" customWidth="1"/>
    <col min="22" max="22" width="8.140625" style="2" customWidth="1"/>
    <col min="23" max="23" width="3.85546875" customWidth="1"/>
    <col min="24" max="24" width="6.42578125" style="11" customWidth="1"/>
    <col min="25" max="25" width="7.7109375" style="11" customWidth="1"/>
    <col min="26" max="26" width="7.140625" customWidth="1"/>
    <col min="27" max="27" width="4.28515625" style="2" customWidth="1"/>
    <col min="28" max="28" width="5" style="2" customWidth="1"/>
    <col min="29" max="30" width="8" style="2" customWidth="1"/>
    <col min="31" max="31" width="4" customWidth="1"/>
    <col min="32" max="32" width="6" customWidth="1"/>
    <col min="33" max="33" width="7.85546875" customWidth="1"/>
    <col min="34" max="34" width="8.7109375" customWidth="1"/>
    <col min="35" max="35" width="5" customWidth="1"/>
    <col min="36" max="36" width="5.140625" customWidth="1"/>
    <col min="37" max="37" width="8.140625" customWidth="1"/>
    <col min="38" max="38" width="8.85546875" customWidth="1"/>
    <col min="39" max="39" width="4.7109375" customWidth="1"/>
    <col min="40" max="40" width="6.28515625" customWidth="1"/>
    <col min="41" max="41" width="8.28515625" customWidth="1"/>
    <col min="42" max="42" width="9.42578125" customWidth="1"/>
    <col min="43" max="43" width="4" customWidth="1"/>
    <col min="44" max="44" width="6.28515625" customWidth="1"/>
    <col min="45" max="45" width="8" customWidth="1"/>
    <col min="46" max="46" width="9.28515625" customWidth="1"/>
    <col min="47" max="48" width="6.7109375" customWidth="1"/>
    <col min="49" max="49" width="8" customWidth="1"/>
    <col min="50" max="50" width="8.28515625" customWidth="1"/>
    <col min="51" max="51" width="3.85546875" customWidth="1"/>
    <col min="52" max="52" width="4.85546875" customWidth="1"/>
    <col min="53" max="53" width="7.7109375" customWidth="1"/>
    <col min="54" max="54" width="8.5703125" customWidth="1"/>
    <col min="55" max="55" width="4.7109375" customWidth="1"/>
    <col min="56" max="56" width="5.42578125" customWidth="1"/>
    <col min="57" max="57" width="7.7109375" customWidth="1"/>
    <col min="58" max="58" width="8.28515625" customWidth="1"/>
    <col min="59" max="59" width="4.42578125" customWidth="1"/>
    <col min="60" max="60" width="4.7109375" customWidth="1"/>
    <col min="61" max="61" width="8.140625" customWidth="1"/>
    <col min="62" max="62" width="8.28515625" customWidth="1"/>
    <col min="63" max="63" width="4.42578125" customWidth="1"/>
    <col min="64" max="64" width="4.85546875" customWidth="1"/>
    <col min="65" max="66" width="8.140625" customWidth="1"/>
    <col min="67" max="67" width="4.42578125" customWidth="1"/>
    <col min="68" max="68" width="4.85546875" customWidth="1"/>
    <col min="69" max="69" width="7.5703125" customWidth="1"/>
    <col min="70" max="70" width="8.7109375" customWidth="1"/>
    <col min="71" max="71" width="4.85546875" customWidth="1"/>
    <col min="72" max="72" width="5.42578125" customWidth="1"/>
    <col min="73" max="73" width="8.28515625" customWidth="1"/>
    <col min="74" max="74" width="9.42578125" customWidth="1"/>
    <col min="75" max="75" width="5.140625" customWidth="1"/>
    <col min="76" max="76" width="5.42578125" customWidth="1"/>
    <col min="77" max="77" width="8.140625" customWidth="1"/>
    <col min="78" max="78" width="8.28515625" customWidth="1"/>
    <col min="79" max="79" width="4.85546875" customWidth="1"/>
    <col min="80" max="80" width="5.140625" customWidth="1"/>
    <col min="81" max="81" width="8.5703125" customWidth="1"/>
    <col min="82" max="82" width="8.140625" customWidth="1"/>
    <col min="83" max="84" width="6.7109375" customWidth="1"/>
    <col min="85" max="85" width="8.28515625" customWidth="1"/>
    <col min="86" max="86" width="8.7109375" customWidth="1"/>
    <col min="87" max="88" width="6.7109375" customWidth="1"/>
    <col min="89" max="89" width="10.140625" customWidth="1"/>
    <col min="90" max="90" width="9.28515625" customWidth="1"/>
    <col min="91" max="92" width="6.7109375" customWidth="1"/>
    <col min="93" max="93" width="8.140625" customWidth="1"/>
    <col min="94" max="94" width="8.7109375" customWidth="1"/>
    <col min="95" max="96" width="6.7109375" customWidth="1"/>
    <col min="97" max="97" width="8.7109375" customWidth="1"/>
    <col min="98" max="98" width="9.140625" customWidth="1"/>
    <col min="99" max="100" width="6.7109375" customWidth="1"/>
    <col min="101" max="101" width="8.5703125" customWidth="1"/>
    <col min="102" max="102" width="8.7109375" customWidth="1"/>
    <col min="103" max="104" width="6.7109375" customWidth="1"/>
    <col min="105" max="106" width="8.7109375" customWidth="1"/>
    <col min="107" max="108" width="5.7109375" customWidth="1"/>
    <col min="109" max="109" width="8.42578125" customWidth="1"/>
    <col min="110" max="110" width="7.7109375" customWidth="1"/>
    <col min="111" max="112" width="5.7109375" customWidth="1"/>
    <col min="113" max="113" width="8.5703125" customWidth="1"/>
    <col min="114" max="114" width="8.140625" customWidth="1"/>
    <col min="115" max="116" width="5.7109375" customWidth="1"/>
    <col min="117" max="117" width="8.42578125" customWidth="1"/>
    <col min="118" max="118" width="8" customWidth="1"/>
    <col min="119" max="120" width="5.7109375" customWidth="1"/>
    <col min="121" max="121" width="8.140625" customWidth="1"/>
    <col min="122" max="122" width="7.7109375" customWidth="1"/>
    <col min="123" max="124" width="5.7109375" customWidth="1"/>
    <col min="125" max="125" width="7.28515625" customWidth="1"/>
    <col min="126" max="126" width="8.5703125" customWidth="1"/>
    <col min="127" max="128" width="5.7109375" customWidth="1"/>
    <col min="129" max="129" width="9" customWidth="1"/>
    <col min="130" max="130" width="8.140625" customWidth="1"/>
    <col min="131" max="132" width="5.7109375" customWidth="1"/>
    <col min="133" max="133" width="7.28515625" customWidth="1"/>
    <col min="134" max="134" width="8.140625" customWidth="1"/>
    <col min="135" max="136" width="5.7109375" customWidth="1"/>
    <col min="137" max="137" width="7.5703125" customWidth="1"/>
    <col min="138" max="138" width="8" customWidth="1"/>
    <col min="139" max="140" width="5.7109375" customWidth="1"/>
    <col min="141" max="141" width="7.5703125" customWidth="1"/>
    <col min="142" max="142" width="10.28515625" customWidth="1"/>
    <col min="143" max="144" width="5.7109375" customWidth="1"/>
    <col min="145" max="145" width="8.7109375" customWidth="1"/>
    <col min="146" max="146" width="9" customWidth="1"/>
    <col min="147" max="148" width="5.7109375" customWidth="1"/>
    <col min="149" max="149" width="8.7109375" customWidth="1"/>
    <col min="150" max="150" width="7.28515625" customWidth="1"/>
    <col min="151" max="152" width="5.7109375" customWidth="1"/>
    <col min="153" max="154" width="8.5703125" customWidth="1"/>
    <col min="155" max="156" width="5.7109375" customWidth="1"/>
    <col min="157" max="157" width="9" customWidth="1"/>
    <col min="158" max="158" width="7.5703125" customWidth="1"/>
    <col min="159" max="160" width="5.7109375" customWidth="1"/>
    <col min="161" max="161" width="7.5703125" customWidth="1"/>
    <col min="162" max="162" width="8.140625" customWidth="1"/>
    <col min="163" max="164" width="5.7109375" customWidth="1"/>
    <col min="165" max="165" width="8.5703125" customWidth="1"/>
    <col min="166" max="166" width="8.7109375" customWidth="1"/>
    <col min="167" max="168" width="5.7109375" customWidth="1"/>
    <col min="169" max="169" width="7.5703125" customWidth="1"/>
    <col min="170" max="170" width="9.42578125" customWidth="1"/>
    <col min="171" max="172" width="5.7109375" customWidth="1"/>
    <col min="173" max="173" width="8" customWidth="1"/>
    <col min="174" max="174" width="8.5703125" customWidth="1"/>
    <col min="175" max="176" width="5.7109375" customWidth="1"/>
    <col min="177" max="177" width="7.7109375" customWidth="1"/>
    <col min="178" max="178" width="8.42578125" customWidth="1"/>
    <col min="179" max="180" width="5.7109375" customWidth="1"/>
    <col min="181" max="181" width="7.28515625" customWidth="1"/>
    <col min="182" max="182" width="9.28515625" customWidth="1"/>
    <col min="183" max="184" width="5.7109375" customWidth="1"/>
    <col min="185" max="185" width="8.42578125" customWidth="1"/>
    <col min="186" max="186" width="7.7109375" customWidth="1"/>
    <col min="187" max="188" width="5.7109375" customWidth="1"/>
    <col min="189" max="189" width="8.140625" customWidth="1"/>
    <col min="190" max="190" width="8.42578125" customWidth="1"/>
    <col min="191" max="192" width="5.7109375" customWidth="1"/>
    <col min="193" max="193" width="8.140625" customWidth="1"/>
    <col min="194" max="194" width="7.7109375" customWidth="1"/>
    <col min="195" max="196" width="5.7109375" customWidth="1"/>
    <col min="197" max="197" width="8.7109375" customWidth="1"/>
    <col min="198" max="198" width="9.5703125" customWidth="1"/>
    <col min="199" max="200" width="5.7109375" customWidth="1"/>
    <col min="201" max="201" width="7.28515625" customWidth="1"/>
    <col min="202" max="202" width="9.140625" customWidth="1"/>
    <col min="203" max="204" width="5.7109375" customWidth="1"/>
    <col min="205" max="205" width="7.7109375" customWidth="1"/>
    <col min="206" max="206" width="8.42578125" customWidth="1"/>
    <col min="207" max="208" width="5.7109375" customWidth="1"/>
    <col min="209" max="209" width="7.7109375" customWidth="1"/>
    <col min="210" max="210" width="7.28515625" customWidth="1"/>
    <col min="211" max="211" width="5.7109375" customWidth="1"/>
    <col min="212" max="212" width="10.85546875" customWidth="1"/>
    <col min="213" max="213" width="11" customWidth="1"/>
    <col min="214" max="214" width="8" customWidth="1"/>
    <col min="215" max="215" width="8.140625" customWidth="1"/>
    <col min="216" max="217" width="5.7109375" customWidth="1"/>
    <col min="218" max="218" width="18.85546875" customWidth="1"/>
    <col min="219" max="258" width="5.7109375" customWidth="1"/>
  </cols>
  <sheetData>
    <row r="1" spans="1:258" ht="33.75" customHeight="1" x14ac:dyDescent="0.25">
      <c r="A1" s="80" t="s">
        <v>25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spans="1:258" ht="70.5" customHeight="1" thickBot="1" x14ac:dyDescent="0.3">
      <c r="A2" s="23" t="s">
        <v>4</v>
      </c>
      <c r="B2" s="57" t="s">
        <v>5</v>
      </c>
      <c r="C2" s="3" t="s">
        <v>0</v>
      </c>
      <c r="D2" s="9" t="s">
        <v>2</v>
      </c>
      <c r="E2" s="7" t="s">
        <v>1</v>
      </c>
      <c r="F2" s="7" t="s">
        <v>6</v>
      </c>
      <c r="G2" s="3" t="s">
        <v>0</v>
      </c>
      <c r="H2" s="9" t="s">
        <v>2</v>
      </c>
      <c r="I2" s="7" t="s">
        <v>1</v>
      </c>
      <c r="J2" s="7" t="s">
        <v>6</v>
      </c>
      <c r="K2" s="3" t="s">
        <v>0</v>
      </c>
      <c r="L2" s="9" t="s">
        <v>2</v>
      </c>
      <c r="M2" s="7" t="s">
        <v>1</v>
      </c>
      <c r="N2" s="7" t="s">
        <v>6</v>
      </c>
      <c r="O2" s="3" t="s">
        <v>0</v>
      </c>
      <c r="P2" s="9" t="s">
        <v>2</v>
      </c>
      <c r="Q2" s="7" t="s">
        <v>1</v>
      </c>
      <c r="R2" s="7" t="s">
        <v>6</v>
      </c>
      <c r="S2" s="3" t="s">
        <v>0</v>
      </c>
      <c r="T2" s="9" t="s">
        <v>2</v>
      </c>
      <c r="U2" s="7" t="s">
        <v>1</v>
      </c>
      <c r="V2" s="7" t="s">
        <v>6</v>
      </c>
      <c r="W2" s="3" t="s">
        <v>0</v>
      </c>
      <c r="X2" s="9" t="s">
        <v>2</v>
      </c>
      <c r="Y2" s="7" t="s">
        <v>1</v>
      </c>
      <c r="Z2" s="7" t="s">
        <v>6</v>
      </c>
      <c r="AA2" s="3" t="s">
        <v>0</v>
      </c>
      <c r="AB2" s="9" t="s">
        <v>2</v>
      </c>
      <c r="AC2" s="7" t="s">
        <v>1</v>
      </c>
      <c r="AD2" s="7" t="s">
        <v>6</v>
      </c>
      <c r="AE2" s="3" t="s">
        <v>0</v>
      </c>
      <c r="AF2" s="9" t="s">
        <v>2</v>
      </c>
      <c r="AG2" s="7" t="s">
        <v>1</v>
      </c>
      <c r="AH2" s="7" t="s">
        <v>6</v>
      </c>
      <c r="AI2" s="3" t="s">
        <v>0</v>
      </c>
      <c r="AJ2" s="9" t="s">
        <v>2</v>
      </c>
      <c r="AK2" s="7" t="s">
        <v>1</v>
      </c>
      <c r="AL2" s="7" t="s">
        <v>6</v>
      </c>
      <c r="AM2" s="3" t="s">
        <v>0</v>
      </c>
      <c r="AN2" s="9" t="s">
        <v>2</v>
      </c>
      <c r="AO2" s="7" t="s">
        <v>1</v>
      </c>
      <c r="AP2" s="7" t="s">
        <v>6</v>
      </c>
      <c r="AQ2" s="3" t="s">
        <v>0</v>
      </c>
      <c r="AR2" s="9" t="s">
        <v>2</v>
      </c>
      <c r="AS2" s="7" t="s">
        <v>1</v>
      </c>
      <c r="AT2" s="7" t="s">
        <v>6</v>
      </c>
      <c r="AU2" s="3" t="s">
        <v>0</v>
      </c>
      <c r="AV2" s="9" t="s">
        <v>2</v>
      </c>
      <c r="AW2" s="7" t="s">
        <v>1</v>
      </c>
      <c r="AX2" s="7" t="s">
        <v>6</v>
      </c>
      <c r="AY2" s="3" t="s">
        <v>0</v>
      </c>
      <c r="AZ2" s="9" t="s">
        <v>2</v>
      </c>
      <c r="BA2" s="7" t="s">
        <v>1</v>
      </c>
      <c r="BB2" s="7" t="s">
        <v>6</v>
      </c>
      <c r="BC2" s="3" t="s">
        <v>0</v>
      </c>
      <c r="BD2" s="9" t="s">
        <v>2</v>
      </c>
      <c r="BE2" s="7" t="s">
        <v>1</v>
      </c>
      <c r="BF2" s="7" t="s">
        <v>6</v>
      </c>
      <c r="BG2" s="3" t="s">
        <v>0</v>
      </c>
      <c r="BH2" s="9" t="s">
        <v>2</v>
      </c>
      <c r="BI2" s="7" t="s">
        <v>1</v>
      </c>
      <c r="BJ2" s="7" t="s">
        <v>6</v>
      </c>
      <c r="BK2" s="3" t="s">
        <v>0</v>
      </c>
      <c r="BL2" s="9" t="s">
        <v>2</v>
      </c>
      <c r="BM2" s="7" t="s">
        <v>1</v>
      </c>
      <c r="BN2" s="7" t="s">
        <v>6</v>
      </c>
      <c r="BO2" s="3" t="s">
        <v>0</v>
      </c>
      <c r="BP2" s="9" t="s">
        <v>2</v>
      </c>
      <c r="BQ2" s="7" t="s">
        <v>1</v>
      </c>
      <c r="BR2" s="7" t="s">
        <v>6</v>
      </c>
      <c r="BS2" s="3" t="s">
        <v>0</v>
      </c>
      <c r="BT2" s="9" t="s">
        <v>2</v>
      </c>
      <c r="BU2" s="7" t="s">
        <v>1</v>
      </c>
      <c r="BV2" s="7" t="s">
        <v>6</v>
      </c>
      <c r="BW2" s="3" t="s">
        <v>0</v>
      </c>
      <c r="BX2" s="9" t="s">
        <v>2</v>
      </c>
      <c r="BY2" s="7" t="s">
        <v>1</v>
      </c>
      <c r="BZ2" s="7" t="s">
        <v>6</v>
      </c>
      <c r="CA2" s="3" t="s">
        <v>0</v>
      </c>
      <c r="CB2" s="9" t="s">
        <v>2</v>
      </c>
      <c r="CC2" s="7" t="s">
        <v>1</v>
      </c>
      <c r="CD2" s="7" t="s">
        <v>6</v>
      </c>
      <c r="CE2" s="3" t="s">
        <v>0</v>
      </c>
      <c r="CF2" s="9" t="s">
        <v>2</v>
      </c>
      <c r="CG2" s="7" t="s">
        <v>1</v>
      </c>
      <c r="CH2" s="7" t="s">
        <v>6</v>
      </c>
      <c r="CI2" s="3" t="s">
        <v>0</v>
      </c>
      <c r="CJ2" s="9" t="s">
        <v>2</v>
      </c>
      <c r="CK2" s="7" t="s">
        <v>1</v>
      </c>
      <c r="CL2" s="7" t="s">
        <v>6</v>
      </c>
      <c r="CM2" s="3" t="s">
        <v>0</v>
      </c>
      <c r="CN2" s="9" t="s">
        <v>2</v>
      </c>
      <c r="CO2" s="7" t="s">
        <v>1</v>
      </c>
      <c r="CP2" s="7" t="s">
        <v>6</v>
      </c>
      <c r="CQ2" s="3" t="s">
        <v>0</v>
      </c>
      <c r="CR2" s="9" t="s">
        <v>2</v>
      </c>
      <c r="CS2" s="7" t="s">
        <v>1</v>
      </c>
      <c r="CT2" s="7" t="s">
        <v>6</v>
      </c>
      <c r="CU2" s="3" t="s">
        <v>0</v>
      </c>
      <c r="CV2" s="9" t="s">
        <v>2</v>
      </c>
      <c r="CW2" s="7" t="s">
        <v>1</v>
      </c>
      <c r="CX2" s="7" t="s">
        <v>6</v>
      </c>
      <c r="CY2" s="3" t="s">
        <v>0</v>
      </c>
      <c r="CZ2" s="9" t="s">
        <v>2</v>
      </c>
      <c r="DA2" s="7" t="s">
        <v>1</v>
      </c>
      <c r="DB2" s="7" t="s">
        <v>6</v>
      </c>
      <c r="DC2" s="3" t="s">
        <v>0</v>
      </c>
      <c r="DD2" s="9" t="s">
        <v>2</v>
      </c>
      <c r="DE2" s="7" t="s">
        <v>1</v>
      </c>
      <c r="DF2" s="7" t="s">
        <v>6</v>
      </c>
      <c r="DG2" s="3" t="s">
        <v>0</v>
      </c>
      <c r="DH2" s="9" t="s">
        <v>2</v>
      </c>
      <c r="DI2" s="7" t="s">
        <v>1</v>
      </c>
      <c r="DJ2" s="7" t="s">
        <v>6</v>
      </c>
      <c r="DK2" s="3" t="s">
        <v>0</v>
      </c>
      <c r="DL2" s="9" t="s">
        <v>2</v>
      </c>
      <c r="DM2" s="7" t="s">
        <v>1</v>
      </c>
      <c r="DN2" s="7" t="s">
        <v>6</v>
      </c>
      <c r="DO2" s="3" t="s">
        <v>0</v>
      </c>
      <c r="DP2" s="9" t="s">
        <v>2</v>
      </c>
      <c r="DQ2" s="7" t="s">
        <v>1</v>
      </c>
      <c r="DR2" s="7" t="s">
        <v>6</v>
      </c>
      <c r="DS2" s="3" t="s">
        <v>0</v>
      </c>
      <c r="DT2" s="9" t="s">
        <v>2</v>
      </c>
      <c r="DU2" s="7" t="s">
        <v>1</v>
      </c>
      <c r="DV2" s="7" t="s">
        <v>6</v>
      </c>
      <c r="DW2" s="3" t="s">
        <v>0</v>
      </c>
      <c r="DX2" s="9" t="s">
        <v>2</v>
      </c>
      <c r="DY2" s="7" t="s">
        <v>1</v>
      </c>
      <c r="DZ2" s="7" t="s">
        <v>6</v>
      </c>
      <c r="EA2" s="3" t="s">
        <v>0</v>
      </c>
      <c r="EB2" s="9" t="s">
        <v>2</v>
      </c>
      <c r="EC2" s="7" t="s">
        <v>1</v>
      </c>
      <c r="ED2" s="7" t="s">
        <v>6</v>
      </c>
      <c r="EE2" s="3" t="s">
        <v>0</v>
      </c>
      <c r="EF2" s="9" t="s">
        <v>2</v>
      </c>
      <c r="EG2" s="7" t="s">
        <v>1</v>
      </c>
      <c r="EH2" s="7" t="s">
        <v>6</v>
      </c>
      <c r="EI2" s="3" t="s">
        <v>0</v>
      </c>
      <c r="EJ2" s="9" t="s">
        <v>2</v>
      </c>
      <c r="EK2" s="7" t="s">
        <v>1</v>
      </c>
      <c r="EL2" s="7" t="s">
        <v>6</v>
      </c>
      <c r="EM2" s="3" t="s">
        <v>0</v>
      </c>
      <c r="EN2" s="9" t="s">
        <v>2</v>
      </c>
      <c r="EO2" s="7" t="s">
        <v>1</v>
      </c>
      <c r="EP2" s="7" t="s">
        <v>6</v>
      </c>
      <c r="EQ2" s="3" t="s">
        <v>0</v>
      </c>
      <c r="ER2" s="9" t="s">
        <v>2</v>
      </c>
      <c r="ES2" s="7" t="s">
        <v>1</v>
      </c>
      <c r="ET2" s="7" t="s">
        <v>6</v>
      </c>
      <c r="EU2" s="3" t="s">
        <v>0</v>
      </c>
      <c r="EV2" s="9" t="s">
        <v>2</v>
      </c>
      <c r="EW2" s="7" t="s">
        <v>1</v>
      </c>
      <c r="EX2" s="7" t="s">
        <v>6</v>
      </c>
      <c r="EY2" s="3" t="s">
        <v>0</v>
      </c>
      <c r="EZ2" s="9" t="s">
        <v>2</v>
      </c>
      <c r="FA2" s="7" t="s">
        <v>1</v>
      </c>
      <c r="FB2" s="7" t="s">
        <v>6</v>
      </c>
      <c r="FC2" s="3" t="s">
        <v>0</v>
      </c>
      <c r="FD2" s="9" t="s">
        <v>2</v>
      </c>
      <c r="FE2" s="7" t="s">
        <v>1</v>
      </c>
      <c r="FF2" s="7" t="s">
        <v>6</v>
      </c>
      <c r="FG2" s="3" t="s">
        <v>0</v>
      </c>
      <c r="FH2" s="9" t="s">
        <v>2</v>
      </c>
      <c r="FI2" s="7" t="s">
        <v>1</v>
      </c>
      <c r="FJ2" s="7" t="s">
        <v>6</v>
      </c>
      <c r="FK2" s="3" t="s">
        <v>0</v>
      </c>
      <c r="FL2" s="9" t="s">
        <v>2</v>
      </c>
      <c r="FM2" s="7" t="s">
        <v>1</v>
      </c>
      <c r="FN2" s="7" t="s">
        <v>6</v>
      </c>
      <c r="FO2" s="3" t="s">
        <v>0</v>
      </c>
      <c r="FP2" s="9" t="s">
        <v>2</v>
      </c>
      <c r="FQ2" s="7" t="s">
        <v>1</v>
      </c>
      <c r="FR2" s="7" t="s">
        <v>6</v>
      </c>
      <c r="FS2" s="3" t="s">
        <v>0</v>
      </c>
      <c r="FT2" s="9" t="s">
        <v>2</v>
      </c>
      <c r="FU2" s="7" t="s">
        <v>1</v>
      </c>
      <c r="FV2" s="7" t="s">
        <v>6</v>
      </c>
      <c r="FW2" s="3" t="s">
        <v>0</v>
      </c>
      <c r="FX2" s="9" t="s">
        <v>2</v>
      </c>
      <c r="FY2" s="7" t="s">
        <v>1</v>
      </c>
      <c r="FZ2" s="7" t="s">
        <v>6</v>
      </c>
      <c r="GA2" s="3" t="s">
        <v>0</v>
      </c>
      <c r="GB2" s="9" t="s">
        <v>2</v>
      </c>
      <c r="GC2" s="7" t="s">
        <v>1</v>
      </c>
      <c r="GD2" s="7" t="s">
        <v>6</v>
      </c>
      <c r="GE2" s="3" t="s">
        <v>0</v>
      </c>
      <c r="GF2" s="9" t="s">
        <v>2</v>
      </c>
      <c r="GG2" s="7" t="s">
        <v>1</v>
      </c>
      <c r="GH2" s="7" t="s">
        <v>6</v>
      </c>
      <c r="GI2" s="3" t="s">
        <v>0</v>
      </c>
      <c r="GJ2" s="9" t="s">
        <v>2</v>
      </c>
      <c r="GK2" s="7" t="s">
        <v>1</v>
      </c>
      <c r="GL2" s="7" t="s">
        <v>6</v>
      </c>
      <c r="GM2" s="3" t="s">
        <v>0</v>
      </c>
      <c r="GN2" s="9" t="s">
        <v>2</v>
      </c>
      <c r="GO2" s="7" t="s">
        <v>1</v>
      </c>
      <c r="GP2" s="7" t="s">
        <v>6</v>
      </c>
      <c r="GQ2" s="3" t="s">
        <v>0</v>
      </c>
      <c r="GR2" s="9" t="s">
        <v>2</v>
      </c>
      <c r="GS2" s="7" t="s">
        <v>1</v>
      </c>
      <c r="GT2" s="7" t="s">
        <v>6</v>
      </c>
      <c r="GU2" s="3" t="s">
        <v>0</v>
      </c>
      <c r="GV2" s="9" t="s">
        <v>2</v>
      </c>
      <c r="GW2" s="7" t="s">
        <v>1</v>
      </c>
      <c r="GX2" s="7" t="s">
        <v>6</v>
      </c>
      <c r="GY2" s="3" t="s">
        <v>0</v>
      </c>
      <c r="GZ2" s="9" t="s">
        <v>2</v>
      </c>
      <c r="HA2" s="7" t="s">
        <v>1</v>
      </c>
      <c r="HB2" s="63" t="s">
        <v>6</v>
      </c>
      <c r="HC2" s="49" t="s">
        <v>19</v>
      </c>
      <c r="HD2" s="10" t="s">
        <v>20</v>
      </c>
      <c r="HE2" s="10" t="s">
        <v>21</v>
      </c>
      <c r="HF2" s="10" t="s">
        <v>22</v>
      </c>
      <c r="HG2" s="81" t="s">
        <v>23</v>
      </c>
      <c r="HH2" s="81"/>
      <c r="HI2" s="81"/>
      <c r="HJ2" s="22" t="s">
        <v>24</v>
      </c>
      <c r="HK2" s="64"/>
      <c r="HL2" s="48"/>
      <c r="HM2" s="48"/>
      <c r="HN2" s="48"/>
      <c r="HO2" s="64"/>
      <c r="HP2" s="48"/>
      <c r="HQ2" s="48"/>
      <c r="HR2" s="48"/>
      <c r="HS2" s="64"/>
      <c r="HT2" s="48"/>
      <c r="HU2" s="48"/>
      <c r="HV2" s="48"/>
      <c r="HW2" s="64"/>
      <c r="HX2" s="48"/>
      <c r="HY2" s="48"/>
      <c r="HZ2" s="48"/>
      <c r="IA2" s="64"/>
      <c r="IB2" s="48"/>
      <c r="IC2" s="48"/>
      <c r="ID2" s="48"/>
      <c r="IE2" s="64"/>
      <c r="IF2" s="48"/>
      <c r="IG2" s="48"/>
      <c r="IH2" s="48"/>
      <c r="II2" s="64"/>
      <c r="IJ2" s="48"/>
      <c r="IK2" s="48"/>
      <c r="IL2" s="48"/>
      <c r="IM2" s="64"/>
      <c r="IN2" s="48"/>
      <c r="IO2" s="48"/>
      <c r="IP2" s="48"/>
      <c r="IQ2" s="64"/>
      <c r="IR2" s="48"/>
      <c r="IS2" s="48"/>
      <c r="IT2" s="48"/>
      <c r="IU2" s="64"/>
      <c r="IV2" s="48"/>
      <c r="IW2" s="48"/>
      <c r="IX2" s="48"/>
    </row>
    <row r="3" spans="1:258" ht="72" customHeight="1" thickBot="1" x14ac:dyDescent="0.3">
      <c r="A3" s="21">
        <v>1</v>
      </c>
      <c r="B3" s="30" t="s">
        <v>13</v>
      </c>
      <c r="C3" s="3">
        <v>10</v>
      </c>
      <c r="D3" s="5">
        <v>9</v>
      </c>
      <c r="E3" s="12">
        <f>D3/C3</f>
        <v>0.9</v>
      </c>
      <c r="F3" s="12">
        <f>POWER(D3-$HE3,2)</f>
        <v>0.75111111111111195</v>
      </c>
      <c r="G3" s="3">
        <v>9</v>
      </c>
      <c r="H3" s="3">
        <v>9</v>
      </c>
      <c r="I3" s="12">
        <f>H3/G3</f>
        <v>1</v>
      </c>
      <c r="J3" s="12">
        <f>POWER(H3-$HE3,2)</f>
        <v>0.75111111111111195</v>
      </c>
      <c r="K3" s="3">
        <v>10</v>
      </c>
      <c r="L3" s="5">
        <v>10</v>
      </c>
      <c r="M3" s="12">
        <f>L3/K3</f>
        <v>1</v>
      </c>
      <c r="N3" s="12">
        <f>POWER(L3-$HE3,2)</f>
        <v>3.484444444444446</v>
      </c>
      <c r="O3" s="3">
        <v>10</v>
      </c>
      <c r="P3" s="5">
        <v>8</v>
      </c>
      <c r="Q3" s="12">
        <f>P3/O3</f>
        <v>0.8</v>
      </c>
      <c r="R3" s="12">
        <f>POWER(P3-$HE3,2)</f>
        <v>1.7777777777777653E-2</v>
      </c>
      <c r="S3" s="3">
        <v>6</v>
      </c>
      <c r="T3" s="3">
        <v>6</v>
      </c>
      <c r="U3" s="12">
        <f>T3/S3</f>
        <v>1</v>
      </c>
      <c r="V3" s="12">
        <f>POWER(T3-$HE3,2)</f>
        <v>4.5511111111111093</v>
      </c>
      <c r="W3" s="3">
        <v>9</v>
      </c>
      <c r="X3" s="5">
        <v>7</v>
      </c>
      <c r="Y3" s="12">
        <f>X3/W3</f>
        <v>0.77777777777777779</v>
      </c>
      <c r="Z3" s="12">
        <f>POWER(X3-$HE3,2)</f>
        <v>1.2844444444444434</v>
      </c>
      <c r="AA3" s="3">
        <v>5</v>
      </c>
      <c r="AB3" s="5">
        <v>5</v>
      </c>
      <c r="AC3" s="12">
        <f>AB3/AA3</f>
        <v>1</v>
      </c>
      <c r="AD3" s="12">
        <f>POWER(AB3-$HE3,2)</f>
        <v>9.8177777777777742</v>
      </c>
      <c r="AE3" s="3">
        <v>9</v>
      </c>
      <c r="AF3" s="5">
        <v>9</v>
      </c>
      <c r="AG3" s="12">
        <f>AF3/AE3</f>
        <v>1</v>
      </c>
      <c r="AH3" s="12">
        <f>POWER(AF3-$HE3,2)</f>
        <v>0.75111111111111195</v>
      </c>
      <c r="AI3" s="3">
        <v>8</v>
      </c>
      <c r="AJ3" s="3">
        <v>8</v>
      </c>
      <c r="AK3" s="12">
        <f>AJ3/AI3</f>
        <v>1</v>
      </c>
      <c r="AL3" s="12">
        <f>POWER(AJ3-$HE3,2)</f>
        <v>1.7777777777777653E-2</v>
      </c>
      <c r="AM3" s="3">
        <v>10</v>
      </c>
      <c r="AN3" s="5">
        <v>7</v>
      </c>
      <c r="AO3" s="12">
        <f>AN3/AM3</f>
        <v>0.7</v>
      </c>
      <c r="AP3" s="12">
        <f>POWER(AN3-$HE3,2)</f>
        <v>1.2844444444444434</v>
      </c>
      <c r="AQ3" s="3">
        <v>8</v>
      </c>
      <c r="AR3" s="3">
        <v>7</v>
      </c>
      <c r="AS3" s="12">
        <f>AR3/AQ3</f>
        <v>0.875</v>
      </c>
      <c r="AT3" s="12">
        <f>POWER(AR3-$HE3,2)</f>
        <v>1.2844444444444434</v>
      </c>
      <c r="AU3" s="3">
        <v>10</v>
      </c>
      <c r="AV3" s="5">
        <v>8</v>
      </c>
      <c r="AW3" s="12">
        <f>AV3/AU3</f>
        <v>0.8</v>
      </c>
      <c r="AX3" s="12">
        <f>POWER(AV3-$HE3,2)</f>
        <v>1.7777777777777653E-2</v>
      </c>
      <c r="AY3" s="3">
        <v>8</v>
      </c>
      <c r="AZ3" s="5">
        <v>8</v>
      </c>
      <c r="BA3" s="12">
        <f>AZ3/AY3</f>
        <v>1</v>
      </c>
      <c r="BB3" s="12">
        <f>POWER(AZ3-$HE3,2)</f>
        <v>1.7777777777777653E-2</v>
      </c>
      <c r="BC3" s="3">
        <v>10</v>
      </c>
      <c r="BD3" s="5">
        <v>9</v>
      </c>
      <c r="BE3" s="12">
        <f>BD3/BC3</f>
        <v>0.9</v>
      </c>
      <c r="BF3" s="12">
        <f>POWER(BD3-$HE3,2)</f>
        <v>0.75111111111111195</v>
      </c>
      <c r="BG3" s="3">
        <v>9</v>
      </c>
      <c r="BH3" s="5">
        <v>9</v>
      </c>
      <c r="BI3" s="12">
        <f>BH3/BG3</f>
        <v>1</v>
      </c>
      <c r="BJ3" s="12">
        <f>POWER(BH3-$HE3,2)</f>
        <v>0.75111111111111195</v>
      </c>
      <c r="BK3" s="3">
        <v>10</v>
      </c>
      <c r="BL3" s="3">
        <v>10</v>
      </c>
      <c r="BM3" s="12">
        <f>BL3/BK3</f>
        <v>1</v>
      </c>
      <c r="BN3" s="12">
        <f>POWER(BL3-$HE3,2)</f>
        <v>3.484444444444446</v>
      </c>
      <c r="BO3" s="3">
        <v>8</v>
      </c>
      <c r="BP3" s="3">
        <v>8</v>
      </c>
      <c r="BQ3" s="12">
        <f>BP3/BO3</f>
        <v>1</v>
      </c>
      <c r="BR3" s="12">
        <f>POWER(BP3-$HE3,2)</f>
        <v>1.7777777777777653E-2</v>
      </c>
      <c r="BS3" s="3">
        <v>8</v>
      </c>
      <c r="BT3" s="3">
        <v>8</v>
      </c>
      <c r="BU3" s="12">
        <f>BT3/BS3</f>
        <v>1</v>
      </c>
      <c r="BV3" s="12">
        <f>POWER(BT3-$HE3,2)</f>
        <v>1.7777777777777653E-2</v>
      </c>
      <c r="BW3" s="3">
        <v>9</v>
      </c>
      <c r="BX3" s="5">
        <v>8</v>
      </c>
      <c r="BY3" s="12">
        <f>BX3/BW3</f>
        <v>0.88888888888888884</v>
      </c>
      <c r="BZ3" s="12">
        <f>POWER(BX3-$HE3,2)</f>
        <v>1.7777777777777653E-2</v>
      </c>
      <c r="CA3" s="3">
        <v>8</v>
      </c>
      <c r="CB3" s="3">
        <v>8</v>
      </c>
      <c r="CC3" s="12">
        <f>CB3/CA3</f>
        <v>1</v>
      </c>
      <c r="CD3" s="12">
        <f>POWER(CB3-$HE3,2)</f>
        <v>1.7777777777777653E-2</v>
      </c>
      <c r="CE3" s="3">
        <v>8</v>
      </c>
      <c r="CF3" s="3">
        <v>8</v>
      </c>
      <c r="CG3" s="12">
        <f>CF3/CE3</f>
        <v>1</v>
      </c>
      <c r="CH3" s="12">
        <f>POWER(CF3-$HE3,2)</f>
        <v>1.7777777777777653E-2</v>
      </c>
      <c r="CI3" s="3">
        <v>10</v>
      </c>
      <c r="CJ3" s="5">
        <v>8</v>
      </c>
      <c r="CK3" s="12">
        <f>CJ3/CI3</f>
        <v>0.8</v>
      </c>
      <c r="CL3" s="12">
        <f>POWER(CJ3-$HE3,2)</f>
        <v>1.7777777777777653E-2</v>
      </c>
      <c r="CM3" s="3">
        <v>9</v>
      </c>
      <c r="CN3" s="3">
        <v>9</v>
      </c>
      <c r="CO3" s="12">
        <f>CN3/CM3</f>
        <v>1</v>
      </c>
      <c r="CP3" s="12">
        <f>POWER(CN3-$HE3,2)</f>
        <v>0.75111111111111195</v>
      </c>
      <c r="CQ3" s="3">
        <v>8</v>
      </c>
      <c r="CR3" s="5">
        <v>8</v>
      </c>
      <c r="CS3" s="12">
        <f>CR3/CQ3</f>
        <v>1</v>
      </c>
      <c r="CT3" s="12">
        <f>POWER(CR3-$HE3,2)</f>
        <v>1.7777777777777653E-2</v>
      </c>
      <c r="CU3" s="3">
        <v>7</v>
      </c>
      <c r="CV3" s="5">
        <v>6</v>
      </c>
      <c r="CW3" s="12">
        <f>CV3/CU3</f>
        <v>0.8571428571428571</v>
      </c>
      <c r="CX3" s="12">
        <f>POWER(CV3-$HE3,2)</f>
        <v>4.5511111111111093</v>
      </c>
      <c r="CY3" s="3">
        <v>6</v>
      </c>
      <c r="CZ3" s="5">
        <v>6</v>
      </c>
      <c r="DA3" s="12">
        <f>CZ3/CY3</f>
        <v>1</v>
      </c>
      <c r="DB3" s="12">
        <f>POWER(CZ3-$HE3,2)</f>
        <v>4.5511111111111093</v>
      </c>
      <c r="DC3" s="3">
        <v>8</v>
      </c>
      <c r="DD3" s="5">
        <v>8</v>
      </c>
      <c r="DE3" s="12">
        <f>DD3/DC3</f>
        <v>1</v>
      </c>
      <c r="DF3" s="12">
        <f>POWER(DD3-$HE3,2)</f>
        <v>1.7777777777777653E-2</v>
      </c>
      <c r="DG3" s="3">
        <v>9</v>
      </c>
      <c r="DH3" s="5">
        <v>9</v>
      </c>
      <c r="DI3" s="12">
        <f>DH3/DG3</f>
        <v>1</v>
      </c>
      <c r="DJ3" s="12">
        <f>POWER(DH3-$HE3,2)</f>
        <v>0.75111111111111195</v>
      </c>
      <c r="DK3" s="3">
        <v>10</v>
      </c>
      <c r="DL3" s="5">
        <v>9</v>
      </c>
      <c r="DM3" s="12">
        <f>DL3/DK3</f>
        <v>0.9</v>
      </c>
      <c r="DN3" s="12">
        <f>POWER(DL3-$HE3,2)</f>
        <v>0.75111111111111195</v>
      </c>
      <c r="DO3" s="3">
        <v>10</v>
      </c>
      <c r="DP3" s="5">
        <v>7</v>
      </c>
      <c r="DQ3" s="12">
        <f>DP3/DO3</f>
        <v>0.7</v>
      </c>
      <c r="DR3" s="12">
        <f>POWER(DP3-$HE3,2)</f>
        <v>1.2844444444444434</v>
      </c>
      <c r="DS3" s="3">
        <v>9</v>
      </c>
      <c r="DT3" s="5">
        <v>9</v>
      </c>
      <c r="DU3" s="12">
        <f>DT3/DS3</f>
        <v>1</v>
      </c>
      <c r="DV3" s="12">
        <f>POWER(DT3-$HE3,2)</f>
        <v>0.75111111111111195</v>
      </c>
      <c r="DW3" s="3">
        <v>10</v>
      </c>
      <c r="DX3" s="5">
        <v>10</v>
      </c>
      <c r="DY3" s="12">
        <f>DX3/DW3</f>
        <v>1</v>
      </c>
      <c r="DZ3" s="12">
        <f>POWER(DX3-$HE3,2)</f>
        <v>3.484444444444446</v>
      </c>
      <c r="EA3" s="3">
        <v>10</v>
      </c>
      <c r="EB3" s="5">
        <v>8</v>
      </c>
      <c r="EC3" s="12">
        <f>EB3/EA3</f>
        <v>0.8</v>
      </c>
      <c r="ED3" s="12">
        <f>POWER(EB3-$HE3,2)</f>
        <v>1.7777777777777653E-2</v>
      </c>
      <c r="EE3" s="3">
        <v>8</v>
      </c>
      <c r="EF3" s="5">
        <v>7</v>
      </c>
      <c r="EG3" s="12">
        <f>EF3/EE3</f>
        <v>0.875</v>
      </c>
      <c r="EH3" s="12">
        <f>POWER(EF3-$HE3,2)</f>
        <v>1.2844444444444434</v>
      </c>
      <c r="EI3" s="3">
        <v>9</v>
      </c>
      <c r="EJ3" s="3">
        <v>9</v>
      </c>
      <c r="EK3" s="12">
        <f>EJ3/EI3</f>
        <v>1</v>
      </c>
      <c r="EL3" s="12">
        <f>POWER(EJ3-$HE3,2)</f>
        <v>0.75111111111111195</v>
      </c>
      <c r="EM3" s="3">
        <v>9</v>
      </c>
      <c r="EN3" s="3">
        <v>9</v>
      </c>
      <c r="EO3" s="12">
        <f>EN3/EM3</f>
        <v>1</v>
      </c>
      <c r="EP3" s="12">
        <f>POWER(EN3-$HE3,2)</f>
        <v>0.75111111111111195</v>
      </c>
      <c r="EQ3" s="3">
        <v>10</v>
      </c>
      <c r="ER3" s="5">
        <v>10</v>
      </c>
      <c r="ES3" s="12">
        <f>ER3/EQ3</f>
        <v>1</v>
      </c>
      <c r="ET3" s="12">
        <f>POWER(ER3-$HE3,2)</f>
        <v>3.484444444444446</v>
      </c>
      <c r="EU3" s="3">
        <v>9</v>
      </c>
      <c r="EV3" s="5">
        <v>8</v>
      </c>
      <c r="EW3" s="12">
        <f>EV3/EU3</f>
        <v>0.88888888888888884</v>
      </c>
      <c r="EX3" s="12">
        <f>POWER(EV3-$HE3,2)</f>
        <v>1.7777777777777653E-2</v>
      </c>
      <c r="EY3" s="3">
        <v>9</v>
      </c>
      <c r="EZ3" s="5">
        <v>9</v>
      </c>
      <c r="FA3" s="12">
        <f>EZ3/EY3</f>
        <v>1</v>
      </c>
      <c r="FB3" s="12">
        <f>POWER(EZ3-$HE3,2)</f>
        <v>0.75111111111111195</v>
      </c>
      <c r="FC3" s="3">
        <v>9</v>
      </c>
      <c r="FD3" s="5">
        <v>8</v>
      </c>
      <c r="FE3" s="12">
        <f>FD3/FC3</f>
        <v>0.88888888888888884</v>
      </c>
      <c r="FF3" s="12">
        <f>POWER(FD3-$HE3,2)</f>
        <v>1.7777777777777653E-2</v>
      </c>
      <c r="FG3" s="3">
        <v>9</v>
      </c>
      <c r="FH3" s="5">
        <v>9</v>
      </c>
      <c r="FI3" s="12">
        <f>FH3/FG3</f>
        <v>1</v>
      </c>
      <c r="FJ3" s="12">
        <f>POWER(FH3-$HE3,2)</f>
        <v>0.75111111111111195</v>
      </c>
      <c r="FK3" s="3">
        <v>9</v>
      </c>
      <c r="FL3" s="5">
        <v>9</v>
      </c>
      <c r="FM3" s="12">
        <f>FL3/FK3</f>
        <v>1</v>
      </c>
      <c r="FN3" s="12">
        <f>POWER(FL3-$HE3,2)</f>
        <v>0.75111111111111195</v>
      </c>
      <c r="FO3" s="3">
        <v>8</v>
      </c>
      <c r="FP3" s="5">
        <v>6</v>
      </c>
      <c r="FQ3" s="12">
        <f>FP3/FO3</f>
        <v>0.75</v>
      </c>
      <c r="FR3" s="12">
        <f>POWER(FP3-$HE3,2)</f>
        <v>4.5511111111111093</v>
      </c>
      <c r="FS3" s="3">
        <v>8</v>
      </c>
      <c r="FT3" s="5">
        <v>8</v>
      </c>
      <c r="FU3" s="12">
        <f>FT3/FS3</f>
        <v>1</v>
      </c>
      <c r="FV3" s="12">
        <f>POWER(FT3-$HE3,2)</f>
        <v>1.7777777777777653E-2</v>
      </c>
      <c r="FW3" s="3">
        <v>9</v>
      </c>
      <c r="FX3" s="5">
        <v>8</v>
      </c>
      <c r="FY3" s="12">
        <f>FX3/FW3</f>
        <v>0.88888888888888884</v>
      </c>
      <c r="FZ3" s="12">
        <f>POWER(FX3-$HE3,2)</f>
        <v>1.7777777777777653E-2</v>
      </c>
      <c r="GA3" s="3"/>
      <c r="GB3" s="5"/>
      <c r="GC3" s="12"/>
      <c r="GD3" s="12"/>
      <c r="GE3" s="3"/>
      <c r="GF3" s="5"/>
      <c r="GG3" s="12"/>
      <c r="GH3" s="12"/>
      <c r="GI3" s="3"/>
      <c r="GJ3" s="5"/>
      <c r="GK3" s="12"/>
      <c r="GL3" s="12"/>
      <c r="GM3" s="3"/>
      <c r="GN3" s="5"/>
      <c r="GO3" s="12"/>
      <c r="GP3" s="12"/>
      <c r="GQ3" s="3"/>
      <c r="GR3" s="5"/>
      <c r="GS3" s="12"/>
      <c r="GT3" s="12"/>
      <c r="GU3" s="3"/>
      <c r="GV3" s="5"/>
      <c r="GW3" s="12"/>
      <c r="GX3" s="12"/>
      <c r="GY3" s="3"/>
      <c r="GZ3" s="5"/>
      <c r="HA3" s="12"/>
      <c r="HB3" s="12"/>
      <c r="HC3" s="4">
        <f>COUNT(C3,G3,K3,O3,S3,W3,AA3,AE3,AI3,AM3,AQ3,AU3,AY3,BC3,BG3,BK3,BO3,BS3,BW3,CA3,CE3,CI3,CM3,CQ3,CU3,CY3,DC3,DG3,DK3,DO3,DS3,DW3,EA3,EE3,EI3,EM3,EQ3,EU3,EY3,FC3,FG3,FK3,FO3,FS3,FW3,GA3,GE3,GI3,GM3,GQ3,GU3,GY3)</f>
        <v>45</v>
      </c>
      <c r="HD3" s="15">
        <f>(E3+I3+M3+Q3+U3+Y3+AC3+AG3+AK3+AO3+AS3+AW3+BA3+BE3+BI3+BM3+BQ3+BU3+BY3+CC3+CG3+CK3+CO3+CS3+CW3+DA3+DE3+DI3+DM3+DQ3+DU3+DY3+EC3+EG3+EK3+EO3+ES3+EW3+FA3+FE3+FI3+FM3+FQ3+FU3+FY3+GC3+GG3+GK3+GO3+GS3+GW3+HA3)*100/HC3</f>
        <v>93.312169312169303</v>
      </c>
      <c r="HE3" s="15">
        <f>AVERAGE(D3,H3,L3,P3,T3,X3,AB3,AF3,AJ3,AN3,AR3,AV3,AZ3,BD3,BH3,BL3,BP3,BT3,BX3,CB3,CF3,CJ3,CN3,CR3,CV3,CZ3,DD3,DH3,DL3,DP3,DT3,DX3,EB3,EF3,EJ3,EN3,ER3,EV3,EZ3,FD3,FH3,FL3,FP3,FT3,FX3,GB3,GF3,GJ3,GN3,GR3,GV3,GZ3)</f>
        <v>8.1333333333333329</v>
      </c>
      <c r="HF3" s="15">
        <f>SQRT((F3+J3+N3+R3+V3+Z3+AD3+AH3+AL3+AP3+AT3+AX3+BB3+BF3+BJ3+BN3+BR3+BV3+BZ3+CD3+CH3+CL3+CP3+CT3+CX3+DB3+DF3+DJ3++DN3+DR3+DV3+DZ3+ED3+EH3+EL3+EP3+ET3+EX3+FB3+FF3+FJ3+FN3+FR3+FV3+FZ3+GD3+GH3+GL3+GP3+GT3+GX3+HB3)/HC3)</f>
        <v>1.1469767022723507</v>
      </c>
      <c r="HG3" s="16">
        <f>HD3</f>
        <v>93.312169312169303</v>
      </c>
      <c r="HH3" s="17" t="s">
        <v>3</v>
      </c>
      <c r="HI3" s="24">
        <f>HF3</f>
        <v>1.1469767022723507</v>
      </c>
      <c r="HJ3" s="4" t="str">
        <f>IF(HD3&lt;40,"неудовлетворительно",IF((HD3&gt;=40)*AND(HD3&lt;60),"удовлетворительно",IF((HD3&gt;=60)*AND(HD3&lt;80),"хорошо","отлично")))</f>
        <v>отлично</v>
      </c>
      <c r="HK3" s="64"/>
      <c r="HL3" s="32"/>
      <c r="HM3" s="65"/>
      <c r="HN3" s="65"/>
      <c r="HO3" s="64"/>
      <c r="HP3" s="32"/>
      <c r="HQ3" s="65"/>
      <c r="HR3" s="65"/>
      <c r="HS3" s="64"/>
      <c r="HT3" s="32"/>
      <c r="HU3" s="65"/>
      <c r="HV3" s="65"/>
      <c r="HW3" s="64"/>
      <c r="HX3" s="32"/>
      <c r="HY3" s="65"/>
      <c r="HZ3" s="65"/>
      <c r="IA3" s="64"/>
      <c r="IB3" s="32"/>
      <c r="IC3" s="65"/>
      <c r="ID3" s="65"/>
      <c r="IE3" s="64"/>
      <c r="IF3" s="32"/>
      <c r="IG3" s="65"/>
      <c r="IH3" s="65"/>
      <c r="II3" s="64"/>
      <c r="IJ3" s="32"/>
      <c r="IK3" s="65"/>
      <c r="IL3" s="65"/>
      <c r="IM3" s="64"/>
      <c r="IN3" s="32"/>
      <c r="IO3" s="65"/>
      <c r="IP3" s="65"/>
      <c r="IQ3" s="64"/>
      <c r="IR3" s="32"/>
      <c r="IS3" s="65"/>
      <c r="IT3" s="65"/>
      <c r="IU3" s="64"/>
      <c r="IV3" s="32"/>
      <c r="IW3" s="65"/>
      <c r="IX3" s="65"/>
    </row>
    <row r="4" spans="1:258" ht="39.75" customHeight="1" thickBot="1" x14ac:dyDescent="0.3">
      <c r="A4" s="21">
        <v>2</v>
      </c>
      <c r="B4" s="31" t="s">
        <v>14</v>
      </c>
      <c r="C4" s="3">
        <v>10</v>
      </c>
      <c r="D4" s="5">
        <v>9</v>
      </c>
      <c r="E4" s="12">
        <f t="shared" ref="E4:E14" si="0">D4/C4</f>
        <v>0.9</v>
      </c>
      <c r="F4" s="12">
        <f t="shared" ref="F4:F11" si="1">POWER(D4-$HE4,2)</f>
        <v>1.3353086419753095</v>
      </c>
      <c r="G4" s="3">
        <v>9</v>
      </c>
      <c r="H4" s="3">
        <v>9</v>
      </c>
      <c r="I4" s="12">
        <f t="shared" ref="I4:I14" si="2">H4/G4</f>
        <v>1</v>
      </c>
      <c r="J4" s="12">
        <f t="shared" ref="J4:J11" si="3">POWER(H4-$HE4,2)</f>
        <v>1.3353086419753095</v>
      </c>
      <c r="K4" s="3">
        <v>9</v>
      </c>
      <c r="L4" s="5">
        <v>9</v>
      </c>
      <c r="M4" s="12">
        <f t="shared" ref="M4:M14" si="4">L4/K4</f>
        <v>1</v>
      </c>
      <c r="N4" s="12">
        <f t="shared" ref="N4:N11" si="5">POWER(L4-$HE4,2)</f>
        <v>1.3353086419753095</v>
      </c>
      <c r="O4" s="3">
        <v>10</v>
      </c>
      <c r="P4" s="5">
        <v>7</v>
      </c>
      <c r="Q4" s="12">
        <f t="shared" ref="Q4:Q14" si="6">P4/O4</f>
        <v>0.7</v>
      </c>
      <c r="R4" s="12">
        <f t="shared" ref="R4:R11" si="7">POWER(P4-$HE4,2)</f>
        <v>0.71308641975308584</v>
      </c>
      <c r="S4" s="3">
        <v>7</v>
      </c>
      <c r="T4" s="3">
        <v>7</v>
      </c>
      <c r="U4" s="12">
        <f t="shared" ref="U4:U14" si="8">T4/S4</f>
        <v>1</v>
      </c>
      <c r="V4" s="12">
        <f t="shared" ref="V4:V11" si="9">POWER(T4-$HE4,2)</f>
        <v>0.71308641975308584</v>
      </c>
      <c r="W4" s="3">
        <v>8</v>
      </c>
      <c r="X4" s="5">
        <v>8</v>
      </c>
      <c r="Y4" s="12">
        <f t="shared" ref="Y4:Y14" si="10">X4/W4</f>
        <v>1</v>
      </c>
      <c r="Z4" s="12">
        <f t="shared" ref="Z4:Z11" si="11">POWER(X4-$HE4,2)</f>
        <v>2.4197530864197635E-2</v>
      </c>
      <c r="AA4" s="3">
        <v>4</v>
      </c>
      <c r="AB4" s="5">
        <v>4</v>
      </c>
      <c r="AC4" s="12">
        <f t="shared" ref="AC4:AC14" si="12">AB4/AA4</f>
        <v>1</v>
      </c>
      <c r="AD4" s="12">
        <f t="shared" ref="AD4:AD11" si="13">POWER(AB4-$HE4,2)</f>
        <v>14.779753086419751</v>
      </c>
      <c r="AE4" s="3">
        <v>8</v>
      </c>
      <c r="AF4" s="5">
        <v>8</v>
      </c>
      <c r="AG4" s="12">
        <f t="shared" ref="AG4:AG14" si="14">AF4/AE4</f>
        <v>1</v>
      </c>
      <c r="AH4" s="12">
        <f t="shared" ref="AH4:AH11" si="15">POWER(AF4-$HE4,2)</f>
        <v>2.4197530864197635E-2</v>
      </c>
      <c r="AI4" s="3">
        <v>9</v>
      </c>
      <c r="AJ4" s="3">
        <v>9</v>
      </c>
      <c r="AK4" s="12">
        <f t="shared" ref="AK4:AK14" si="16">AJ4/AI4</f>
        <v>1</v>
      </c>
      <c r="AL4" s="12">
        <f t="shared" ref="AL4:AL11" si="17">POWER(AJ4-$HE4,2)</f>
        <v>1.3353086419753095</v>
      </c>
      <c r="AM4" s="3">
        <v>10</v>
      </c>
      <c r="AN4" s="5">
        <v>7</v>
      </c>
      <c r="AO4" s="12">
        <f t="shared" ref="AO4:AO14" si="18">AN4/AM4</f>
        <v>0.7</v>
      </c>
      <c r="AP4" s="12">
        <f t="shared" ref="AP4:AP11" si="19">POWER(AN4-$HE4,2)</f>
        <v>0.71308641975308584</v>
      </c>
      <c r="AQ4" s="3">
        <v>7</v>
      </c>
      <c r="AR4" s="3">
        <v>7</v>
      </c>
      <c r="AS4" s="12">
        <f t="shared" ref="AS4:AS14" si="20">AR4/AQ4</f>
        <v>1</v>
      </c>
      <c r="AT4" s="12">
        <f t="shared" ref="AT4:AT11" si="21">POWER(AR4-$HE4,2)</f>
        <v>0.71308641975308584</v>
      </c>
      <c r="AU4" s="3">
        <v>9</v>
      </c>
      <c r="AV4" s="5">
        <v>8</v>
      </c>
      <c r="AW4" s="12">
        <f t="shared" ref="AW4:AW11" si="22">AV4/AU4</f>
        <v>0.88888888888888884</v>
      </c>
      <c r="AX4" s="12">
        <f t="shared" ref="AX4:AX11" si="23">POWER(AV4-$HE4,2)</f>
        <v>2.4197530864197635E-2</v>
      </c>
      <c r="AY4" s="3">
        <v>9</v>
      </c>
      <c r="AZ4" s="5">
        <v>8</v>
      </c>
      <c r="BA4" s="12">
        <f t="shared" ref="BA4:BA11" si="24">AZ4/AY4</f>
        <v>0.88888888888888884</v>
      </c>
      <c r="BB4" s="12">
        <f t="shared" ref="BB4:BB11" si="25">POWER(AZ4-$HE4,2)</f>
        <v>2.4197530864197635E-2</v>
      </c>
      <c r="BC4" s="3">
        <v>10</v>
      </c>
      <c r="BD4" s="5">
        <v>8</v>
      </c>
      <c r="BE4" s="12">
        <f t="shared" ref="BE4:BE11" si="26">BD4/BC4</f>
        <v>0.8</v>
      </c>
      <c r="BF4" s="12">
        <f t="shared" ref="BF4:BF11" si="27">POWER(BD4-$HE4,2)</f>
        <v>2.4197530864197635E-2</v>
      </c>
      <c r="BG4" s="3">
        <v>8</v>
      </c>
      <c r="BH4" s="5">
        <v>8</v>
      </c>
      <c r="BI4" s="12">
        <f t="shared" ref="BI4:BI11" si="28">BH4/BG4</f>
        <v>1</v>
      </c>
      <c r="BJ4" s="12">
        <f t="shared" ref="BJ4:BJ11" si="29">POWER(BH4-$HE4,2)</f>
        <v>2.4197530864197635E-2</v>
      </c>
      <c r="BK4" s="3">
        <v>9</v>
      </c>
      <c r="BL4" s="3">
        <v>9</v>
      </c>
      <c r="BM4" s="12">
        <f t="shared" ref="BM4:BM11" si="30">BL4/BK4</f>
        <v>1</v>
      </c>
      <c r="BN4" s="12">
        <f t="shared" ref="BN4:BN11" si="31">POWER(BL4-$HE4,2)</f>
        <v>1.3353086419753095</v>
      </c>
      <c r="BO4" s="3">
        <v>8</v>
      </c>
      <c r="BP4" s="3">
        <v>8</v>
      </c>
      <c r="BQ4" s="12">
        <f t="shared" ref="BQ4:BQ11" si="32">BP4/BO4</f>
        <v>1</v>
      </c>
      <c r="BR4" s="12">
        <f t="shared" ref="BR4:BR11" si="33">POWER(BP4-$HE4,2)</f>
        <v>2.4197530864197635E-2</v>
      </c>
      <c r="BS4" s="3">
        <v>9</v>
      </c>
      <c r="BT4" s="3">
        <v>9</v>
      </c>
      <c r="BU4" s="12">
        <f t="shared" ref="BU4:BU11" si="34">BT4/BS4</f>
        <v>1</v>
      </c>
      <c r="BV4" s="12">
        <f t="shared" ref="BV4:BV11" si="35">POWER(BT4-$HE4,2)</f>
        <v>1.3353086419753095</v>
      </c>
      <c r="BW4" s="3">
        <v>8</v>
      </c>
      <c r="BX4" s="5">
        <v>7</v>
      </c>
      <c r="BY4" s="12">
        <f t="shared" ref="BY4:BY11" si="36">BX4/BW4</f>
        <v>0.875</v>
      </c>
      <c r="BZ4" s="12">
        <f t="shared" ref="BZ4:BZ11" si="37">POWER(BX4-$HE4,2)</f>
        <v>0.71308641975308584</v>
      </c>
      <c r="CA4" s="3">
        <v>8</v>
      </c>
      <c r="CB4" s="3">
        <v>8</v>
      </c>
      <c r="CC4" s="12">
        <f t="shared" ref="CC4:CC11" si="38">CB4/CA4</f>
        <v>1</v>
      </c>
      <c r="CD4" s="12">
        <f t="shared" ref="CD4:CD11" si="39">POWER(CB4-$HE4,2)</f>
        <v>2.4197530864197635E-2</v>
      </c>
      <c r="CE4" s="3">
        <v>7</v>
      </c>
      <c r="CF4" s="3">
        <v>7</v>
      </c>
      <c r="CG4" s="12">
        <f t="shared" ref="CG4:CG11" si="40">CF4/CE4</f>
        <v>1</v>
      </c>
      <c r="CH4" s="12">
        <f t="shared" ref="CH4:CH11" si="41">POWER(CF4-$HE4,2)</f>
        <v>0.71308641975308584</v>
      </c>
      <c r="CI4" s="3">
        <v>8</v>
      </c>
      <c r="CJ4" s="5">
        <v>7</v>
      </c>
      <c r="CK4" s="12">
        <f t="shared" ref="CK4:CK11" si="42">CJ4/CI4</f>
        <v>0.875</v>
      </c>
      <c r="CL4" s="12">
        <f t="shared" ref="CL4:CL11" si="43">POWER(CJ4-$HE4,2)</f>
        <v>0.71308641975308584</v>
      </c>
      <c r="CM4" s="3">
        <v>8</v>
      </c>
      <c r="CN4" s="3">
        <v>8</v>
      </c>
      <c r="CO4" s="12">
        <f t="shared" ref="CO4:CO11" si="44">CN4/CM4</f>
        <v>1</v>
      </c>
      <c r="CP4" s="12">
        <f t="shared" ref="CP4:CP11" si="45">POWER(CN4-$HE4,2)</f>
        <v>2.4197530864197635E-2</v>
      </c>
      <c r="CQ4" s="3">
        <v>7</v>
      </c>
      <c r="CR4" s="5">
        <v>7</v>
      </c>
      <c r="CS4" s="12">
        <f t="shared" ref="CS4:CS11" si="46">CR4/CQ4</f>
        <v>1</v>
      </c>
      <c r="CT4" s="12">
        <f t="shared" ref="CT4:CT11" si="47">POWER(CR4-$HE4,2)</f>
        <v>0.71308641975308584</v>
      </c>
      <c r="CU4" s="3">
        <v>7</v>
      </c>
      <c r="CV4" s="5">
        <v>6</v>
      </c>
      <c r="CW4" s="12">
        <f t="shared" ref="CW4:CW11" si="48">CV4/CU4</f>
        <v>0.8571428571428571</v>
      </c>
      <c r="CX4" s="12">
        <f t="shared" ref="CX4:CX11" si="49">POWER(CV4-$HE4,2)</f>
        <v>3.4019753086419739</v>
      </c>
      <c r="CY4" s="3">
        <v>6</v>
      </c>
      <c r="CZ4" s="5">
        <v>6</v>
      </c>
      <c r="DA4" s="12">
        <f t="shared" ref="DA4:DA11" si="50">CZ4/CY4</f>
        <v>1</v>
      </c>
      <c r="DB4" s="12">
        <f t="shared" ref="DB4:DB11" si="51">POWER(CZ4-$HE4,2)</f>
        <v>3.4019753086419739</v>
      </c>
      <c r="DC4" s="3">
        <v>9</v>
      </c>
      <c r="DD4" s="5">
        <v>9</v>
      </c>
      <c r="DE4" s="12">
        <f t="shared" ref="DE4:DE11" si="52">DD4/DC4</f>
        <v>1</v>
      </c>
      <c r="DF4" s="12">
        <f t="shared" ref="DF4:DF11" si="53">POWER(DD4-$HE4,2)</f>
        <v>1.3353086419753095</v>
      </c>
      <c r="DG4" s="3">
        <v>9</v>
      </c>
      <c r="DH4" s="5">
        <v>9</v>
      </c>
      <c r="DI4" s="12">
        <f t="shared" ref="DI4:DI11" si="54">DH4/DG4</f>
        <v>1</v>
      </c>
      <c r="DJ4" s="12">
        <f t="shared" ref="DJ4:DJ11" si="55">POWER(DH4-$HE4,2)</f>
        <v>1.3353086419753095</v>
      </c>
      <c r="DK4" s="3">
        <v>10</v>
      </c>
      <c r="DL4" s="5">
        <v>9</v>
      </c>
      <c r="DM4" s="12">
        <f t="shared" ref="DM4:DM11" si="56">DL4/DK4</f>
        <v>0.9</v>
      </c>
      <c r="DN4" s="12">
        <f t="shared" ref="DN4:DN11" si="57">POWER(DL4-$HE4,2)</f>
        <v>1.3353086419753095</v>
      </c>
      <c r="DO4" s="3">
        <v>10</v>
      </c>
      <c r="DP4" s="5">
        <v>6</v>
      </c>
      <c r="DQ4" s="12">
        <f t="shared" ref="DQ4:DQ11" si="58">DP4/DO4</f>
        <v>0.6</v>
      </c>
      <c r="DR4" s="12">
        <f t="shared" ref="DR4:DR11" si="59">POWER(DP4-$HE4,2)</f>
        <v>3.4019753086419739</v>
      </c>
      <c r="DS4" s="3">
        <v>9</v>
      </c>
      <c r="DT4" s="5">
        <v>6</v>
      </c>
      <c r="DU4" s="12">
        <f t="shared" ref="DU4:DU11" si="60">DT4/DS4</f>
        <v>0.66666666666666663</v>
      </c>
      <c r="DV4" s="12">
        <f t="shared" ref="DV4:DV11" si="61">POWER(DT4-$HE4,2)</f>
        <v>3.4019753086419739</v>
      </c>
      <c r="DW4" s="3">
        <v>9</v>
      </c>
      <c r="DX4" s="5">
        <v>9</v>
      </c>
      <c r="DY4" s="12">
        <f t="shared" ref="DY4:DY11" si="62">DX4/DW4</f>
        <v>1</v>
      </c>
      <c r="DZ4" s="12">
        <f t="shared" ref="DZ4:DZ11" si="63">POWER(DX4-$HE4,2)</f>
        <v>1.3353086419753095</v>
      </c>
      <c r="EA4" s="3">
        <v>9</v>
      </c>
      <c r="EB4" s="5">
        <v>9</v>
      </c>
      <c r="EC4" s="12">
        <f t="shared" ref="EC4:EC11" si="64">EB4/EA4</f>
        <v>1</v>
      </c>
      <c r="ED4" s="12">
        <f t="shared" ref="ED4:ED11" si="65">POWER(EB4-$HE4,2)</f>
        <v>1.3353086419753095</v>
      </c>
      <c r="EE4" s="3">
        <v>8</v>
      </c>
      <c r="EF4" s="5">
        <v>7</v>
      </c>
      <c r="EG4" s="12">
        <f t="shared" ref="EG4:EG11" si="66">EF4/EE4</f>
        <v>0.875</v>
      </c>
      <c r="EH4" s="12">
        <f t="shared" ref="EH4:EH11" si="67">POWER(EF4-$HE4,2)</f>
        <v>0.71308641975308584</v>
      </c>
      <c r="EI4" s="3">
        <v>8</v>
      </c>
      <c r="EJ4" s="3">
        <v>8</v>
      </c>
      <c r="EK4" s="12">
        <f t="shared" ref="EK4:EK11" si="68">EJ4/EI4</f>
        <v>1</v>
      </c>
      <c r="EL4" s="12">
        <f t="shared" ref="EL4:EL11" si="69">POWER(EJ4-$HE4,2)</f>
        <v>2.4197530864197635E-2</v>
      </c>
      <c r="EM4" s="3">
        <v>8</v>
      </c>
      <c r="EN4" s="3">
        <v>8</v>
      </c>
      <c r="EO4" s="12">
        <f t="shared" ref="EO4:EO11" si="70">EN4/EM4</f>
        <v>1</v>
      </c>
      <c r="EP4" s="12">
        <f t="shared" ref="EP4:EP11" si="71">POWER(EN4-$HE4,2)</f>
        <v>2.4197530864197635E-2</v>
      </c>
      <c r="EQ4" s="3">
        <v>10</v>
      </c>
      <c r="ER4" s="5">
        <v>10</v>
      </c>
      <c r="ES4" s="12">
        <f t="shared" ref="ES4:ES11" si="72">ER4/EQ4</f>
        <v>1</v>
      </c>
      <c r="ET4" s="12">
        <f t="shared" ref="ET4:ET11" si="73">POWER(ER4-$HE4,2)</f>
        <v>4.6464197530864215</v>
      </c>
      <c r="EU4" s="3">
        <v>8</v>
      </c>
      <c r="EV4" s="5">
        <v>8</v>
      </c>
      <c r="EW4" s="12">
        <f t="shared" ref="EW4:EW11" si="74">EV4/EU4</f>
        <v>1</v>
      </c>
      <c r="EX4" s="12">
        <f t="shared" ref="EX4:EX11" si="75">POWER(EV4-$HE4,2)</f>
        <v>2.4197530864197635E-2</v>
      </c>
      <c r="EY4" s="3">
        <v>9</v>
      </c>
      <c r="EZ4" s="5">
        <v>9</v>
      </c>
      <c r="FA4" s="12">
        <f t="shared" ref="FA4:FA11" si="76">EZ4/EY4</f>
        <v>1</v>
      </c>
      <c r="FB4" s="12">
        <f t="shared" ref="FB4:FB11" si="77">POWER(EZ4-$HE4,2)</f>
        <v>1.3353086419753095</v>
      </c>
      <c r="FC4" s="3">
        <v>8</v>
      </c>
      <c r="FD4" s="5">
        <v>7</v>
      </c>
      <c r="FE4" s="12">
        <f t="shared" ref="FE4:FE11" si="78">FD4/FC4</f>
        <v>0.875</v>
      </c>
      <c r="FF4" s="12">
        <f t="shared" ref="FF4:FF11" si="79">POWER(FD4-$HE4,2)</f>
        <v>0.71308641975308584</v>
      </c>
      <c r="FG4" s="3">
        <v>9</v>
      </c>
      <c r="FH4" s="5">
        <v>9</v>
      </c>
      <c r="FI4" s="12">
        <f t="shared" ref="FI4:FI11" si="80">FH4/FG4</f>
        <v>1</v>
      </c>
      <c r="FJ4" s="12">
        <f t="shared" ref="FJ4:FJ11" si="81">POWER(FH4-$HE4,2)</f>
        <v>1.3353086419753095</v>
      </c>
      <c r="FK4" s="3">
        <v>9</v>
      </c>
      <c r="FL4" s="5">
        <v>8</v>
      </c>
      <c r="FM4" s="12">
        <f t="shared" ref="FM4:FM11" si="82">FL4/FK4</f>
        <v>0.88888888888888884</v>
      </c>
      <c r="FN4" s="12">
        <f t="shared" ref="FN4:FN11" si="83">POWER(FL4-$HE4,2)</f>
        <v>2.4197530864197635E-2</v>
      </c>
      <c r="FO4" s="3">
        <v>10</v>
      </c>
      <c r="FP4" s="5">
        <v>7</v>
      </c>
      <c r="FQ4" s="12">
        <f t="shared" ref="FQ4:FQ11" si="84">FP4/FO4</f>
        <v>0.7</v>
      </c>
      <c r="FR4" s="12">
        <f t="shared" ref="FR4:FR11" si="85">POWER(FP4-$HE4,2)</f>
        <v>0.71308641975308584</v>
      </c>
      <c r="FS4" s="3">
        <v>9</v>
      </c>
      <c r="FT4" s="5">
        <v>9</v>
      </c>
      <c r="FU4" s="12">
        <f t="shared" ref="FU4:FU11" si="86">FT4/FS4</f>
        <v>1</v>
      </c>
      <c r="FV4" s="12">
        <f t="shared" ref="FV4:FV11" si="87">POWER(FT4-$HE4,2)</f>
        <v>1.3353086419753095</v>
      </c>
      <c r="FW4" s="3">
        <v>9</v>
      </c>
      <c r="FX4" s="5">
        <v>8</v>
      </c>
      <c r="FY4" s="12">
        <f t="shared" ref="FY4:FY11" si="88">FX4/FW4</f>
        <v>0.88888888888888884</v>
      </c>
      <c r="FZ4" s="12">
        <f t="shared" ref="FZ4:FZ11" si="89">POWER(FX4-$HE4,2)</f>
        <v>2.4197530864197635E-2</v>
      </c>
      <c r="GA4" s="3"/>
      <c r="GB4" s="5"/>
      <c r="GC4" s="12"/>
      <c r="GD4" s="12"/>
      <c r="GE4" s="3"/>
      <c r="GF4" s="5"/>
      <c r="GG4" s="12"/>
      <c r="GH4" s="12"/>
      <c r="GI4" s="3"/>
      <c r="GJ4" s="5"/>
      <c r="GK4" s="12"/>
      <c r="GL4" s="12"/>
      <c r="GM4" s="3"/>
      <c r="GN4" s="5"/>
      <c r="GO4" s="12"/>
      <c r="GP4" s="12"/>
      <c r="GQ4" s="3"/>
      <c r="GR4" s="5"/>
      <c r="GS4" s="12"/>
      <c r="GT4" s="12"/>
      <c r="GU4" s="3"/>
      <c r="GV4" s="5"/>
      <c r="GW4" s="12"/>
      <c r="GX4" s="12"/>
      <c r="GY4" s="3"/>
      <c r="GZ4" s="5"/>
      <c r="HA4" s="12"/>
      <c r="HB4" s="12"/>
      <c r="HC4" s="4">
        <f t="shared" ref="HC4:HC14" si="90">COUNT(C4,G4,K4,O4,S4,W4,AA4,AE4,AI4,AM4,AQ4,AU4,AY4,BC4,BG4,BK4,BO4,BS4,BW4,CA4,CE4,CI4,CM4,CQ4,CU4,CY4,DC4,DG4,DK4,DO4,DS4,DW4,EA4,EE4,EI4,EM4,EQ4,EU4,EY4,FC4,FG4,FK4,FO4,FS4,FW4,GA4,GE4,GI4,GM4,GQ4,GU4,GY4)</f>
        <v>45</v>
      </c>
      <c r="HD4" s="15">
        <f t="shared" ref="HD4:HD14" si="91">(E4+I4+M4+Q4+U4+Y4+AC4+AG4+AK4+AO4+AS4+AW4+BA4+BE4+BI4+BM4+BQ4+BU4+BY4+CC4+CG4+CK4+CO4+CS4+CW4+DA4+DE4+DI4+DM4+DQ4+DU4+DY4+EC4+EG4+EK4+EO4+ES4+EW4+FA4+FE4+FI4+FM4+FQ4+FU4+FY4+GC4+GG4+GK4+GO4+GS4+GW4+HA4)*100/HC4</f>
        <v>93.065255731922406</v>
      </c>
      <c r="HE4" s="15">
        <f t="shared" ref="HE4:HE11" si="92">AVERAGE(D4,H4,L4,P4,T4,X4,AB4,AF4,AJ4,AN4,AR4,AV4,AZ4,BD4,BH4,BL4,BP4,BT4,BX4,CB4,CF4,CJ4,CN4,CR4,CV4,CZ4,DD4,DH4,DL4,DP4,DT4,DX4,EB4,EF4,EJ4,EN4,ER4,EV4,EZ4,FD4,FH4,FL4,FP4,FT4,FX4,GB4,GF4,GJ4,GN4,GR4,GV4,GZ4)</f>
        <v>7.8444444444444441</v>
      </c>
      <c r="HF4" s="15">
        <f t="shared" ref="HF4:HF11" si="93">SQRT((F4+J4+N4+R4+V4+Z4+AD4+AH4+AL4+AP4+AT4+AX4+BB4+BF4+BJ4+BN4+BR4+BV4+BZ4+CD4+CH4+CL4+CP4+CT4+CX4+DB4+DF4+DJ4++DN4+DR4+DV4+DZ4+ED4+EH4+EL4+EP4+ET4+EX4+FB4+FF4+FJ4+FN4+FR4+FV4+FZ4+GD4+GH4+GL4+GP4+GT4+GX4+HB4)/HC4)</f>
        <v>1.1538448876219705</v>
      </c>
      <c r="HG4" s="16">
        <f t="shared" ref="HG4:HG11" si="94">HD4</f>
        <v>93.065255731922406</v>
      </c>
      <c r="HH4" s="17" t="s">
        <v>3</v>
      </c>
      <c r="HI4" s="24">
        <f t="shared" ref="HI4:HI11" si="95">HF4</f>
        <v>1.1538448876219705</v>
      </c>
      <c r="HJ4" s="4" t="str">
        <f t="shared" ref="HJ4:HJ11" si="96">IF(HD4&lt;40,"неудовлетворительно",IF((HD4&gt;=40)*AND(HD4&lt;60),"удовлетворительно",IF((HD4&gt;=60)*AND(HD4&lt;80),"хорошо","отлично")))</f>
        <v>отлично</v>
      </c>
      <c r="HK4" s="64"/>
      <c r="HL4" s="32"/>
      <c r="HM4" s="65"/>
      <c r="HN4" s="65"/>
      <c r="HO4" s="64"/>
      <c r="HP4" s="32"/>
      <c r="HQ4" s="65"/>
      <c r="HR4" s="65"/>
      <c r="HS4" s="64"/>
      <c r="HT4" s="32"/>
      <c r="HU4" s="65"/>
      <c r="HV4" s="65"/>
      <c r="HW4" s="64"/>
      <c r="HX4" s="32"/>
      <c r="HY4" s="65"/>
      <c r="HZ4" s="65"/>
      <c r="IA4" s="64"/>
      <c r="IB4" s="32"/>
      <c r="IC4" s="65"/>
      <c r="ID4" s="65"/>
      <c r="IE4" s="64"/>
      <c r="IF4" s="32"/>
      <c r="IG4" s="65"/>
      <c r="IH4" s="65"/>
      <c r="II4" s="64"/>
      <c r="IJ4" s="32"/>
      <c r="IK4" s="65"/>
      <c r="IL4" s="65"/>
      <c r="IM4" s="64"/>
      <c r="IN4" s="32"/>
      <c r="IO4" s="65"/>
      <c r="IP4" s="65"/>
      <c r="IQ4" s="64"/>
      <c r="IR4" s="32"/>
      <c r="IS4" s="65"/>
      <c r="IT4" s="65"/>
      <c r="IU4" s="64"/>
      <c r="IV4" s="32"/>
      <c r="IW4" s="65"/>
      <c r="IX4" s="65"/>
    </row>
    <row r="5" spans="1:258" ht="52.5" customHeight="1" thickBot="1" x14ac:dyDescent="0.3">
      <c r="A5" s="21">
        <v>3</v>
      </c>
      <c r="B5" s="31" t="s">
        <v>15</v>
      </c>
      <c r="C5" s="3">
        <v>10</v>
      </c>
      <c r="D5" s="5">
        <v>7</v>
      </c>
      <c r="E5" s="12">
        <f t="shared" si="0"/>
        <v>0.7</v>
      </c>
      <c r="F5" s="12">
        <f t="shared" si="1"/>
        <v>1.1377777777777773</v>
      </c>
      <c r="G5" s="3">
        <v>9</v>
      </c>
      <c r="H5" s="3">
        <v>9</v>
      </c>
      <c r="I5" s="12">
        <f t="shared" si="2"/>
        <v>1</v>
      </c>
      <c r="J5" s="12">
        <f t="shared" si="3"/>
        <v>0.8711111111111115</v>
      </c>
      <c r="K5" s="3">
        <v>9</v>
      </c>
      <c r="L5" s="5">
        <v>9</v>
      </c>
      <c r="M5" s="12">
        <f t="shared" si="4"/>
        <v>1</v>
      </c>
      <c r="N5" s="12">
        <f t="shared" si="5"/>
        <v>0.8711111111111115</v>
      </c>
      <c r="O5" s="3">
        <v>10</v>
      </c>
      <c r="P5" s="5">
        <v>8</v>
      </c>
      <c r="Q5" s="12">
        <f t="shared" si="6"/>
        <v>0.8</v>
      </c>
      <c r="R5" s="12">
        <f t="shared" si="7"/>
        <v>4.4444444444444132E-3</v>
      </c>
      <c r="S5" s="3">
        <v>9</v>
      </c>
      <c r="T5" s="3">
        <v>9</v>
      </c>
      <c r="U5" s="12">
        <f t="shared" si="8"/>
        <v>1</v>
      </c>
      <c r="V5" s="12">
        <f t="shared" si="9"/>
        <v>0.8711111111111115</v>
      </c>
      <c r="W5" s="3">
        <v>9</v>
      </c>
      <c r="X5" s="5">
        <v>7</v>
      </c>
      <c r="Y5" s="12">
        <f t="shared" si="10"/>
        <v>0.77777777777777779</v>
      </c>
      <c r="Z5" s="12">
        <f t="shared" si="11"/>
        <v>1.1377777777777773</v>
      </c>
      <c r="AA5" s="3">
        <v>4</v>
      </c>
      <c r="AB5" s="5">
        <v>4</v>
      </c>
      <c r="AC5" s="12">
        <f t="shared" si="12"/>
        <v>1</v>
      </c>
      <c r="AD5" s="12">
        <f t="shared" si="13"/>
        <v>16.537777777777777</v>
      </c>
      <c r="AE5" s="3">
        <v>10</v>
      </c>
      <c r="AF5" s="5">
        <v>9</v>
      </c>
      <c r="AG5" s="12">
        <f t="shared" si="14"/>
        <v>0.9</v>
      </c>
      <c r="AH5" s="12">
        <f t="shared" si="15"/>
        <v>0.8711111111111115</v>
      </c>
      <c r="AI5" s="3">
        <v>8</v>
      </c>
      <c r="AJ5" s="3">
        <v>8</v>
      </c>
      <c r="AK5" s="12">
        <f t="shared" si="16"/>
        <v>1</v>
      </c>
      <c r="AL5" s="12">
        <f t="shared" si="17"/>
        <v>4.4444444444444132E-3</v>
      </c>
      <c r="AM5" s="3">
        <v>10</v>
      </c>
      <c r="AN5" s="5">
        <v>8</v>
      </c>
      <c r="AO5" s="12">
        <f t="shared" si="18"/>
        <v>0.8</v>
      </c>
      <c r="AP5" s="12">
        <f t="shared" si="19"/>
        <v>4.4444444444444132E-3</v>
      </c>
      <c r="AQ5" s="3">
        <v>7</v>
      </c>
      <c r="AR5" s="3">
        <v>7</v>
      </c>
      <c r="AS5" s="12">
        <f t="shared" si="20"/>
        <v>1</v>
      </c>
      <c r="AT5" s="12">
        <f t="shared" si="21"/>
        <v>1.1377777777777773</v>
      </c>
      <c r="AU5" s="3">
        <v>10</v>
      </c>
      <c r="AV5" s="5">
        <v>9</v>
      </c>
      <c r="AW5" s="12">
        <f t="shared" si="22"/>
        <v>0.9</v>
      </c>
      <c r="AX5" s="12">
        <f t="shared" si="23"/>
        <v>0.8711111111111115</v>
      </c>
      <c r="AY5" s="3">
        <v>9</v>
      </c>
      <c r="AZ5" s="5">
        <v>7</v>
      </c>
      <c r="BA5" s="12">
        <f t="shared" si="24"/>
        <v>0.77777777777777779</v>
      </c>
      <c r="BB5" s="12">
        <f t="shared" si="25"/>
        <v>1.1377777777777773</v>
      </c>
      <c r="BC5" s="3">
        <v>10</v>
      </c>
      <c r="BD5" s="5">
        <v>9</v>
      </c>
      <c r="BE5" s="12">
        <f t="shared" si="26"/>
        <v>0.9</v>
      </c>
      <c r="BF5" s="12">
        <f t="shared" si="27"/>
        <v>0.8711111111111115</v>
      </c>
      <c r="BG5" s="3">
        <v>9</v>
      </c>
      <c r="BH5" s="5">
        <v>9</v>
      </c>
      <c r="BI5" s="12">
        <f t="shared" si="28"/>
        <v>1</v>
      </c>
      <c r="BJ5" s="12">
        <f t="shared" si="29"/>
        <v>0.8711111111111115</v>
      </c>
      <c r="BK5" s="3">
        <v>9</v>
      </c>
      <c r="BL5" s="3">
        <v>9</v>
      </c>
      <c r="BM5" s="12">
        <f t="shared" si="30"/>
        <v>1</v>
      </c>
      <c r="BN5" s="12">
        <f t="shared" si="31"/>
        <v>0.8711111111111115</v>
      </c>
      <c r="BO5" s="3">
        <v>9</v>
      </c>
      <c r="BP5" s="3">
        <v>9</v>
      </c>
      <c r="BQ5" s="12">
        <f t="shared" si="32"/>
        <v>1</v>
      </c>
      <c r="BR5" s="12">
        <f t="shared" si="33"/>
        <v>0.8711111111111115</v>
      </c>
      <c r="BS5" s="3">
        <v>9</v>
      </c>
      <c r="BT5" s="3">
        <v>9</v>
      </c>
      <c r="BU5" s="12">
        <f t="shared" si="34"/>
        <v>1</v>
      </c>
      <c r="BV5" s="12">
        <f t="shared" si="35"/>
        <v>0.8711111111111115</v>
      </c>
      <c r="BW5" s="3">
        <v>9</v>
      </c>
      <c r="BX5" s="5">
        <v>8</v>
      </c>
      <c r="BY5" s="12">
        <f t="shared" si="36"/>
        <v>0.88888888888888884</v>
      </c>
      <c r="BZ5" s="12">
        <f t="shared" si="37"/>
        <v>4.4444444444444132E-3</v>
      </c>
      <c r="CA5" s="3">
        <v>10</v>
      </c>
      <c r="CB5" s="3">
        <v>9</v>
      </c>
      <c r="CC5" s="12">
        <f t="shared" si="38"/>
        <v>0.9</v>
      </c>
      <c r="CD5" s="12">
        <f t="shared" si="39"/>
        <v>0.8711111111111115</v>
      </c>
      <c r="CE5" s="3">
        <v>9</v>
      </c>
      <c r="CF5" s="3">
        <v>9</v>
      </c>
      <c r="CG5" s="12">
        <f t="shared" si="40"/>
        <v>1</v>
      </c>
      <c r="CH5" s="12">
        <f t="shared" si="41"/>
        <v>0.8711111111111115</v>
      </c>
      <c r="CI5" s="3">
        <v>8</v>
      </c>
      <c r="CJ5" s="5">
        <v>7</v>
      </c>
      <c r="CK5" s="12">
        <f t="shared" si="42"/>
        <v>0.875</v>
      </c>
      <c r="CL5" s="12">
        <f t="shared" si="43"/>
        <v>1.1377777777777773</v>
      </c>
      <c r="CM5" s="3">
        <v>9</v>
      </c>
      <c r="CN5" s="3">
        <v>8</v>
      </c>
      <c r="CO5" s="12">
        <f t="shared" si="44"/>
        <v>0.88888888888888884</v>
      </c>
      <c r="CP5" s="12">
        <f t="shared" si="45"/>
        <v>4.4444444444444132E-3</v>
      </c>
      <c r="CQ5" s="3">
        <v>8</v>
      </c>
      <c r="CR5" s="5">
        <v>8</v>
      </c>
      <c r="CS5" s="12">
        <f t="shared" si="46"/>
        <v>1</v>
      </c>
      <c r="CT5" s="12">
        <f t="shared" si="47"/>
        <v>4.4444444444444132E-3</v>
      </c>
      <c r="CU5" s="3">
        <v>7</v>
      </c>
      <c r="CV5" s="5">
        <v>6</v>
      </c>
      <c r="CW5" s="12">
        <f t="shared" si="48"/>
        <v>0.8571428571428571</v>
      </c>
      <c r="CX5" s="12">
        <f t="shared" si="49"/>
        <v>4.27111111111111</v>
      </c>
      <c r="CY5" s="3">
        <v>6</v>
      </c>
      <c r="CZ5" s="5">
        <v>6</v>
      </c>
      <c r="DA5" s="12">
        <f t="shared" si="50"/>
        <v>1</v>
      </c>
      <c r="DB5" s="12">
        <f t="shared" si="51"/>
        <v>4.27111111111111</v>
      </c>
      <c r="DC5" s="3">
        <v>9</v>
      </c>
      <c r="DD5" s="5">
        <v>9</v>
      </c>
      <c r="DE5" s="12">
        <f t="shared" si="52"/>
        <v>1</v>
      </c>
      <c r="DF5" s="12">
        <f t="shared" si="53"/>
        <v>0.8711111111111115</v>
      </c>
      <c r="DG5" s="3">
        <v>9</v>
      </c>
      <c r="DH5" s="5">
        <v>9</v>
      </c>
      <c r="DI5" s="12">
        <f t="shared" si="54"/>
        <v>1</v>
      </c>
      <c r="DJ5" s="12">
        <f t="shared" si="55"/>
        <v>0.8711111111111115</v>
      </c>
      <c r="DK5" s="3">
        <v>10</v>
      </c>
      <c r="DL5" s="5">
        <v>8</v>
      </c>
      <c r="DM5" s="12">
        <f t="shared" si="56"/>
        <v>0.8</v>
      </c>
      <c r="DN5" s="12">
        <f t="shared" si="57"/>
        <v>4.4444444444444132E-3</v>
      </c>
      <c r="DO5" s="3">
        <v>10</v>
      </c>
      <c r="DP5" s="5">
        <v>5</v>
      </c>
      <c r="DQ5" s="12">
        <f t="shared" si="58"/>
        <v>0.5</v>
      </c>
      <c r="DR5" s="12">
        <f t="shared" si="59"/>
        <v>9.4044444444444437</v>
      </c>
      <c r="DS5" s="3">
        <v>7</v>
      </c>
      <c r="DT5" s="5">
        <v>7</v>
      </c>
      <c r="DU5" s="12">
        <f t="shared" si="60"/>
        <v>1</v>
      </c>
      <c r="DV5" s="12">
        <f t="shared" si="61"/>
        <v>1.1377777777777773</v>
      </c>
      <c r="DW5" s="3">
        <v>8</v>
      </c>
      <c r="DX5" s="5">
        <v>8</v>
      </c>
      <c r="DY5" s="12">
        <f t="shared" si="62"/>
        <v>1</v>
      </c>
      <c r="DZ5" s="12">
        <f t="shared" si="63"/>
        <v>4.4444444444444132E-3</v>
      </c>
      <c r="EA5" s="3">
        <v>10</v>
      </c>
      <c r="EB5" s="5">
        <v>10</v>
      </c>
      <c r="EC5" s="12">
        <f t="shared" si="64"/>
        <v>1</v>
      </c>
      <c r="ED5" s="12">
        <f t="shared" si="65"/>
        <v>3.7377777777777785</v>
      </c>
      <c r="EE5" s="3">
        <v>10</v>
      </c>
      <c r="EF5" s="5">
        <v>8</v>
      </c>
      <c r="EG5" s="12">
        <f t="shared" si="66"/>
        <v>0.8</v>
      </c>
      <c r="EH5" s="12">
        <f t="shared" si="67"/>
        <v>4.4444444444444132E-3</v>
      </c>
      <c r="EI5" s="3">
        <v>8</v>
      </c>
      <c r="EJ5" s="3">
        <v>8</v>
      </c>
      <c r="EK5" s="12">
        <f t="shared" si="68"/>
        <v>1</v>
      </c>
      <c r="EL5" s="12">
        <f t="shared" si="69"/>
        <v>4.4444444444444132E-3</v>
      </c>
      <c r="EM5" s="3">
        <v>8</v>
      </c>
      <c r="EN5" s="3">
        <v>8</v>
      </c>
      <c r="EO5" s="12">
        <f t="shared" si="70"/>
        <v>1</v>
      </c>
      <c r="EP5" s="12">
        <f t="shared" si="71"/>
        <v>4.4444444444444132E-3</v>
      </c>
      <c r="EQ5" s="3">
        <v>10</v>
      </c>
      <c r="ER5" s="5">
        <v>10</v>
      </c>
      <c r="ES5" s="12">
        <f t="shared" si="72"/>
        <v>1</v>
      </c>
      <c r="ET5" s="12">
        <f t="shared" si="73"/>
        <v>3.7377777777777785</v>
      </c>
      <c r="EU5" s="3">
        <v>8</v>
      </c>
      <c r="EV5" s="5">
        <v>7</v>
      </c>
      <c r="EW5" s="12">
        <f t="shared" si="74"/>
        <v>0.875</v>
      </c>
      <c r="EX5" s="12">
        <f t="shared" si="75"/>
        <v>1.1377777777777773</v>
      </c>
      <c r="EY5" s="3">
        <v>9</v>
      </c>
      <c r="EZ5" s="5">
        <v>8</v>
      </c>
      <c r="FA5" s="12">
        <f t="shared" si="76"/>
        <v>0.88888888888888884</v>
      </c>
      <c r="FB5" s="12">
        <f t="shared" si="77"/>
        <v>4.4444444444444132E-3</v>
      </c>
      <c r="FC5" s="3">
        <v>9</v>
      </c>
      <c r="FD5" s="5">
        <v>9</v>
      </c>
      <c r="FE5" s="12">
        <f t="shared" si="78"/>
        <v>1</v>
      </c>
      <c r="FF5" s="12">
        <f t="shared" si="79"/>
        <v>0.8711111111111115</v>
      </c>
      <c r="FG5" s="3">
        <v>10</v>
      </c>
      <c r="FH5" s="5">
        <v>10</v>
      </c>
      <c r="FI5" s="12">
        <f t="shared" si="80"/>
        <v>1</v>
      </c>
      <c r="FJ5" s="12">
        <f t="shared" si="81"/>
        <v>3.7377777777777785</v>
      </c>
      <c r="FK5" s="3">
        <v>9</v>
      </c>
      <c r="FL5" s="5">
        <v>9</v>
      </c>
      <c r="FM5" s="12">
        <f t="shared" si="82"/>
        <v>1</v>
      </c>
      <c r="FN5" s="12">
        <f t="shared" si="83"/>
        <v>0.8711111111111115</v>
      </c>
      <c r="FO5" s="3">
        <v>9</v>
      </c>
      <c r="FP5" s="5">
        <v>8</v>
      </c>
      <c r="FQ5" s="12">
        <f t="shared" si="84"/>
        <v>0.88888888888888884</v>
      </c>
      <c r="FR5" s="12">
        <f t="shared" si="85"/>
        <v>4.4444444444444132E-3</v>
      </c>
      <c r="FS5" s="3">
        <v>10</v>
      </c>
      <c r="FT5" s="5">
        <v>8</v>
      </c>
      <c r="FU5" s="12">
        <f t="shared" si="86"/>
        <v>0.8</v>
      </c>
      <c r="FV5" s="12">
        <f t="shared" si="87"/>
        <v>4.4444444444444132E-3</v>
      </c>
      <c r="FW5" s="3">
        <v>8</v>
      </c>
      <c r="FX5" s="5">
        <v>7</v>
      </c>
      <c r="FY5" s="12">
        <f t="shared" si="88"/>
        <v>0.875</v>
      </c>
      <c r="FZ5" s="12">
        <f t="shared" si="89"/>
        <v>1.1377777777777773</v>
      </c>
      <c r="GA5" s="3"/>
      <c r="GB5" s="5"/>
      <c r="GC5" s="12"/>
      <c r="GD5" s="12"/>
      <c r="GE5" s="3"/>
      <c r="GF5" s="5"/>
      <c r="GG5" s="12"/>
      <c r="GH5" s="12"/>
      <c r="GI5" s="3"/>
      <c r="GJ5" s="5"/>
      <c r="GK5" s="12"/>
      <c r="GL5" s="12"/>
      <c r="GM5" s="3"/>
      <c r="GN5" s="5"/>
      <c r="GO5" s="12"/>
      <c r="GP5" s="12"/>
      <c r="GQ5" s="3"/>
      <c r="GR5" s="5"/>
      <c r="GS5" s="12"/>
      <c r="GT5" s="12"/>
      <c r="GU5" s="3"/>
      <c r="GV5" s="5"/>
      <c r="GW5" s="12"/>
      <c r="GX5" s="12"/>
      <c r="GY5" s="3"/>
      <c r="GZ5" s="5"/>
      <c r="HA5" s="12"/>
      <c r="HB5" s="12"/>
      <c r="HC5" s="4">
        <f t="shared" si="90"/>
        <v>45</v>
      </c>
      <c r="HD5" s="15">
        <f t="shared" si="91"/>
        <v>91.985008818342124</v>
      </c>
      <c r="HE5" s="15">
        <f t="shared" si="92"/>
        <v>8.0666666666666664</v>
      </c>
      <c r="HF5" s="15">
        <f t="shared" si="93"/>
        <v>1.236482466066094</v>
      </c>
      <c r="HG5" s="16">
        <f t="shared" si="94"/>
        <v>91.985008818342124</v>
      </c>
      <c r="HH5" s="17" t="s">
        <v>3</v>
      </c>
      <c r="HI5" s="24">
        <f t="shared" si="95"/>
        <v>1.236482466066094</v>
      </c>
      <c r="HJ5" s="4" t="str">
        <f t="shared" si="96"/>
        <v>отлично</v>
      </c>
      <c r="HK5" s="64"/>
      <c r="HL5" s="32"/>
      <c r="HM5" s="65"/>
      <c r="HN5" s="65"/>
      <c r="HO5" s="64"/>
      <c r="HP5" s="32"/>
      <c r="HQ5" s="65"/>
      <c r="HR5" s="65"/>
      <c r="HS5" s="64"/>
      <c r="HT5" s="32"/>
      <c r="HU5" s="65"/>
      <c r="HV5" s="65"/>
      <c r="HW5" s="64"/>
      <c r="HX5" s="32"/>
      <c r="HY5" s="65"/>
      <c r="HZ5" s="65"/>
      <c r="IA5" s="64"/>
      <c r="IB5" s="32"/>
      <c r="IC5" s="65"/>
      <c r="ID5" s="65"/>
      <c r="IE5" s="64"/>
      <c r="IF5" s="32"/>
      <c r="IG5" s="65"/>
      <c r="IH5" s="65"/>
      <c r="II5" s="64"/>
      <c r="IJ5" s="32"/>
      <c r="IK5" s="65"/>
      <c r="IL5" s="65"/>
      <c r="IM5" s="64"/>
      <c r="IN5" s="32"/>
      <c r="IO5" s="65"/>
      <c r="IP5" s="65"/>
      <c r="IQ5" s="64"/>
      <c r="IR5" s="32"/>
      <c r="IS5" s="65"/>
      <c r="IT5" s="65"/>
      <c r="IU5" s="64"/>
      <c r="IV5" s="32"/>
      <c r="IW5" s="65"/>
      <c r="IX5" s="65"/>
    </row>
    <row r="6" spans="1:258" ht="30.75" customHeight="1" thickBot="1" x14ac:dyDescent="0.3">
      <c r="A6" s="21">
        <v>4</v>
      </c>
      <c r="B6" s="31" t="s">
        <v>10</v>
      </c>
      <c r="C6" s="3">
        <v>10</v>
      </c>
      <c r="D6" s="5">
        <v>8</v>
      </c>
      <c r="E6" s="8">
        <f t="shared" si="0"/>
        <v>0.8</v>
      </c>
      <c r="F6" s="12">
        <f t="shared" si="1"/>
        <v>7.1111111111111083E-2</v>
      </c>
      <c r="G6" s="3">
        <v>9</v>
      </c>
      <c r="H6" s="3">
        <v>9</v>
      </c>
      <c r="I6" s="12">
        <f t="shared" si="2"/>
        <v>1</v>
      </c>
      <c r="J6" s="12">
        <f t="shared" si="3"/>
        <v>1.6044444444444443</v>
      </c>
      <c r="K6" s="3">
        <v>8</v>
      </c>
      <c r="L6" s="5">
        <v>8</v>
      </c>
      <c r="M6" s="12">
        <f t="shared" si="4"/>
        <v>1</v>
      </c>
      <c r="N6" s="12">
        <f t="shared" si="5"/>
        <v>7.1111111111111083E-2</v>
      </c>
      <c r="O6" s="3">
        <v>7</v>
      </c>
      <c r="P6" s="5">
        <v>6</v>
      </c>
      <c r="Q6" s="12">
        <f t="shared" si="6"/>
        <v>0.8571428571428571</v>
      </c>
      <c r="R6" s="12">
        <f t="shared" si="7"/>
        <v>3.0044444444444447</v>
      </c>
      <c r="S6" s="3">
        <v>6</v>
      </c>
      <c r="T6" s="3">
        <v>6</v>
      </c>
      <c r="U6" s="12">
        <f t="shared" si="8"/>
        <v>1</v>
      </c>
      <c r="V6" s="12">
        <f t="shared" si="9"/>
        <v>3.0044444444444447</v>
      </c>
      <c r="W6" s="3">
        <v>7</v>
      </c>
      <c r="X6" s="5">
        <v>9</v>
      </c>
      <c r="Y6" s="12">
        <f t="shared" si="10"/>
        <v>1.2857142857142858</v>
      </c>
      <c r="Z6" s="12">
        <f t="shared" si="11"/>
        <v>1.6044444444444443</v>
      </c>
      <c r="AA6" s="3">
        <v>3</v>
      </c>
      <c r="AB6" s="5">
        <v>3</v>
      </c>
      <c r="AC6" s="12">
        <f t="shared" si="12"/>
        <v>1</v>
      </c>
      <c r="AD6" s="12">
        <f t="shared" si="13"/>
        <v>22.404444444444444</v>
      </c>
      <c r="AE6" s="3">
        <v>8</v>
      </c>
      <c r="AF6" s="5">
        <v>8</v>
      </c>
      <c r="AG6" s="12">
        <f t="shared" si="14"/>
        <v>1</v>
      </c>
      <c r="AH6" s="12">
        <f t="shared" si="15"/>
        <v>7.1111111111111083E-2</v>
      </c>
      <c r="AI6" s="3">
        <v>8</v>
      </c>
      <c r="AJ6" s="3">
        <v>8</v>
      </c>
      <c r="AK6" s="12">
        <f t="shared" si="16"/>
        <v>1</v>
      </c>
      <c r="AL6" s="12">
        <f t="shared" si="17"/>
        <v>7.1111111111111083E-2</v>
      </c>
      <c r="AM6" s="3">
        <v>10</v>
      </c>
      <c r="AN6" s="5">
        <v>8</v>
      </c>
      <c r="AO6" s="12">
        <f t="shared" si="18"/>
        <v>0.8</v>
      </c>
      <c r="AP6" s="12">
        <f t="shared" si="19"/>
        <v>7.1111111111111083E-2</v>
      </c>
      <c r="AQ6" s="3">
        <v>9</v>
      </c>
      <c r="AR6" s="3">
        <v>9</v>
      </c>
      <c r="AS6" s="12">
        <f t="shared" si="20"/>
        <v>1</v>
      </c>
      <c r="AT6" s="12">
        <f t="shared" si="21"/>
        <v>1.6044444444444443</v>
      </c>
      <c r="AU6" s="3">
        <v>9</v>
      </c>
      <c r="AV6" s="5">
        <v>8</v>
      </c>
      <c r="AW6" s="12">
        <f t="shared" si="22"/>
        <v>0.88888888888888884</v>
      </c>
      <c r="AX6" s="12">
        <f t="shared" si="23"/>
        <v>7.1111111111111083E-2</v>
      </c>
      <c r="AY6" s="3">
        <v>8</v>
      </c>
      <c r="AZ6" s="5">
        <v>8</v>
      </c>
      <c r="BA6" s="12">
        <f t="shared" si="24"/>
        <v>1</v>
      </c>
      <c r="BB6" s="12">
        <f t="shared" si="25"/>
        <v>7.1111111111111083E-2</v>
      </c>
      <c r="BC6" s="3">
        <v>10</v>
      </c>
      <c r="BD6" s="5">
        <v>8</v>
      </c>
      <c r="BE6" s="12">
        <f t="shared" si="26"/>
        <v>0.8</v>
      </c>
      <c r="BF6" s="12">
        <f t="shared" si="27"/>
        <v>7.1111111111111083E-2</v>
      </c>
      <c r="BG6" s="3">
        <v>9</v>
      </c>
      <c r="BH6" s="5">
        <v>9</v>
      </c>
      <c r="BI6" s="12">
        <f t="shared" si="28"/>
        <v>1</v>
      </c>
      <c r="BJ6" s="12">
        <f t="shared" si="29"/>
        <v>1.6044444444444443</v>
      </c>
      <c r="BK6" s="3">
        <v>8</v>
      </c>
      <c r="BL6" s="3">
        <v>8</v>
      </c>
      <c r="BM6" s="12">
        <f t="shared" si="30"/>
        <v>1</v>
      </c>
      <c r="BN6" s="12">
        <f t="shared" si="31"/>
        <v>7.1111111111111083E-2</v>
      </c>
      <c r="BO6" s="3">
        <v>9</v>
      </c>
      <c r="BP6" s="3">
        <v>9</v>
      </c>
      <c r="BQ6" s="12">
        <f t="shared" si="32"/>
        <v>1</v>
      </c>
      <c r="BR6" s="12">
        <f t="shared" si="33"/>
        <v>1.6044444444444443</v>
      </c>
      <c r="BS6" s="3">
        <v>9</v>
      </c>
      <c r="BT6" s="3">
        <v>9</v>
      </c>
      <c r="BU6" s="12">
        <f t="shared" si="34"/>
        <v>1</v>
      </c>
      <c r="BV6" s="12">
        <f t="shared" si="35"/>
        <v>1.6044444444444443</v>
      </c>
      <c r="BW6" s="3">
        <v>9</v>
      </c>
      <c r="BX6" s="5">
        <v>9</v>
      </c>
      <c r="BY6" s="12">
        <f t="shared" si="36"/>
        <v>1</v>
      </c>
      <c r="BZ6" s="12">
        <f t="shared" si="37"/>
        <v>1.6044444444444443</v>
      </c>
      <c r="CA6" s="3">
        <v>4</v>
      </c>
      <c r="CB6" s="3">
        <v>4</v>
      </c>
      <c r="CC6" s="12">
        <f t="shared" si="38"/>
        <v>1</v>
      </c>
      <c r="CD6" s="12">
        <f t="shared" si="39"/>
        <v>13.937777777777779</v>
      </c>
      <c r="CE6" s="3">
        <v>4</v>
      </c>
      <c r="CF6" s="3">
        <v>4</v>
      </c>
      <c r="CG6" s="12">
        <f t="shared" si="40"/>
        <v>1</v>
      </c>
      <c r="CH6" s="12">
        <f t="shared" si="41"/>
        <v>13.937777777777779</v>
      </c>
      <c r="CI6" s="3">
        <v>10</v>
      </c>
      <c r="CJ6" s="5">
        <v>10</v>
      </c>
      <c r="CK6" s="12">
        <f t="shared" si="42"/>
        <v>1</v>
      </c>
      <c r="CL6" s="12">
        <f t="shared" si="43"/>
        <v>5.1377777777777771</v>
      </c>
      <c r="CM6" s="3">
        <v>8</v>
      </c>
      <c r="CN6" s="3">
        <v>8</v>
      </c>
      <c r="CO6" s="12">
        <f t="shared" si="44"/>
        <v>1</v>
      </c>
      <c r="CP6" s="12">
        <f t="shared" si="45"/>
        <v>7.1111111111111083E-2</v>
      </c>
      <c r="CQ6" s="3">
        <v>6</v>
      </c>
      <c r="CR6" s="5">
        <v>6</v>
      </c>
      <c r="CS6" s="12">
        <f t="shared" si="46"/>
        <v>1</v>
      </c>
      <c r="CT6" s="12">
        <f t="shared" si="47"/>
        <v>3.0044444444444447</v>
      </c>
      <c r="CU6" s="3">
        <v>7</v>
      </c>
      <c r="CV6" s="5">
        <v>4</v>
      </c>
      <c r="CW6" s="12">
        <f t="shared" si="48"/>
        <v>0.5714285714285714</v>
      </c>
      <c r="CX6" s="12">
        <f t="shared" si="49"/>
        <v>13.937777777777779</v>
      </c>
      <c r="CY6" s="3">
        <v>6</v>
      </c>
      <c r="CZ6" s="5">
        <v>6</v>
      </c>
      <c r="DA6" s="12">
        <f t="shared" si="50"/>
        <v>1</v>
      </c>
      <c r="DB6" s="12">
        <f t="shared" si="51"/>
        <v>3.0044444444444447</v>
      </c>
      <c r="DC6" s="3">
        <v>10</v>
      </c>
      <c r="DD6" s="5">
        <v>9</v>
      </c>
      <c r="DE6" s="12">
        <f t="shared" si="52"/>
        <v>0.9</v>
      </c>
      <c r="DF6" s="12">
        <f t="shared" si="53"/>
        <v>1.6044444444444443</v>
      </c>
      <c r="DG6" s="3">
        <v>9</v>
      </c>
      <c r="DH6" s="5">
        <v>7</v>
      </c>
      <c r="DI6" s="12">
        <f t="shared" si="54"/>
        <v>0.77777777777777779</v>
      </c>
      <c r="DJ6" s="12">
        <f t="shared" si="55"/>
        <v>0.53777777777777791</v>
      </c>
      <c r="DK6" s="3">
        <v>10</v>
      </c>
      <c r="DL6" s="5">
        <v>10</v>
      </c>
      <c r="DM6" s="12">
        <f t="shared" si="56"/>
        <v>1</v>
      </c>
      <c r="DN6" s="12">
        <f t="shared" si="57"/>
        <v>5.1377777777777771</v>
      </c>
      <c r="DO6" s="3">
        <v>10</v>
      </c>
      <c r="DP6" s="5">
        <v>5</v>
      </c>
      <c r="DQ6" s="12">
        <f t="shared" si="58"/>
        <v>0.5</v>
      </c>
      <c r="DR6" s="12">
        <f t="shared" si="59"/>
        <v>7.471111111111111</v>
      </c>
      <c r="DS6" s="3">
        <v>8</v>
      </c>
      <c r="DT6" s="5">
        <v>6</v>
      </c>
      <c r="DU6" s="12">
        <f t="shared" si="60"/>
        <v>0.75</v>
      </c>
      <c r="DV6" s="12">
        <f t="shared" si="61"/>
        <v>3.0044444444444447</v>
      </c>
      <c r="DW6" s="3">
        <v>9</v>
      </c>
      <c r="DX6" s="5">
        <v>8</v>
      </c>
      <c r="DY6" s="12">
        <f t="shared" si="62"/>
        <v>0.88888888888888884</v>
      </c>
      <c r="DZ6" s="12">
        <f t="shared" si="63"/>
        <v>7.1111111111111083E-2</v>
      </c>
      <c r="EA6" s="3">
        <v>9</v>
      </c>
      <c r="EB6" s="5">
        <v>9</v>
      </c>
      <c r="EC6" s="12">
        <f t="shared" si="64"/>
        <v>1</v>
      </c>
      <c r="ED6" s="12">
        <f t="shared" si="65"/>
        <v>1.6044444444444443</v>
      </c>
      <c r="EE6" s="3">
        <v>9</v>
      </c>
      <c r="EF6" s="5">
        <v>7</v>
      </c>
      <c r="EG6" s="12">
        <f t="shared" si="66"/>
        <v>0.77777777777777779</v>
      </c>
      <c r="EH6" s="12">
        <f t="shared" si="67"/>
        <v>0.53777777777777791</v>
      </c>
      <c r="EI6" s="3">
        <v>9</v>
      </c>
      <c r="EJ6" s="3">
        <v>9</v>
      </c>
      <c r="EK6" s="12">
        <f t="shared" si="68"/>
        <v>1</v>
      </c>
      <c r="EL6" s="12">
        <f t="shared" si="69"/>
        <v>1.6044444444444443</v>
      </c>
      <c r="EM6" s="3">
        <v>9</v>
      </c>
      <c r="EN6" s="3">
        <v>9</v>
      </c>
      <c r="EO6" s="12">
        <f t="shared" si="70"/>
        <v>1</v>
      </c>
      <c r="EP6" s="12">
        <f t="shared" si="71"/>
        <v>1.6044444444444443</v>
      </c>
      <c r="EQ6" s="3">
        <v>10</v>
      </c>
      <c r="ER6" s="5">
        <v>9</v>
      </c>
      <c r="ES6" s="12">
        <f t="shared" si="72"/>
        <v>0.9</v>
      </c>
      <c r="ET6" s="12">
        <f t="shared" si="73"/>
        <v>1.6044444444444443</v>
      </c>
      <c r="EU6" s="3">
        <v>10</v>
      </c>
      <c r="EV6" s="5">
        <v>10</v>
      </c>
      <c r="EW6" s="12">
        <f t="shared" si="74"/>
        <v>1</v>
      </c>
      <c r="EX6" s="12">
        <f t="shared" si="75"/>
        <v>5.1377777777777771</v>
      </c>
      <c r="EY6" s="3">
        <v>8</v>
      </c>
      <c r="EZ6" s="5">
        <v>8</v>
      </c>
      <c r="FA6" s="12">
        <f t="shared" si="76"/>
        <v>1</v>
      </c>
      <c r="FB6" s="12">
        <f t="shared" si="77"/>
        <v>7.1111111111111083E-2</v>
      </c>
      <c r="FC6" s="3">
        <v>9</v>
      </c>
      <c r="FD6" s="5">
        <v>9</v>
      </c>
      <c r="FE6" s="12">
        <f t="shared" si="78"/>
        <v>1</v>
      </c>
      <c r="FF6" s="12">
        <f t="shared" si="79"/>
        <v>1.6044444444444443</v>
      </c>
      <c r="FG6" s="3">
        <v>9</v>
      </c>
      <c r="FH6" s="5">
        <v>8</v>
      </c>
      <c r="FI6" s="12">
        <f t="shared" si="80"/>
        <v>0.88888888888888884</v>
      </c>
      <c r="FJ6" s="12">
        <f t="shared" si="81"/>
        <v>7.1111111111111083E-2</v>
      </c>
      <c r="FK6" s="3">
        <v>9</v>
      </c>
      <c r="FL6" s="5">
        <v>9</v>
      </c>
      <c r="FM6" s="12">
        <f t="shared" si="82"/>
        <v>1</v>
      </c>
      <c r="FN6" s="12">
        <f t="shared" si="83"/>
        <v>1.6044444444444443</v>
      </c>
      <c r="FO6" s="3">
        <v>8</v>
      </c>
      <c r="FP6" s="5">
        <v>7</v>
      </c>
      <c r="FQ6" s="12">
        <f t="shared" si="84"/>
        <v>0.875</v>
      </c>
      <c r="FR6" s="12">
        <f t="shared" si="85"/>
        <v>0.53777777777777791</v>
      </c>
      <c r="FS6" s="3">
        <v>10</v>
      </c>
      <c r="FT6" s="5">
        <v>9</v>
      </c>
      <c r="FU6" s="12">
        <f t="shared" si="86"/>
        <v>0.9</v>
      </c>
      <c r="FV6" s="12">
        <f t="shared" si="87"/>
        <v>1.6044444444444443</v>
      </c>
      <c r="FW6" s="3">
        <v>8</v>
      </c>
      <c r="FX6" s="5">
        <v>8</v>
      </c>
      <c r="FY6" s="12">
        <f t="shared" si="88"/>
        <v>1</v>
      </c>
      <c r="FZ6" s="12">
        <f t="shared" si="89"/>
        <v>7.1111111111111083E-2</v>
      </c>
      <c r="GA6" s="3"/>
      <c r="GB6" s="5"/>
      <c r="GC6" s="12"/>
      <c r="GD6" s="12"/>
      <c r="GE6" s="3"/>
      <c r="GF6" s="5"/>
      <c r="GG6" s="12"/>
      <c r="GH6" s="12"/>
      <c r="GI6" s="3"/>
      <c r="GJ6" s="5"/>
      <c r="GK6" s="12"/>
      <c r="GL6" s="12"/>
      <c r="GM6" s="3"/>
      <c r="GN6" s="5"/>
      <c r="GO6" s="12"/>
      <c r="GP6" s="12"/>
      <c r="GQ6" s="3"/>
      <c r="GR6" s="5"/>
      <c r="GS6" s="12"/>
      <c r="GT6" s="12"/>
      <c r="GU6" s="3"/>
      <c r="GV6" s="5"/>
      <c r="GW6" s="12"/>
      <c r="GX6" s="12"/>
      <c r="GY6" s="3"/>
      <c r="GZ6" s="5"/>
      <c r="HA6" s="12"/>
      <c r="HB6" s="12"/>
      <c r="HC6" s="4">
        <f t="shared" si="90"/>
        <v>45</v>
      </c>
      <c r="HD6" s="15">
        <f t="shared" si="91"/>
        <v>93.692239858906518</v>
      </c>
      <c r="HE6" s="15">
        <f t="shared" si="92"/>
        <v>7.7333333333333334</v>
      </c>
      <c r="HF6" s="15">
        <f t="shared" si="93"/>
        <v>1.6918103387266024</v>
      </c>
      <c r="HG6" s="16">
        <f t="shared" si="94"/>
        <v>93.692239858906518</v>
      </c>
      <c r="HH6" s="17" t="s">
        <v>3</v>
      </c>
      <c r="HI6" s="24">
        <f t="shared" si="95"/>
        <v>1.6918103387266024</v>
      </c>
      <c r="HJ6" s="4" t="str">
        <f t="shared" si="96"/>
        <v>отлично</v>
      </c>
      <c r="HK6" s="64"/>
      <c r="HL6" s="32"/>
      <c r="HM6" s="65"/>
      <c r="HN6" s="65"/>
      <c r="HO6" s="64"/>
      <c r="HP6" s="32"/>
      <c r="HQ6" s="65"/>
      <c r="HR6" s="65"/>
      <c r="HS6" s="64"/>
      <c r="HT6" s="32"/>
      <c r="HU6" s="65"/>
      <c r="HV6" s="65"/>
      <c r="HW6" s="64"/>
      <c r="HX6" s="32"/>
      <c r="HY6" s="65"/>
      <c r="HZ6" s="65"/>
      <c r="IA6" s="64"/>
      <c r="IB6" s="32"/>
      <c r="IC6" s="65"/>
      <c r="ID6" s="65"/>
      <c r="IE6" s="64"/>
      <c r="IF6" s="32"/>
      <c r="IG6" s="65"/>
      <c r="IH6" s="65"/>
      <c r="II6" s="64"/>
      <c r="IJ6" s="32"/>
      <c r="IK6" s="65"/>
      <c r="IL6" s="65"/>
      <c r="IM6" s="64"/>
      <c r="IN6" s="32"/>
      <c r="IO6" s="65"/>
      <c r="IP6" s="65"/>
      <c r="IQ6" s="64"/>
      <c r="IR6" s="32"/>
      <c r="IS6" s="65"/>
      <c r="IT6" s="65"/>
      <c r="IU6" s="64"/>
      <c r="IV6" s="32"/>
      <c r="IW6" s="65"/>
      <c r="IX6" s="65"/>
    </row>
    <row r="7" spans="1:258" ht="54" customHeight="1" thickBot="1" x14ac:dyDescent="0.3">
      <c r="A7" s="21">
        <v>5</v>
      </c>
      <c r="B7" s="31" t="s">
        <v>11</v>
      </c>
      <c r="C7" s="3">
        <v>10</v>
      </c>
      <c r="D7" s="5">
        <v>9</v>
      </c>
      <c r="E7" s="8">
        <f t="shared" si="0"/>
        <v>0.9</v>
      </c>
      <c r="F7" s="12">
        <f t="shared" si="1"/>
        <v>1.7190123456790118</v>
      </c>
      <c r="G7" s="3">
        <v>9</v>
      </c>
      <c r="H7" s="3">
        <v>9</v>
      </c>
      <c r="I7" s="12">
        <f t="shared" si="2"/>
        <v>1</v>
      </c>
      <c r="J7" s="12">
        <f t="shared" si="3"/>
        <v>1.7190123456790118</v>
      </c>
      <c r="K7" s="3">
        <v>8</v>
      </c>
      <c r="L7" s="5">
        <v>8</v>
      </c>
      <c r="M7" s="12">
        <f t="shared" si="4"/>
        <v>1</v>
      </c>
      <c r="N7" s="12">
        <f t="shared" si="5"/>
        <v>9.6790123456789987E-2</v>
      </c>
      <c r="O7" s="3">
        <v>6</v>
      </c>
      <c r="P7" s="5">
        <v>5</v>
      </c>
      <c r="Q7" s="12">
        <f t="shared" si="6"/>
        <v>0.83333333333333337</v>
      </c>
      <c r="R7" s="12">
        <f t="shared" si="7"/>
        <v>7.2301234567901247</v>
      </c>
      <c r="S7" s="3">
        <v>7</v>
      </c>
      <c r="T7" s="3">
        <v>7</v>
      </c>
      <c r="U7" s="12">
        <f t="shared" si="8"/>
        <v>1</v>
      </c>
      <c r="V7" s="12">
        <f t="shared" si="9"/>
        <v>0.47456790123456821</v>
      </c>
      <c r="W7" s="3">
        <v>9</v>
      </c>
      <c r="X7" s="5">
        <v>8</v>
      </c>
      <c r="Y7" s="12">
        <f t="shared" si="10"/>
        <v>0.88888888888888884</v>
      </c>
      <c r="Z7" s="12">
        <f t="shared" si="11"/>
        <v>9.6790123456789987E-2</v>
      </c>
      <c r="AA7" s="3">
        <v>3</v>
      </c>
      <c r="AB7" s="5">
        <v>3</v>
      </c>
      <c r="AC7" s="12">
        <f t="shared" si="12"/>
        <v>1</v>
      </c>
      <c r="AD7" s="12">
        <f t="shared" si="13"/>
        <v>21.985679012345681</v>
      </c>
      <c r="AE7" s="3">
        <v>9</v>
      </c>
      <c r="AF7" s="5">
        <v>9</v>
      </c>
      <c r="AG7" s="12">
        <f t="shared" si="14"/>
        <v>1</v>
      </c>
      <c r="AH7" s="12">
        <f t="shared" si="15"/>
        <v>1.7190123456790118</v>
      </c>
      <c r="AI7" s="3">
        <v>8</v>
      </c>
      <c r="AJ7" s="3">
        <v>8</v>
      </c>
      <c r="AK7" s="12">
        <f t="shared" si="16"/>
        <v>1</v>
      </c>
      <c r="AL7" s="12">
        <f t="shared" si="17"/>
        <v>9.6790123456789987E-2</v>
      </c>
      <c r="AM7" s="3">
        <v>10</v>
      </c>
      <c r="AN7" s="5">
        <v>7</v>
      </c>
      <c r="AO7" s="12">
        <f t="shared" si="18"/>
        <v>0.7</v>
      </c>
      <c r="AP7" s="12">
        <f t="shared" si="19"/>
        <v>0.47456790123456821</v>
      </c>
      <c r="AQ7" s="3">
        <v>8</v>
      </c>
      <c r="AR7" s="3">
        <v>8</v>
      </c>
      <c r="AS7" s="12">
        <f t="shared" si="20"/>
        <v>1</v>
      </c>
      <c r="AT7" s="12">
        <f t="shared" si="21"/>
        <v>9.6790123456789987E-2</v>
      </c>
      <c r="AU7" s="3">
        <v>9</v>
      </c>
      <c r="AV7" s="5">
        <v>8</v>
      </c>
      <c r="AW7" s="12">
        <f t="shared" si="22"/>
        <v>0.88888888888888884</v>
      </c>
      <c r="AX7" s="12">
        <f t="shared" si="23"/>
        <v>9.6790123456789987E-2</v>
      </c>
      <c r="AY7" s="3">
        <v>10</v>
      </c>
      <c r="AZ7" s="5">
        <v>9</v>
      </c>
      <c r="BA7" s="12">
        <f t="shared" si="24"/>
        <v>0.9</v>
      </c>
      <c r="BB7" s="12">
        <f t="shared" si="25"/>
        <v>1.7190123456790118</v>
      </c>
      <c r="BC7" s="3">
        <v>10</v>
      </c>
      <c r="BD7" s="5">
        <v>9</v>
      </c>
      <c r="BE7" s="12">
        <f t="shared" si="26"/>
        <v>0.9</v>
      </c>
      <c r="BF7" s="12">
        <f t="shared" si="27"/>
        <v>1.7190123456790118</v>
      </c>
      <c r="BG7" s="3">
        <v>7</v>
      </c>
      <c r="BH7" s="5">
        <v>6</v>
      </c>
      <c r="BI7" s="12">
        <f t="shared" si="28"/>
        <v>0.8571428571428571</v>
      </c>
      <c r="BJ7" s="12">
        <f t="shared" si="29"/>
        <v>2.8523456790123465</v>
      </c>
      <c r="BK7" s="3">
        <v>9</v>
      </c>
      <c r="BL7" s="3">
        <v>9</v>
      </c>
      <c r="BM7" s="12">
        <f t="shared" si="30"/>
        <v>1</v>
      </c>
      <c r="BN7" s="12">
        <f t="shared" si="31"/>
        <v>1.7190123456790118</v>
      </c>
      <c r="BO7" s="3">
        <v>8</v>
      </c>
      <c r="BP7" s="3">
        <v>8</v>
      </c>
      <c r="BQ7" s="12">
        <f t="shared" si="32"/>
        <v>1</v>
      </c>
      <c r="BR7" s="12">
        <f t="shared" si="33"/>
        <v>9.6790123456789987E-2</v>
      </c>
      <c r="BS7" s="3">
        <v>9</v>
      </c>
      <c r="BT7" s="3">
        <v>9</v>
      </c>
      <c r="BU7" s="12">
        <f t="shared" si="34"/>
        <v>1</v>
      </c>
      <c r="BV7" s="12">
        <f t="shared" si="35"/>
        <v>1.7190123456790118</v>
      </c>
      <c r="BW7" s="3">
        <v>9</v>
      </c>
      <c r="BX7" s="5">
        <v>9</v>
      </c>
      <c r="BY7" s="12">
        <f t="shared" si="36"/>
        <v>1</v>
      </c>
      <c r="BZ7" s="12">
        <f t="shared" si="37"/>
        <v>1.7190123456790118</v>
      </c>
      <c r="CA7" s="3">
        <v>10</v>
      </c>
      <c r="CB7" s="3">
        <v>10</v>
      </c>
      <c r="CC7" s="12">
        <f t="shared" si="38"/>
        <v>1</v>
      </c>
      <c r="CD7" s="12">
        <f t="shared" si="39"/>
        <v>5.3412345679012336</v>
      </c>
      <c r="CE7" s="3">
        <v>9</v>
      </c>
      <c r="CF7" s="3">
        <v>9</v>
      </c>
      <c r="CG7" s="12">
        <f t="shared" si="40"/>
        <v>1</v>
      </c>
      <c r="CH7" s="12">
        <f t="shared" si="41"/>
        <v>1.7190123456790118</v>
      </c>
      <c r="CI7" s="3">
        <v>8</v>
      </c>
      <c r="CJ7" s="5">
        <v>6</v>
      </c>
      <c r="CK7" s="12">
        <f t="shared" si="42"/>
        <v>0.75</v>
      </c>
      <c r="CL7" s="12">
        <f t="shared" si="43"/>
        <v>2.8523456790123465</v>
      </c>
      <c r="CM7" s="3">
        <v>8</v>
      </c>
      <c r="CN7" s="3">
        <v>8</v>
      </c>
      <c r="CO7" s="12">
        <f t="shared" si="44"/>
        <v>1</v>
      </c>
      <c r="CP7" s="12">
        <f t="shared" si="45"/>
        <v>9.6790123456789987E-2</v>
      </c>
      <c r="CQ7" s="3">
        <v>7</v>
      </c>
      <c r="CR7" s="5">
        <v>6</v>
      </c>
      <c r="CS7" s="12">
        <f t="shared" si="46"/>
        <v>0.8571428571428571</v>
      </c>
      <c r="CT7" s="12">
        <f t="shared" si="47"/>
        <v>2.8523456790123465</v>
      </c>
      <c r="CU7" s="3">
        <v>7</v>
      </c>
      <c r="CV7" s="5">
        <v>7</v>
      </c>
      <c r="CW7" s="12">
        <f t="shared" si="48"/>
        <v>1</v>
      </c>
      <c r="CX7" s="12">
        <f t="shared" si="49"/>
        <v>0.47456790123456821</v>
      </c>
      <c r="CY7" s="3">
        <v>6</v>
      </c>
      <c r="CZ7" s="5">
        <v>6</v>
      </c>
      <c r="DA7" s="12">
        <f t="shared" si="50"/>
        <v>1</v>
      </c>
      <c r="DB7" s="12">
        <f t="shared" si="51"/>
        <v>2.8523456790123465</v>
      </c>
      <c r="DC7" s="3">
        <v>10</v>
      </c>
      <c r="DD7" s="5">
        <v>9</v>
      </c>
      <c r="DE7" s="12">
        <f t="shared" si="52"/>
        <v>0.9</v>
      </c>
      <c r="DF7" s="12">
        <f t="shared" si="53"/>
        <v>1.7190123456790118</v>
      </c>
      <c r="DG7" s="3">
        <v>10</v>
      </c>
      <c r="DH7" s="5">
        <v>9</v>
      </c>
      <c r="DI7" s="12">
        <f t="shared" si="54"/>
        <v>0.9</v>
      </c>
      <c r="DJ7" s="12">
        <f t="shared" si="55"/>
        <v>1.7190123456790118</v>
      </c>
      <c r="DK7" s="3">
        <v>10</v>
      </c>
      <c r="DL7" s="5">
        <v>8</v>
      </c>
      <c r="DM7" s="12">
        <f t="shared" si="56"/>
        <v>0.8</v>
      </c>
      <c r="DN7" s="12">
        <f t="shared" si="57"/>
        <v>9.6790123456789987E-2</v>
      </c>
      <c r="DO7" s="3">
        <v>10</v>
      </c>
      <c r="DP7" s="5">
        <v>5</v>
      </c>
      <c r="DQ7" s="12">
        <f t="shared" si="58"/>
        <v>0.5</v>
      </c>
      <c r="DR7" s="12">
        <f t="shared" si="59"/>
        <v>7.2301234567901247</v>
      </c>
      <c r="DS7" s="3">
        <v>6</v>
      </c>
      <c r="DT7" s="5">
        <v>6</v>
      </c>
      <c r="DU7" s="12">
        <f t="shared" si="60"/>
        <v>1</v>
      </c>
      <c r="DV7" s="12">
        <f t="shared" si="61"/>
        <v>2.8523456790123465</v>
      </c>
      <c r="DW7" s="3">
        <v>10</v>
      </c>
      <c r="DX7" s="5">
        <v>9</v>
      </c>
      <c r="DY7" s="12">
        <f t="shared" si="62"/>
        <v>0.9</v>
      </c>
      <c r="DZ7" s="12">
        <f t="shared" si="63"/>
        <v>1.7190123456790118</v>
      </c>
      <c r="EA7" s="3">
        <v>10</v>
      </c>
      <c r="EB7" s="5">
        <v>10</v>
      </c>
      <c r="EC7" s="12">
        <f t="shared" si="64"/>
        <v>1</v>
      </c>
      <c r="ED7" s="12">
        <f t="shared" si="65"/>
        <v>5.3412345679012336</v>
      </c>
      <c r="EE7" s="3">
        <v>9</v>
      </c>
      <c r="EF7" s="5">
        <v>7</v>
      </c>
      <c r="EG7" s="12">
        <f t="shared" si="66"/>
        <v>0.77777777777777779</v>
      </c>
      <c r="EH7" s="12">
        <f t="shared" si="67"/>
        <v>0.47456790123456821</v>
      </c>
      <c r="EI7" s="3">
        <v>9</v>
      </c>
      <c r="EJ7" s="3">
        <v>9</v>
      </c>
      <c r="EK7" s="12">
        <f t="shared" si="68"/>
        <v>1</v>
      </c>
      <c r="EL7" s="12">
        <f t="shared" si="69"/>
        <v>1.7190123456790118</v>
      </c>
      <c r="EM7" s="3">
        <v>9</v>
      </c>
      <c r="EN7" s="3">
        <v>9</v>
      </c>
      <c r="EO7" s="12">
        <f t="shared" si="70"/>
        <v>1</v>
      </c>
      <c r="EP7" s="12">
        <f t="shared" si="71"/>
        <v>1.7190123456790118</v>
      </c>
      <c r="EQ7" s="3">
        <v>10</v>
      </c>
      <c r="ER7" s="5">
        <v>9</v>
      </c>
      <c r="ES7" s="12">
        <f t="shared" si="72"/>
        <v>0.9</v>
      </c>
      <c r="ET7" s="12">
        <f t="shared" si="73"/>
        <v>1.7190123456790118</v>
      </c>
      <c r="EU7" s="3">
        <v>8</v>
      </c>
      <c r="EV7" s="5">
        <v>7</v>
      </c>
      <c r="EW7" s="12">
        <f t="shared" si="74"/>
        <v>0.875</v>
      </c>
      <c r="EX7" s="12">
        <f t="shared" si="75"/>
        <v>0.47456790123456821</v>
      </c>
      <c r="EY7" s="3">
        <v>8</v>
      </c>
      <c r="EZ7" s="5">
        <v>8</v>
      </c>
      <c r="FA7" s="12">
        <f t="shared" si="76"/>
        <v>1</v>
      </c>
      <c r="FB7" s="12">
        <f t="shared" si="77"/>
        <v>9.6790123456789987E-2</v>
      </c>
      <c r="FC7" s="3">
        <v>8</v>
      </c>
      <c r="FD7" s="5">
        <v>7</v>
      </c>
      <c r="FE7" s="12">
        <f t="shared" si="78"/>
        <v>0.875</v>
      </c>
      <c r="FF7" s="12">
        <f t="shared" si="79"/>
        <v>0.47456790123456821</v>
      </c>
      <c r="FG7" s="3">
        <v>9</v>
      </c>
      <c r="FH7" s="5">
        <v>8</v>
      </c>
      <c r="FI7" s="12">
        <f t="shared" si="80"/>
        <v>0.88888888888888884</v>
      </c>
      <c r="FJ7" s="12">
        <f t="shared" si="81"/>
        <v>9.6790123456789987E-2</v>
      </c>
      <c r="FK7" s="3">
        <v>9</v>
      </c>
      <c r="FL7" s="5">
        <v>8</v>
      </c>
      <c r="FM7" s="12">
        <f t="shared" si="82"/>
        <v>0.88888888888888884</v>
      </c>
      <c r="FN7" s="12">
        <f t="shared" si="83"/>
        <v>9.6790123456789987E-2</v>
      </c>
      <c r="FO7" s="3">
        <v>7</v>
      </c>
      <c r="FP7" s="5">
        <v>5</v>
      </c>
      <c r="FQ7" s="12">
        <f t="shared" si="84"/>
        <v>0.7142857142857143</v>
      </c>
      <c r="FR7" s="12">
        <f t="shared" si="85"/>
        <v>7.2301234567901247</v>
      </c>
      <c r="FS7" s="3">
        <v>8</v>
      </c>
      <c r="FT7" s="5">
        <v>7</v>
      </c>
      <c r="FU7" s="12">
        <f t="shared" si="86"/>
        <v>0.875</v>
      </c>
      <c r="FV7" s="12">
        <f t="shared" si="87"/>
        <v>0.47456790123456821</v>
      </c>
      <c r="FW7" s="3">
        <v>7</v>
      </c>
      <c r="FX7" s="5">
        <v>6</v>
      </c>
      <c r="FY7" s="12">
        <f t="shared" si="88"/>
        <v>0.8571428571428571</v>
      </c>
      <c r="FZ7" s="12">
        <f t="shared" si="89"/>
        <v>2.8523456790123465</v>
      </c>
      <c r="GA7" s="3"/>
      <c r="GB7" s="5"/>
      <c r="GC7" s="12"/>
      <c r="GD7" s="12"/>
      <c r="GE7" s="3"/>
      <c r="GF7" s="5"/>
      <c r="GG7" s="12"/>
      <c r="GH7" s="12"/>
      <c r="GI7" s="3"/>
      <c r="GJ7" s="5"/>
      <c r="GK7" s="12"/>
      <c r="GL7" s="12"/>
      <c r="GM7" s="3"/>
      <c r="GN7" s="5"/>
      <c r="GO7" s="12"/>
      <c r="GP7" s="12"/>
      <c r="GQ7" s="3"/>
      <c r="GR7" s="5"/>
      <c r="GS7" s="12"/>
      <c r="GT7" s="12"/>
      <c r="GU7" s="3"/>
      <c r="GV7" s="5"/>
      <c r="GW7" s="12"/>
      <c r="GX7" s="12"/>
      <c r="GY7" s="3"/>
      <c r="GZ7" s="5"/>
      <c r="HA7" s="12"/>
      <c r="HB7" s="12"/>
      <c r="HC7" s="4">
        <f t="shared" si="90"/>
        <v>45</v>
      </c>
      <c r="HD7" s="15">
        <f t="shared" si="91"/>
        <v>91.394179894179857</v>
      </c>
      <c r="HE7" s="15">
        <f t="shared" si="92"/>
        <v>7.6888888888888891</v>
      </c>
      <c r="HF7" s="15">
        <f t="shared" si="93"/>
        <v>1.5029189705698589</v>
      </c>
      <c r="HG7" s="16">
        <f t="shared" si="94"/>
        <v>91.394179894179857</v>
      </c>
      <c r="HH7" s="17" t="s">
        <v>3</v>
      </c>
      <c r="HI7" s="24">
        <f t="shared" si="95"/>
        <v>1.5029189705698589</v>
      </c>
      <c r="HJ7" s="4" t="str">
        <f t="shared" si="96"/>
        <v>отлично</v>
      </c>
      <c r="HK7" s="64"/>
      <c r="HL7" s="32"/>
      <c r="HM7" s="65"/>
      <c r="HN7" s="65"/>
      <c r="HO7" s="64"/>
      <c r="HP7" s="32"/>
      <c r="HQ7" s="65"/>
      <c r="HR7" s="65"/>
      <c r="HS7" s="64"/>
      <c r="HT7" s="32"/>
      <c r="HU7" s="65"/>
      <c r="HV7" s="65"/>
      <c r="HW7" s="64"/>
      <c r="HX7" s="32"/>
      <c r="HY7" s="65"/>
      <c r="HZ7" s="65"/>
      <c r="IA7" s="64"/>
      <c r="IB7" s="32"/>
      <c r="IC7" s="65"/>
      <c r="ID7" s="65"/>
      <c r="IE7" s="64"/>
      <c r="IF7" s="32"/>
      <c r="IG7" s="65"/>
      <c r="IH7" s="65"/>
      <c r="II7" s="64"/>
      <c r="IJ7" s="32"/>
      <c r="IK7" s="65"/>
      <c r="IL7" s="65"/>
      <c r="IM7" s="64"/>
      <c r="IN7" s="32"/>
      <c r="IO7" s="65"/>
      <c r="IP7" s="65"/>
      <c r="IQ7" s="64"/>
      <c r="IR7" s="32"/>
      <c r="IS7" s="65"/>
      <c r="IT7" s="65"/>
      <c r="IU7" s="64"/>
      <c r="IV7" s="32"/>
      <c r="IW7" s="65"/>
      <c r="IX7" s="65"/>
    </row>
    <row r="8" spans="1:258" ht="48.75" customHeight="1" thickBot="1" x14ac:dyDescent="0.3">
      <c r="A8" s="21">
        <v>6</v>
      </c>
      <c r="B8" s="31" t="s">
        <v>12</v>
      </c>
      <c r="C8" s="3">
        <v>10</v>
      </c>
      <c r="D8" s="5">
        <v>7</v>
      </c>
      <c r="E8" s="8">
        <f t="shared" si="0"/>
        <v>0.7</v>
      </c>
      <c r="F8" s="12">
        <f t="shared" si="1"/>
        <v>0.47456790123456821</v>
      </c>
      <c r="G8" s="3">
        <v>9</v>
      </c>
      <c r="H8" s="3">
        <v>9</v>
      </c>
      <c r="I8" s="12">
        <f t="shared" si="2"/>
        <v>1</v>
      </c>
      <c r="J8" s="12">
        <f t="shared" si="3"/>
        <v>1.7190123456790118</v>
      </c>
      <c r="K8" s="3">
        <v>8</v>
      </c>
      <c r="L8" s="5">
        <v>8</v>
      </c>
      <c r="M8" s="12">
        <f t="shared" si="4"/>
        <v>1</v>
      </c>
      <c r="N8" s="12">
        <f t="shared" si="5"/>
        <v>9.6790123456789987E-2</v>
      </c>
      <c r="O8" s="3">
        <v>7</v>
      </c>
      <c r="P8" s="5">
        <v>7</v>
      </c>
      <c r="Q8" s="12">
        <f t="shared" si="6"/>
        <v>1</v>
      </c>
      <c r="R8" s="12">
        <f t="shared" si="7"/>
        <v>0.47456790123456821</v>
      </c>
      <c r="S8" s="3">
        <v>6</v>
      </c>
      <c r="T8" s="3">
        <v>6</v>
      </c>
      <c r="U8" s="12">
        <f t="shared" si="8"/>
        <v>1</v>
      </c>
      <c r="V8" s="12">
        <f t="shared" si="9"/>
        <v>2.8523456790123465</v>
      </c>
      <c r="W8" s="3">
        <v>8</v>
      </c>
      <c r="X8" s="5">
        <v>8</v>
      </c>
      <c r="Y8" s="12">
        <f t="shared" si="10"/>
        <v>1</v>
      </c>
      <c r="Z8" s="12">
        <f t="shared" si="11"/>
        <v>9.6790123456789987E-2</v>
      </c>
      <c r="AA8" s="3">
        <v>2</v>
      </c>
      <c r="AB8" s="5">
        <v>2</v>
      </c>
      <c r="AC8" s="12">
        <f t="shared" si="12"/>
        <v>1</v>
      </c>
      <c r="AD8" s="12">
        <f t="shared" si="13"/>
        <v>32.363456790123458</v>
      </c>
      <c r="AE8" s="3">
        <v>8</v>
      </c>
      <c r="AF8" s="5">
        <v>8</v>
      </c>
      <c r="AG8" s="12">
        <f t="shared" si="14"/>
        <v>1</v>
      </c>
      <c r="AH8" s="12">
        <f t="shared" si="15"/>
        <v>9.6790123456789987E-2</v>
      </c>
      <c r="AI8" s="3">
        <v>9</v>
      </c>
      <c r="AJ8" s="3">
        <v>9</v>
      </c>
      <c r="AK8" s="12">
        <f t="shared" si="16"/>
        <v>1</v>
      </c>
      <c r="AL8" s="12">
        <f t="shared" si="17"/>
        <v>1.7190123456790118</v>
      </c>
      <c r="AM8" s="3">
        <v>10</v>
      </c>
      <c r="AN8" s="5">
        <v>7</v>
      </c>
      <c r="AO8" s="12">
        <f t="shared" si="18"/>
        <v>0.7</v>
      </c>
      <c r="AP8" s="12">
        <f t="shared" si="19"/>
        <v>0.47456790123456821</v>
      </c>
      <c r="AQ8" s="3">
        <v>8</v>
      </c>
      <c r="AR8" s="3">
        <v>8</v>
      </c>
      <c r="AS8" s="12">
        <f t="shared" si="20"/>
        <v>1</v>
      </c>
      <c r="AT8" s="12">
        <f t="shared" si="21"/>
        <v>9.6790123456789987E-2</v>
      </c>
      <c r="AU8" s="3">
        <v>10</v>
      </c>
      <c r="AV8" s="5">
        <v>8</v>
      </c>
      <c r="AW8" s="12">
        <f t="shared" si="22"/>
        <v>0.8</v>
      </c>
      <c r="AX8" s="12">
        <f t="shared" si="23"/>
        <v>9.6790123456789987E-2</v>
      </c>
      <c r="AY8" s="3">
        <v>9</v>
      </c>
      <c r="AZ8" s="5">
        <v>9</v>
      </c>
      <c r="BA8" s="12">
        <f t="shared" si="24"/>
        <v>1</v>
      </c>
      <c r="BB8" s="12">
        <f t="shared" si="25"/>
        <v>1.7190123456790118</v>
      </c>
      <c r="BC8" s="3">
        <v>10</v>
      </c>
      <c r="BD8" s="5">
        <v>7</v>
      </c>
      <c r="BE8" s="12">
        <f t="shared" si="26"/>
        <v>0.7</v>
      </c>
      <c r="BF8" s="12">
        <f t="shared" si="27"/>
        <v>0.47456790123456821</v>
      </c>
      <c r="BG8" s="3">
        <v>8</v>
      </c>
      <c r="BH8" s="5">
        <v>7</v>
      </c>
      <c r="BI8" s="12">
        <f t="shared" si="28"/>
        <v>0.875</v>
      </c>
      <c r="BJ8" s="12">
        <f t="shared" si="29"/>
        <v>0.47456790123456821</v>
      </c>
      <c r="BK8" s="3">
        <v>8</v>
      </c>
      <c r="BL8" s="3">
        <v>8</v>
      </c>
      <c r="BM8" s="12">
        <f t="shared" si="30"/>
        <v>1</v>
      </c>
      <c r="BN8" s="12">
        <f t="shared" si="31"/>
        <v>9.6790123456789987E-2</v>
      </c>
      <c r="BO8" s="3">
        <v>8</v>
      </c>
      <c r="BP8" s="3">
        <v>8</v>
      </c>
      <c r="BQ8" s="12">
        <f t="shared" si="32"/>
        <v>1</v>
      </c>
      <c r="BR8" s="12">
        <f t="shared" si="33"/>
        <v>9.6790123456789987E-2</v>
      </c>
      <c r="BS8" s="3">
        <v>9</v>
      </c>
      <c r="BT8" s="3">
        <v>9</v>
      </c>
      <c r="BU8" s="12">
        <f t="shared" si="34"/>
        <v>1</v>
      </c>
      <c r="BV8" s="12">
        <f t="shared" si="35"/>
        <v>1.7190123456790118</v>
      </c>
      <c r="BW8" s="3">
        <v>9</v>
      </c>
      <c r="BX8" s="5">
        <v>8</v>
      </c>
      <c r="BY8" s="12">
        <f t="shared" si="36"/>
        <v>0.88888888888888884</v>
      </c>
      <c r="BZ8" s="12">
        <f t="shared" si="37"/>
        <v>9.6790123456789987E-2</v>
      </c>
      <c r="CA8" s="3">
        <v>9</v>
      </c>
      <c r="CB8" s="3">
        <v>9</v>
      </c>
      <c r="CC8" s="12">
        <f t="shared" si="38"/>
        <v>1</v>
      </c>
      <c r="CD8" s="12">
        <f t="shared" si="39"/>
        <v>1.7190123456790118</v>
      </c>
      <c r="CE8" s="3">
        <v>9</v>
      </c>
      <c r="CF8" s="3">
        <v>9</v>
      </c>
      <c r="CG8" s="12">
        <f t="shared" si="40"/>
        <v>1</v>
      </c>
      <c r="CH8" s="12">
        <f t="shared" si="41"/>
        <v>1.7190123456790118</v>
      </c>
      <c r="CI8" s="3">
        <v>10</v>
      </c>
      <c r="CJ8" s="5">
        <v>8</v>
      </c>
      <c r="CK8" s="12">
        <f t="shared" si="42"/>
        <v>0.8</v>
      </c>
      <c r="CL8" s="12">
        <f t="shared" si="43"/>
        <v>9.6790123456789987E-2</v>
      </c>
      <c r="CM8" s="3">
        <v>9</v>
      </c>
      <c r="CN8" s="3">
        <v>9</v>
      </c>
      <c r="CO8" s="12">
        <f t="shared" si="44"/>
        <v>1</v>
      </c>
      <c r="CP8" s="12">
        <f t="shared" si="45"/>
        <v>1.7190123456790118</v>
      </c>
      <c r="CQ8" s="3">
        <v>10</v>
      </c>
      <c r="CR8" s="5">
        <v>4</v>
      </c>
      <c r="CS8" s="12">
        <f t="shared" si="46"/>
        <v>0.4</v>
      </c>
      <c r="CT8" s="12">
        <f t="shared" si="47"/>
        <v>13.607901234567903</v>
      </c>
      <c r="CU8" s="3">
        <v>7</v>
      </c>
      <c r="CV8" s="5">
        <v>6</v>
      </c>
      <c r="CW8" s="12">
        <f t="shared" si="48"/>
        <v>0.8571428571428571</v>
      </c>
      <c r="CX8" s="12">
        <f t="shared" si="49"/>
        <v>2.8523456790123465</v>
      </c>
      <c r="CY8" s="3">
        <v>6</v>
      </c>
      <c r="CZ8" s="5">
        <v>6</v>
      </c>
      <c r="DA8" s="12">
        <f t="shared" si="50"/>
        <v>1</v>
      </c>
      <c r="DB8" s="12">
        <f t="shared" si="51"/>
        <v>2.8523456790123465</v>
      </c>
      <c r="DC8" s="3">
        <v>10</v>
      </c>
      <c r="DD8" s="5">
        <v>8</v>
      </c>
      <c r="DE8" s="12">
        <f t="shared" si="52"/>
        <v>0.8</v>
      </c>
      <c r="DF8" s="12">
        <f t="shared" si="53"/>
        <v>9.6790123456789987E-2</v>
      </c>
      <c r="DG8" s="3">
        <v>10</v>
      </c>
      <c r="DH8" s="5">
        <v>9</v>
      </c>
      <c r="DI8" s="12">
        <f t="shared" si="54"/>
        <v>0.9</v>
      </c>
      <c r="DJ8" s="12">
        <f t="shared" si="55"/>
        <v>1.7190123456790118</v>
      </c>
      <c r="DK8" s="3">
        <v>10</v>
      </c>
      <c r="DL8" s="5">
        <v>9</v>
      </c>
      <c r="DM8" s="12">
        <f t="shared" si="56"/>
        <v>0.9</v>
      </c>
      <c r="DN8" s="12">
        <f t="shared" si="57"/>
        <v>1.7190123456790118</v>
      </c>
      <c r="DO8" s="3">
        <v>10</v>
      </c>
      <c r="DP8" s="5">
        <v>3</v>
      </c>
      <c r="DQ8" s="12">
        <f t="shared" si="58"/>
        <v>0.3</v>
      </c>
      <c r="DR8" s="12">
        <f t="shared" si="59"/>
        <v>21.985679012345681</v>
      </c>
      <c r="DS8" s="3">
        <v>8</v>
      </c>
      <c r="DT8" s="5">
        <v>8</v>
      </c>
      <c r="DU8" s="12">
        <f t="shared" si="60"/>
        <v>1</v>
      </c>
      <c r="DV8" s="12">
        <f t="shared" si="61"/>
        <v>9.6790123456789987E-2</v>
      </c>
      <c r="DW8" s="3">
        <v>10</v>
      </c>
      <c r="DX8" s="5">
        <v>8</v>
      </c>
      <c r="DY8" s="12">
        <f t="shared" si="62"/>
        <v>0.8</v>
      </c>
      <c r="DZ8" s="12">
        <f t="shared" si="63"/>
        <v>9.6790123456789987E-2</v>
      </c>
      <c r="EA8" s="3">
        <v>9</v>
      </c>
      <c r="EB8" s="5">
        <v>9</v>
      </c>
      <c r="EC8" s="12">
        <f t="shared" si="64"/>
        <v>1</v>
      </c>
      <c r="ED8" s="12">
        <f t="shared" si="65"/>
        <v>1.7190123456790118</v>
      </c>
      <c r="EE8" s="3">
        <v>8</v>
      </c>
      <c r="EF8" s="5">
        <v>7</v>
      </c>
      <c r="EG8" s="12">
        <f t="shared" si="66"/>
        <v>0.875</v>
      </c>
      <c r="EH8" s="12">
        <f t="shared" si="67"/>
        <v>0.47456790123456821</v>
      </c>
      <c r="EI8" s="3">
        <v>10</v>
      </c>
      <c r="EJ8" s="3">
        <v>10</v>
      </c>
      <c r="EK8" s="12">
        <f t="shared" si="68"/>
        <v>1</v>
      </c>
      <c r="EL8" s="12">
        <f t="shared" si="69"/>
        <v>5.3412345679012336</v>
      </c>
      <c r="EM8" s="3">
        <v>10</v>
      </c>
      <c r="EN8" s="3">
        <v>10</v>
      </c>
      <c r="EO8" s="12">
        <f t="shared" si="70"/>
        <v>1</v>
      </c>
      <c r="EP8" s="12">
        <f t="shared" si="71"/>
        <v>5.3412345679012336</v>
      </c>
      <c r="EQ8" s="3">
        <v>8</v>
      </c>
      <c r="ER8" s="5">
        <v>8</v>
      </c>
      <c r="ES8" s="12">
        <f t="shared" si="72"/>
        <v>1</v>
      </c>
      <c r="ET8" s="12">
        <f t="shared" si="73"/>
        <v>9.6790123456789987E-2</v>
      </c>
      <c r="EU8" s="3">
        <v>8</v>
      </c>
      <c r="EV8" s="5">
        <v>8</v>
      </c>
      <c r="EW8" s="12">
        <f t="shared" si="74"/>
        <v>1</v>
      </c>
      <c r="EX8" s="12">
        <f t="shared" si="75"/>
        <v>9.6790123456789987E-2</v>
      </c>
      <c r="EY8" s="3">
        <v>6</v>
      </c>
      <c r="EZ8" s="5">
        <v>6</v>
      </c>
      <c r="FA8" s="12">
        <f t="shared" si="76"/>
        <v>1</v>
      </c>
      <c r="FB8" s="12">
        <f t="shared" si="77"/>
        <v>2.8523456790123465</v>
      </c>
      <c r="FC8" s="3">
        <v>10</v>
      </c>
      <c r="FD8" s="5">
        <v>8</v>
      </c>
      <c r="FE8" s="12">
        <f t="shared" si="78"/>
        <v>0.8</v>
      </c>
      <c r="FF8" s="12">
        <f t="shared" si="79"/>
        <v>9.6790123456789987E-2</v>
      </c>
      <c r="FG8" s="3">
        <v>10</v>
      </c>
      <c r="FH8" s="5">
        <v>9</v>
      </c>
      <c r="FI8" s="12">
        <f t="shared" si="80"/>
        <v>0.9</v>
      </c>
      <c r="FJ8" s="12">
        <f t="shared" si="81"/>
        <v>1.7190123456790118</v>
      </c>
      <c r="FK8" s="3">
        <v>8</v>
      </c>
      <c r="FL8" s="5">
        <v>8</v>
      </c>
      <c r="FM8" s="12">
        <f t="shared" si="82"/>
        <v>1</v>
      </c>
      <c r="FN8" s="12">
        <f t="shared" si="83"/>
        <v>9.6790123456789987E-2</v>
      </c>
      <c r="FO8" s="3">
        <v>9</v>
      </c>
      <c r="FP8" s="5">
        <v>8</v>
      </c>
      <c r="FQ8" s="12">
        <f t="shared" si="84"/>
        <v>0.88888888888888884</v>
      </c>
      <c r="FR8" s="12">
        <f t="shared" si="85"/>
        <v>9.6790123456789987E-2</v>
      </c>
      <c r="FS8" s="3">
        <v>7</v>
      </c>
      <c r="FT8" s="5">
        <v>7</v>
      </c>
      <c r="FU8" s="12">
        <f t="shared" si="86"/>
        <v>1</v>
      </c>
      <c r="FV8" s="12">
        <f t="shared" si="87"/>
        <v>0.47456790123456821</v>
      </c>
      <c r="FW8" s="3">
        <v>10</v>
      </c>
      <c r="FX8" s="5">
        <v>9</v>
      </c>
      <c r="FY8" s="12">
        <f t="shared" si="88"/>
        <v>0.9</v>
      </c>
      <c r="FZ8" s="12">
        <f t="shared" si="89"/>
        <v>1.7190123456790118</v>
      </c>
      <c r="GA8" s="3"/>
      <c r="GB8" s="5"/>
      <c r="GC8" s="12"/>
      <c r="GD8" s="12"/>
      <c r="GE8" s="3"/>
      <c r="GF8" s="5"/>
      <c r="GG8" s="12"/>
      <c r="GH8" s="12"/>
      <c r="GI8" s="3"/>
      <c r="GJ8" s="5"/>
      <c r="GK8" s="12"/>
      <c r="GL8" s="12"/>
      <c r="GM8" s="3"/>
      <c r="GN8" s="5"/>
      <c r="GO8" s="12"/>
      <c r="GP8" s="12"/>
      <c r="GQ8" s="3"/>
      <c r="GR8" s="5"/>
      <c r="GS8" s="12"/>
      <c r="GT8" s="12"/>
      <c r="GU8" s="3"/>
      <c r="GV8" s="5"/>
      <c r="GW8" s="12"/>
      <c r="GX8" s="12"/>
      <c r="GY8" s="3"/>
      <c r="GZ8" s="5"/>
      <c r="HA8" s="12"/>
      <c r="HB8" s="12"/>
      <c r="HC8" s="4">
        <f t="shared" si="90"/>
        <v>45</v>
      </c>
      <c r="HD8" s="15">
        <f t="shared" si="91"/>
        <v>90.633156966490276</v>
      </c>
      <c r="HE8" s="15">
        <f t="shared" si="92"/>
        <v>7.6888888888888891</v>
      </c>
      <c r="HF8" s="15">
        <f t="shared" si="93"/>
        <v>1.6030834486107937</v>
      </c>
      <c r="HG8" s="16">
        <f t="shared" si="94"/>
        <v>90.633156966490276</v>
      </c>
      <c r="HH8" s="17" t="s">
        <v>3</v>
      </c>
      <c r="HI8" s="24">
        <f t="shared" si="95"/>
        <v>1.6030834486107937</v>
      </c>
      <c r="HJ8" s="4" t="str">
        <f t="shared" si="96"/>
        <v>отлично</v>
      </c>
      <c r="HK8" s="64"/>
      <c r="HL8" s="32"/>
      <c r="HM8" s="65"/>
      <c r="HN8" s="65"/>
      <c r="HO8" s="64"/>
      <c r="HP8" s="32"/>
      <c r="HQ8" s="65"/>
      <c r="HR8" s="65"/>
      <c r="HS8" s="64"/>
      <c r="HT8" s="32"/>
      <c r="HU8" s="65"/>
      <c r="HV8" s="65"/>
      <c r="HW8" s="64"/>
      <c r="HX8" s="32"/>
      <c r="HY8" s="65"/>
      <c r="HZ8" s="65"/>
      <c r="IA8" s="64"/>
      <c r="IB8" s="32"/>
      <c r="IC8" s="65"/>
      <c r="ID8" s="65"/>
      <c r="IE8" s="64"/>
      <c r="IF8" s="32"/>
      <c r="IG8" s="65"/>
      <c r="IH8" s="65"/>
      <c r="II8" s="64"/>
      <c r="IJ8" s="32"/>
      <c r="IK8" s="65"/>
      <c r="IL8" s="65"/>
      <c r="IM8" s="64"/>
      <c r="IN8" s="32"/>
      <c r="IO8" s="65"/>
      <c r="IP8" s="65"/>
      <c r="IQ8" s="64"/>
      <c r="IR8" s="32"/>
      <c r="IS8" s="65"/>
      <c r="IT8" s="65"/>
      <c r="IU8" s="64"/>
      <c r="IV8" s="32"/>
      <c r="IW8" s="65"/>
      <c r="IX8" s="65"/>
    </row>
    <row r="9" spans="1:258" ht="77.25" customHeight="1" thickBot="1" x14ac:dyDescent="0.3">
      <c r="A9" s="21">
        <v>7</v>
      </c>
      <c r="B9" s="31" t="s">
        <v>16</v>
      </c>
      <c r="C9" s="3">
        <v>10</v>
      </c>
      <c r="D9" s="5">
        <v>9</v>
      </c>
      <c r="E9" s="8">
        <f t="shared" si="0"/>
        <v>0.9</v>
      </c>
      <c r="F9" s="12">
        <f t="shared" si="1"/>
        <v>1</v>
      </c>
      <c r="G9" s="3">
        <v>8</v>
      </c>
      <c r="H9" s="3">
        <v>8</v>
      </c>
      <c r="I9" s="12">
        <f t="shared" si="2"/>
        <v>1</v>
      </c>
      <c r="J9" s="12">
        <f t="shared" si="3"/>
        <v>0</v>
      </c>
      <c r="K9" s="3">
        <v>8</v>
      </c>
      <c r="L9" s="5">
        <v>8</v>
      </c>
      <c r="M9" s="12">
        <f t="shared" si="4"/>
        <v>1</v>
      </c>
      <c r="N9" s="12">
        <f t="shared" si="5"/>
        <v>0</v>
      </c>
      <c r="O9" s="3">
        <v>7</v>
      </c>
      <c r="P9" s="5">
        <v>7</v>
      </c>
      <c r="Q9" s="12">
        <f t="shared" si="6"/>
        <v>1</v>
      </c>
      <c r="R9" s="12">
        <f t="shared" si="7"/>
        <v>1</v>
      </c>
      <c r="S9" s="3">
        <v>7</v>
      </c>
      <c r="T9" s="3">
        <v>7</v>
      </c>
      <c r="U9" s="12">
        <f t="shared" si="8"/>
        <v>1</v>
      </c>
      <c r="V9" s="12">
        <f t="shared" si="9"/>
        <v>1</v>
      </c>
      <c r="W9" s="3">
        <v>9</v>
      </c>
      <c r="X9" s="5">
        <v>9</v>
      </c>
      <c r="Y9" s="12">
        <f t="shared" si="10"/>
        <v>1</v>
      </c>
      <c r="Z9" s="12">
        <f t="shared" si="11"/>
        <v>1</v>
      </c>
      <c r="AA9" s="3">
        <v>5</v>
      </c>
      <c r="AB9" s="5">
        <v>5</v>
      </c>
      <c r="AC9" s="12">
        <f t="shared" si="12"/>
        <v>1</v>
      </c>
      <c r="AD9" s="12">
        <f t="shared" si="13"/>
        <v>9</v>
      </c>
      <c r="AE9" s="3">
        <v>10</v>
      </c>
      <c r="AF9" s="5">
        <v>9</v>
      </c>
      <c r="AG9" s="12">
        <f t="shared" si="14"/>
        <v>0.9</v>
      </c>
      <c r="AH9" s="12">
        <f t="shared" si="15"/>
        <v>1</v>
      </c>
      <c r="AI9" s="3">
        <v>9</v>
      </c>
      <c r="AJ9" s="3">
        <v>9</v>
      </c>
      <c r="AK9" s="12">
        <f t="shared" si="16"/>
        <v>1</v>
      </c>
      <c r="AL9" s="12">
        <f t="shared" si="17"/>
        <v>1</v>
      </c>
      <c r="AM9" s="3">
        <v>10</v>
      </c>
      <c r="AN9" s="5">
        <v>8</v>
      </c>
      <c r="AO9" s="12">
        <f t="shared" si="18"/>
        <v>0.8</v>
      </c>
      <c r="AP9" s="12">
        <f t="shared" si="19"/>
        <v>0</v>
      </c>
      <c r="AQ9" s="3">
        <v>9</v>
      </c>
      <c r="AR9" s="3">
        <v>9</v>
      </c>
      <c r="AS9" s="12">
        <f t="shared" si="20"/>
        <v>1</v>
      </c>
      <c r="AT9" s="12">
        <f t="shared" si="21"/>
        <v>1</v>
      </c>
      <c r="AU9" s="3">
        <v>9</v>
      </c>
      <c r="AV9" s="5">
        <v>7</v>
      </c>
      <c r="AW9" s="12">
        <f t="shared" si="22"/>
        <v>0.77777777777777779</v>
      </c>
      <c r="AX9" s="12">
        <f t="shared" si="23"/>
        <v>1</v>
      </c>
      <c r="AY9" s="3">
        <v>7</v>
      </c>
      <c r="AZ9" s="5">
        <v>7</v>
      </c>
      <c r="BA9" s="12">
        <f t="shared" si="24"/>
        <v>1</v>
      </c>
      <c r="BB9" s="12">
        <f t="shared" si="25"/>
        <v>1</v>
      </c>
      <c r="BC9" s="3">
        <v>10</v>
      </c>
      <c r="BD9" s="5">
        <v>8</v>
      </c>
      <c r="BE9" s="12">
        <f t="shared" si="26"/>
        <v>0.8</v>
      </c>
      <c r="BF9" s="12">
        <f t="shared" si="27"/>
        <v>0</v>
      </c>
      <c r="BG9" s="3">
        <v>9</v>
      </c>
      <c r="BH9" s="5">
        <v>9</v>
      </c>
      <c r="BI9" s="12">
        <f t="shared" si="28"/>
        <v>1</v>
      </c>
      <c r="BJ9" s="12">
        <f t="shared" si="29"/>
        <v>1</v>
      </c>
      <c r="BK9" s="3">
        <v>8</v>
      </c>
      <c r="BL9" s="3">
        <v>8</v>
      </c>
      <c r="BM9" s="12">
        <f t="shared" si="30"/>
        <v>1</v>
      </c>
      <c r="BN9" s="12">
        <f t="shared" si="31"/>
        <v>0</v>
      </c>
      <c r="BO9" s="3">
        <v>9</v>
      </c>
      <c r="BP9" s="3">
        <v>9</v>
      </c>
      <c r="BQ9" s="12">
        <f t="shared" si="32"/>
        <v>1</v>
      </c>
      <c r="BR9" s="12">
        <f t="shared" si="33"/>
        <v>1</v>
      </c>
      <c r="BS9" s="3">
        <v>9</v>
      </c>
      <c r="BT9" s="3">
        <v>9</v>
      </c>
      <c r="BU9" s="12">
        <f t="shared" si="34"/>
        <v>1</v>
      </c>
      <c r="BV9" s="12">
        <f t="shared" si="35"/>
        <v>1</v>
      </c>
      <c r="BW9" s="3">
        <v>9</v>
      </c>
      <c r="BX9" s="5">
        <v>9</v>
      </c>
      <c r="BY9" s="12">
        <f t="shared" si="36"/>
        <v>1</v>
      </c>
      <c r="BZ9" s="12">
        <f t="shared" si="37"/>
        <v>1</v>
      </c>
      <c r="CA9" s="3">
        <v>10</v>
      </c>
      <c r="CB9" s="3">
        <v>8</v>
      </c>
      <c r="CC9" s="12">
        <f t="shared" si="38"/>
        <v>0.8</v>
      </c>
      <c r="CD9" s="12">
        <f t="shared" si="39"/>
        <v>0</v>
      </c>
      <c r="CE9" s="3">
        <v>8</v>
      </c>
      <c r="CF9" s="3">
        <v>8</v>
      </c>
      <c r="CG9" s="12">
        <f t="shared" si="40"/>
        <v>1</v>
      </c>
      <c r="CH9" s="12">
        <f t="shared" si="41"/>
        <v>0</v>
      </c>
      <c r="CI9" s="3">
        <v>5</v>
      </c>
      <c r="CJ9" s="5">
        <v>4</v>
      </c>
      <c r="CK9" s="12">
        <f t="shared" si="42"/>
        <v>0.8</v>
      </c>
      <c r="CL9" s="12">
        <f t="shared" si="43"/>
        <v>16</v>
      </c>
      <c r="CM9" s="3">
        <v>9</v>
      </c>
      <c r="CN9" s="3">
        <v>8</v>
      </c>
      <c r="CO9" s="12">
        <f t="shared" si="44"/>
        <v>0.88888888888888884</v>
      </c>
      <c r="CP9" s="12">
        <f t="shared" si="45"/>
        <v>0</v>
      </c>
      <c r="CQ9" s="3">
        <v>5</v>
      </c>
      <c r="CR9" s="5">
        <v>5</v>
      </c>
      <c r="CS9" s="12">
        <f t="shared" si="46"/>
        <v>1</v>
      </c>
      <c r="CT9" s="12">
        <f t="shared" si="47"/>
        <v>9</v>
      </c>
      <c r="CU9" s="3">
        <v>7</v>
      </c>
      <c r="CV9" s="5">
        <v>7</v>
      </c>
      <c r="CW9" s="12">
        <f t="shared" si="48"/>
        <v>1</v>
      </c>
      <c r="CX9" s="12">
        <f t="shared" si="49"/>
        <v>1</v>
      </c>
      <c r="CY9" s="3">
        <v>6</v>
      </c>
      <c r="CZ9" s="5">
        <v>6</v>
      </c>
      <c r="DA9" s="12">
        <f t="shared" si="50"/>
        <v>1</v>
      </c>
      <c r="DB9" s="12">
        <f t="shared" si="51"/>
        <v>4</v>
      </c>
      <c r="DC9" s="3">
        <v>9</v>
      </c>
      <c r="DD9" s="5">
        <v>9</v>
      </c>
      <c r="DE9" s="12">
        <f t="shared" si="52"/>
        <v>1</v>
      </c>
      <c r="DF9" s="12">
        <f t="shared" si="53"/>
        <v>1</v>
      </c>
      <c r="DG9" s="3">
        <v>10</v>
      </c>
      <c r="DH9" s="5">
        <v>9</v>
      </c>
      <c r="DI9" s="12">
        <f t="shared" si="54"/>
        <v>0.9</v>
      </c>
      <c r="DJ9" s="12">
        <f t="shared" si="55"/>
        <v>1</v>
      </c>
      <c r="DK9" s="3">
        <v>10</v>
      </c>
      <c r="DL9" s="5">
        <v>9</v>
      </c>
      <c r="DM9" s="12">
        <f t="shared" si="56"/>
        <v>0.9</v>
      </c>
      <c r="DN9" s="12">
        <f t="shared" si="57"/>
        <v>1</v>
      </c>
      <c r="DO9" s="3">
        <v>10</v>
      </c>
      <c r="DP9" s="5">
        <v>6</v>
      </c>
      <c r="DQ9" s="12">
        <f t="shared" si="58"/>
        <v>0.6</v>
      </c>
      <c r="DR9" s="12">
        <f t="shared" si="59"/>
        <v>4</v>
      </c>
      <c r="DS9" s="3">
        <v>7</v>
      </c>
      <c r="DT9" s="5">
        <v>6</v>
      </c>
      <c r="DU9" s="12">
        <f t="shared" si="60"/>
        <v>0.8571428571428571</v>
      </c>
      <c r="DV9" s="12">
        <f t="shared" si="61"/>
        <v>4</v>
      </c>
      <c r="DW9" s="3">
        <v>9</v>
      </c>
      <c r="DX9" s="5">
        <v>9</v>
      </c>
      <c r="DY9" s="12">
        <f t="shared" si="62"/>
        <v>1</v>
      </c>
      <c r="DZ9" s="12">
        <f t="shared" si="63"/>
        <v>1</v>
      </c>
      <c r="EA9" s="3">
        <v>9</v>
      </c>
      <c r="EB9" s="5">
        <v>8</v>
      </c>
      <c r="EC9" s="12">
        <f t="shared" si="64"/>
        <v>0.88888888888888884</v>
      </c>
      <c r="ED9" s="12">
        <f t="shared" si="65"/>
        <v>0</v>
      </c>
      <c r="EE9" s="3">
        <v>7</v>
      </c>
      <c r="EF9" s="5">
        <v>8</v>
      </c>
      <c r="EG9" s="12">
        <f t="shared" si="66"/>
        <v>1.1428571428571428</v>
      </c>
      <c r="EH9" s="12">
        <f t="shared" si="67"/>
        <v>0</v>
      </c>
      <c r="EI9" s="3">
        <v>8</v>
      </c>
      <c r="EJ9" s="3">
        <v>8</v>
      </c>
      <c r="EK9" s="12">
        <f t="shared" si="68"/>
        <v>1</v>
      </c>
      <c r="EL9" s="12">
        <f t="shared" si="69"/>
        <v>0</v>
      </c>
      <c r="EM9" s="3">
        <v>9</v>
      </c>
      <c r="EN9" s="3">
        <v>9</v>
      </c>
      <c r="EO9" s="12">
        <f t="shared" si="70"/>
        <v>1</v>
      </c>
      <c r="EP9" s="12">
        <f t="shared" si="71"/>
        <v>1</v>
      </c>
      <c r="EQ9" s="3">
        <v>10</v>
      </c>
      <c r="ER9" s="5">
        <v>10</v>
      </c>
      <c r="ES9" s="12">
        <f t="shared" si="72"/>
        <v>1</v>
      </c>
      <c r="ET9" s="12">
        <f t="shared" si="73"/>
        <v>4</v>
      </c>
      <c r="EU9" s="3">
        <v>10</v>
      </c>
      <c r="EV9" s="5">
        <v>9</v>
      </c>
      <c r="EW9" s="12">
        <f t="shared" si="74"/>
        <v>0.9</v>
      </c>
      <c r="EX9" s="12">
        <f t="shared" si="75"/>
        <v>1</v>
      </c>
      <c r="EY9" s="3">
        <v>8</v>
      </c>
      <c r="EZ9" s="5">
        <v>7</v>
      </c>
      <c r="FA9" s="12">
        <f t="shared" si="76"/>
        <v>0.875</v>
      </c>
      <c r="FB9" s="12">
        <f t="shared" si="77"/>
        <v>1</v>
      </c>
      <c r="FC9" s="3">
        <v>8</v>
      </c>
      <c r="FD9" s="5">
        <v>8</v>
      </c>
      <c r="FE9" s="12">
        <f t="shared" si="78"/>
        <v>1</v>
      </c>
      <c r="FF9" s="12">
        <f t="shared" si="79"/>
        <v>0</v>
      </c>
      <c r="FG9" s="3">
        <v>10</v>
      </c>
      <c r="FH9" s="5">
        <v>10</v>
      </c>
      <c r="FI9" s="12">
        <f t="shared" si="80"/>
        <v>1</v>
      </c>
      <c r="FJ9" s="12">
        <f t="shared" si="81"/>
        <v>4</v>
      </c>
      <c r="FK9" s="3">
        <v>9</v>
      </c>
      <c r="FL9" s="5">
        <v>9</v>
      </c>
      <c r="FM9" s="12">
        <f t="shared" si="82"/>
        <v>1</v>
      </c>
      <c r="FN9" s="12">
        <f t="shared" si="83"/>
        <v>1</v>
      </c>
      <c r="FO9" s="3">
        <v>8</v>
      </c>
      <c r="FP9" s="5">
        <v>7</v>
      </c>
      <c r="FQ9" s="12">
        <f t="shared" si="84"/>
        <v>0.875</v>
      </c>
      <c r="FR9" s="12">
        <f t="shared" si="85"/>
        <v>1</v>
      </c>
      <c r="FS9" s="3">
        <v>10</v>
      </c>
      <c r="FT9" s="5">
        <v>10</v>
      </c>
      <c r="FU9" s="12">
        <f t="shared" si="86"/>
        <v>1</v>
      </c>
      <c r="FV9" s="12">
        <f t="shared" si="87"/>
        <v>4</v>
      </c>
      <c r="FW9" s="3">
        <v>9</v>
      </c>
      <c r="FX9" s="5">
        <v>9</v>
      </c>
      <c r="FY9" s="12">
        <f t="shared" si="88"/>
        <v>1</v>
      </c>
      <c r="FZ9" s="12">
        <f t="shared" si="89"/>
        <v>1</v>
      </c>
      <c r="GA9" s="3"/>
      <c r="GB9" s="5"/>
      <c r="GC9" s="12"/>
      <c r="GD9" s="12"/>
      <c r="GE9" s="3"/>
      <c r="GF9" s="5"/>
      <c r="GG9" s="12"/>
      <c r="GH9" s="12"/>
      <c r="GI9" s="3"/>
      <c r="GJ9" s="5"/>
      <c r="GK9" s="12"/>
      <c r="GL9" s="12"/>
      <c r="GM9" s="3"/>
      <c r="GN9" s="5"/>
      <c r="GO9" s="12"/>
      <c r="GP9" s="12"/>
      <c r="GQ9" s="3"/>
      <c r="GR9" s="5"/>
      <c r="GS9" s="12"/>
      <c r="GT9" s="12"/>
      <c r="GU9" s="3"/>
      <c r="GV9" s="5"/>
      <c r="GW9" s="12"/>
      <c r="GX9" s="12"/>
      <c r="GY9" s="3"/>
      <c r="GZ9" s="5"/>
      <c r="HA9" s="12"/>
      <c r="HB9" s="12"/>
      <c r="HC9" s="4">
        <f t="shared" si="90"/>
        <v>45</v>
      </c>
      <c r="HD9" s="15">
        <f t="shared" si="91"/>
        <v>94.679012345679041</v>
      </c>
      <c r="HE9" s="15">
        <f t="shared" si="92"/>
        <v>8</v>
      </c>
      <c r="HF9" s="15">
        <f t="shared" si="93"/>
        <v>1.3498971154211057</v>
      </c>
      <c r="HG9" s="16">
        <f t="shared" si="94"/>
        <v>94.679012345679041</v>
      </c>
      <c r="HH9" s="17" t="s">
        <v>3</v>
      </c>
      <c r="HI9" s="24">
        <f t="shared" si="95"/>
        <v>1.3498971154211057</v>
      </c>
      <c r="HJ9" s="4" t="str">
        <f t="shared" si="96"/>
        <v>отлично</v>
      </c>
      <c r="HK9" s="64"/>
      <c r="HL9" s="32"/>
      <c r="HM9" s="65"/>
      <c r="HN9" s="65"/>
      <c r="HO9" s="64"/>
      <c r="HP9" s="32"/>
      <c r="HQ9" s="65"/>
      <c r="HR9" s="65"/>
      <c r="HS9" s="64"/>
      <c r="HT9" s="32"/>
      <c r="HU9" s="65"/>
      <c r="HV9" s="65"/>
      <c r="HW9" s="64"/>
      <c r="HX9" s="32"/>
      <c r="HY9" s="65"/>
      <c r="HZ9" s="65"/>
      <c r="IA9" s="64"/>
      <c r="IB9" s="32"/>
      <c r="IC9" s="65"/>
      <c r="ID9" s="65"/>
      <c r="IE9" s="64"/>
      <c r="IF9" s="32"/>
      <c r="IG9" s="65"/>
      <c r="IH9" s="65"/>
      <c r="II9" s="64"/>
      <c r="IJ9" s="32"/>
      <c r="IK9" s="65"/>
      <c r="IL9" s="65"/>
      <c r="IM9" s="64"/>
      <c r="IN9" s="32"/>
      <c r="IO9" s="65"/>
      <c r="IP9" s="65"/>
      <c r="IQ9" s="64"/>
      <c r="IR9" s="32"/>
      <c r="IS9" s="65"/>
      <c r="IT9" s="65"/>
      <c r="IU9" s="64"/>
      <c r="IV9" s="32"/>
      <c r="IW9" s="65"/>
      <c r="IX9" s="65"/>
    </row>
    <row r="10" spans="1:258" ht="85.5" customHeight="1" thickBot="1" x14ac:dyDescent="0.3">
      <c r="A10" s="21">
        <v>8</v>
      </c>
      <c r="B10" s="31" t="s">
        <v>17</v>
      </c>
      <c r="C10" s="3">
        <v>10</v>
      </c>
      <c r="D10" s="5">
        <v>8</v>
      </c>
      <c r="E10" s="8">
        <f t="shared" si="0"/>
        <v>0.8</v>
      </c>
      <c r="F10" s="12">
        <f t="shared" si="1"/>
        <v>4.938271604938237E-4</v>
      </c>
      <c r="G10" s="3">
        <v>9</v>
      </c>
      <c r="H10" s="3">
        <v>9</v>
      </c>
      <c r="I10" s="12">
        <f t="shared" si="2"/>
        <v>1</v>
      </c>
      <c r="J10" s="12">
        <f t="shared" si="3"/>
        <v>0.95604938271604956</v>
      </c>
      <c r="K10" s="3">
        <v>8</v>
      </c>
      <c r="L10" s="5">
        <v>8</v>
      </c>
      <c r="M10" s="12">
        <f t="shared" si="4"/>
        <v>1</v>
      </c>
      <c r="N10" s="12">
        <f t="shared" si="5"/>
        <v>4.938271604938237E-4</v>
      </c>
      <c r="O10" s="3">
        <v>9</v>
      </c>
      <c r="P10" s="5">
        <v>7</v>
      </c>
      <c r="Q10" s="12">
        <f t="shared" si="6"/>
        <v>0.77777777777777779</v>
      </c>
      <c r="R10" s="12">
        <f t="shared" si="7"/>
        <v>1.044938271604938</v>
      </c>
      <c r="S10" s="3">
        <v>8</v>
      </c>
      <c r="T10" s="3">
        <v>8</v>
      </c>
      <c r="U10" s="12">
        <f t="shared" si="8"/>
        <v>1</v>
      </c>
      <c r="V10" s="12">
        <f t="shared" si="9"/>
        <v>4.938271604938237E-4</v>
      </c>
      <c r="W10" s="3">
        <v>8</v>
      </c>
      <c r="X10" s="5">
        <v>8</v>
      </c>
      <c r="Y10" s="12">
        <f t="shared" si="10"/>
        <v>1</v>
      </c>
      <c r="Z10" s="12">
        <f t="shared" si="11"/>
        <v>4.938271604938237E-4</v>
      </c>
      <c r="AA10" s="3">
        <v>4</v>
      </c>
      <c r="AB10" s="5">
        <v>4</v>
      </c>
      <c r="AC10" s="12">
        <f t="shared" si="12"/>
        <v>1</v>
      </c>
      <c r="AD10" s="12">
        <f t="shared" si="13"/>
        <v>16.178271604938271</v>
      </c>
      <c r="AE10" s="3">
        <v>8</v>
      </c>
      <c r="AF10" s="5">
        <v>8</v>
      </c>
      <c r="AG10" s="12">
        <f t="shared" si="14"/>
        <v>1</v>
      </c>
      <c r="AH10" s="12">
        <f t="shared" si="15"/>
        <v>4.938271604938237E-4</v>
      </c>
      <c r="AI10" s="3">
        <v>8</v>
      </c>
      <c r="AJ10" s="3">
        <v>7</v>
      </c>
      <c r="AK10" s="12">
        <f t="shared" si="16"/>
        <v>0.875</v>
      </c>
      <c r="AL10" s="12">
        <f t="shared" si="17"/>
        <v>1.044938271604938</v>
      </c>
      <c r="AM10" s="3">
        <v>10</v>
      </c>
      <c r="AN10" s="5">
        <v>8</v>
      </c>
      <c r="AO10" s="12">
        <f t="shared" si="18"/>
        <v>0.8</v>
      </c>
      <c r="AP10" s="12">
        <f t="shared" si="19"/>
        <v>4.938271604938237E-4</v>
      </c>
      <c r="AQ10" s="3">
        <v>7</v>
      </c>
      <c r="AR10" s="3">
        <v>7</v>
      </c>
      <c r="AS10" s="12">
        <f t="shared" si="20"/>
        <v>1</v>
      </c>
      <c r="AT10" s="12">
        <f t="shared" si="21"/>
        <v>1.044938271604938</v>
      </c>
      <c r="AU10" s="3">
        <v>9</v>
      </c>
      <c r="AV10" s="5">
        <v>7</v>
      </c>
      <c r="AW10" s="12">
        <f t="shared" si="22"/>
        <v>0.77777777777777779</v>
      </c>
      <c r="AX10" s="12">
        <f t="shared" si="23"/>
        <v>1.044938271604938</v>
      </c>
      <c r="AY10" s="3">
        <v>8</v>
      </c>
      <c r="AZ10" s="5">
        <v>8</v>
      </c>
      <c r="BA10" s="12">
        <f t="shared" si="24"/>
        <v>1</v>
      </c>
      <c r="BB10" s="12">
        <f t="shared" si="25"/>
        <v>4.938271604938237E-4</v>
      </c>
      <c r="BC10" s="3">
        <v>10</v>
      </c>
      <c r="BD10" s="5">
        <v>9</v>
      </c>
      <c r="BE10" s="12">
        <f t="shared" si="26"/>
        <v>0.9</v>
      </c>
      <c r="BF10" s="12">
        <f t="shared" si="27"/>
        <v>0.95604938271604956</v>
      </c>
      <c r="BG10" s="3">
        <v>8</v>
      </c>
      <c r="BH10" s="5">
        <v>8</v>
      </c>
      <c r="BI10" s="12">
        <f t="shared" si="28"/>
        <v>1</v>
      </c>
      <c r="BJ10" s="12">
        <f t="shared" si="29"/>
        <v>4.938271604938237E-4</v>
      </c>
      <c r="BK10" s="3">
        <v>9</v>
      </c>
      <c r="BL10" s="3">
        <v>9</v>
      </c>
      <c r="BM10" s="12">
        <f t="shared" si="30"/>
        <v>1</v>
      </c>
      <c r="BN10" s="12">
        <f t="shared" si="31"/>
        <v>0.95604938271604956</v>
      </c>
      <c r="BO10" s="3">
        <v>9</v>
      </c>
      <c r="BP10" s="3">
        <v>9</v>
      </c>
      <c r="BQ10" s="12">
        <f t="shared" si="32"/>
        <v>1</v>
      </c>
      <c r="BR10" s="12">
        <f t="shared" si="33"/>
        <v>0.95604938271604956</v>
      </c>
      <c r="BS10" s="3">
        <v>9</v>
      </c>
      <c r="BT10" s="3">
        <v>9</v>
      </c>
      <c r="BU10" s="12">
        <f t="shared" si="34"/>
        <v>1</v>
      </c>
      <c r="BV10" s="12">
        <f t="shared" si="35"/>
        <v>0.95604938271604956</v>
      </c>
      <c r="BW10" s="3">
        <v>8</v>
      </c>
      <c r="BX10" s="5">
        <v>8</v>
      </c>
      <c r="BY10" s="12">
        <f t="shared" si="36"/>
        <v>1</v>
      </c>
      <c r="BZ10" s="12">
        <f t="shared" si="37"/>
        <v>4.938271604938237E-4</v>
      </c>
      <c r="CA10" s="3">
        <v>6</v>
      </c>
      <c r="CB10" s="3">
        <v>6</v>
      </c>
      <c r="CC10" s="12">
        <f t="shared" si="38"/>
        <v>1</v>
      </c>
      <c r="CD10" s="12">
        <f t="shared" si="39"/>
        <v>4.0893827160493821</v>
      </c>
      <c r="CE10" s="3">
        <v>9</v>
      </c>
      <c r="CF10" s="3">
        <v>9</v>
      </c>
      <c r="CG10" s="12">
        <f t="shared" si="40"/>
        <v>1</v>
      </c>
      <c r="CH10" s="12">
        <f t="shared" si="41"/>
        <v>0.95604938271604956</v>
      </c>
      <c r="CI10" s="3">
        <v>8</v>
      </c>
      <c r="CJ10" s="5">
        <v>8</v>
      </c>
      <c r="CK10" s="12">
        <f t="shared" si="42"/>
        <v>1</v>
      </c>
      <c r="CL10" s="12">
        <f t="shared" si="43"/>
        <v>4.938271604938237E-4</v>
      </c>
      <c r="CM10" s="3">
        <v>8</v>
      </c>
      <c r="CN10" s="3">
        <v>8</v>
      </c>
      <c r="CO10" s="12">
        <f t="shared" si="44"/>
        <v>1</v>
      </c>
      <c r="CP10" s="12">
        <f t="shared" si="45"/>
        <v>4.938271604938237E-4</v>
      </c>
      <c r="CQ10" s="3">
        <v>10</v>
      </c>
      <c r="CR10" s="5">
        <v>10</v>
      </c>
      <c r="CS10" s="12">
        <f t="shared" si="46"/>
        <v>1</v>
      </c>
      <c r="CT10" s="12">
        <f t="shared" si="47"/>
        <v>3.9116049382716054</v>
      </c>
      <c r="CU10" s="3">
        <v>7</v>
      </c>
      <c r="CV10" s="5">
        <v>7</v>
      </c>
      <c r="CW10" s="12">
        <f t="shared" si="48"/>
        <v>1</v>
      </c>
      <c r="CX10" s="12">
        <f t="shared" si="49"/>
        <v>1.044938271604938</v>
      </c>
      <c r="CY10" s="3">
        <v>6</v>
      </c>
      <c r="CZ10" s="5">
        <v>6</v>
      </c>
      <c r="DA10" s="12">
        <f t="shared" si="50"/>
        <v>1</v>
      </c>
      <c r="DB10" s="12">
        <f t="shared" si="51"/>
        <v>4.0893827160493821</v>
      </c>
      <c r="DC10" s="3">
        <v>9</v>
      </c>
      <c r="DD10" s="5">
        <v>9</v>
      </c>
      <c r="DE10" s="12">
        <f t="shared" si="52"/>
        <v>1</v>
      </c>
      <c r="DF10" s="12">
        <f t="shared" si="53"/>
        <v>0.95604938271604956</v>
      </c>
      <c r="DG10" s="3">
        <v>10</v>
      </c>
      <c r="DH10" s="5">
        <v>9</v>
      </c>
      <c r="DI10" s="12">
        <f t="shared" si="54"/>
        <v>0.9</v>
      </c>
      <c r="DJ10" s="12">
        <f t="shared" si="55"/>
        <v>0.95604938271604956</v>
      </c>
      <c r="DK10" s="3">
        <v>10</v>
      </c>
      <c r="DL10" s="5">
        <v>8</v>
      </c>
      <c r="DM10" s="12">
        <f t="shared" si="56"/>
        <v>0.8</v>
      </c>
      <c r="DN10" s="12">
        <f t="shared" si="57"/>
        <v>4.938271604938237E-4</v>
      </c>
      <c r="DO10" s="3">
        <v>10</v>
      </c>
      <c r="DP10" s="5">
        <v>5</v>
      </c>
      <c r="DQ10" s="12">
        <f t="shared" si="58"/>
        <v>0.5</v>
      </c>
      <c r="DR10" s="12">
        <f t="shared" si="59"/>
        <v>9.1338271604938264</v>
      </c>
      <c r="DS10" s="3">
        <v>9</v>
      </c>
      <c r="DT10" s="5">
        <v>9</v>
      </c>
      <c r="DU10" s="12">
        <f t="shared" si="60"/>
        <v>1</v>
      </c>
      <c r="DV10" s="12">
        <f t="shared" si="61"/>
        <v>0.95604938271604956</v>
      </c>
      <c r="DW10" s="3">
        <v>10</v>
      </c>
      <c r="DX10" s="5">
        <v>8</v>
      </c>
      <c r="DY10" s="12">
        <f t="shared" si="62"/>
        <v>0.8</v>
      </c>
      <c r="DZ10" s="12">
        <f t="shared" si="63"/>
        <v>4.938271604938237E-4</v>
      </c>
      <c r="EA10" s="3">
        <v>8</v>
      </c>
      <c r="EB10" s="5">
        <v>7</v>
      </c>
      <c r="EC10" s="12">
        <f t="shared" si="64"/>
        <v>0.875</v>
      </c>
      <c r="ED10" s="12">
        <f t="shared" si="65"/>
        <v>1.044938271604938</v>
      </c>
      <c r="EE10" s="3">
        <v>8</v>
      </c>
      <c r="EF10" s="5">
        <v>8</v>
      </c>
      <c r="EG10" s="12">
        <f t="shared" si="66"/>
        <v>1</v>
      </c>
      <c r="EH10" s="12">
        <f t="shared" si="67"/>
        <v>4.938271604938237E-4</v>
      </c>
      <c r="EI10" s="3">
        <v>9</v>
      </c>
      <c r="EJ10" s="3">
        <v>9</v>
      </c>
      <c r="EK10" s="12">
        <f t="shared" si="68"/>
        <v>1</v>
      </c>
      <c r="EL10" s="12">
        <f t="shared" si="69"/>
        <v>0.95604938271604956</v>
      </c>
      <c r="EM10" s="3">
        <v>9</v>
      </c>
      <c r="EN10" s="3">
        <v>9</v>
      </c>
      <c r="EO10" s="12">
        <f t="shared" si="70"/>
        <v>1</v>
      </c>
      <c r="EP10" s="12">
        <f t="shared" si="71"/>
        <v>0.95604938271604956</v>
      </c>
      <c r="EQ10" s="3">
        <v>10</v>
      </c>
      <c r="ER10" s="5">
        <v>10</v>
      </c>
      <c r="ES10" s="12">
        <f t="shared" si="72"/>
        <v>1</v>
      </c>
      <c r="ET10" s="12">
        <f t="shared" si="73"/>
        <v>3.9116049382716054</v>
      </c>
      <c r="EU10" s="3">
        <v>9</v>
      </c>
      <c r="EV10" s="5">
        <v>8</v>
      </c>
      <c r="EW10" s="12">
        <f t="shared" si="74"/>
        <v>0.88888888888888884</v>
      </c>
      <c r="EX10" s="12">
        <f t="shared" si="75"/>
        <v>4.938271604938237E-4</v>
      </c>
      <c r="EY10" s="3">
        <v>8</v>
      </c>
      <c r="EZ10" s="5">
        <v>7</v>
      </c>
      <c r="FA10" s="12">
        <f t="shared" si="76"/>
        <v>0.875</v>
      </c>
      <c r="FB10" s="12">
        <f t="shared" si="77"/>
        <v>1.044938271604938</v>
      </c>
      <c r="FC10" s="3">
        <v>9</v>
      </c>
      <c r="FD10" s="5">
        <v>9</v>
      </c>
      <c r="FE10" s="12">
        <f t="shared" si="78"/>
        <v>1</v>
      </c>
      <c r="FF10" s="12">
        <f t="shared" si="79"/>
        <v>0.95604938271604956</v>
      </c>
      <c r="FG10" s="3">
        <v>9</v>
      </c>
      <c r="FH10" s="5">
        <v>9</v>
      </c>
      <c r="FI10" s="12">
        <f t="shared" si="80"/>
        <v>1</v>
      </c>
      <c r="FJ10" s="12">
        <f t="shared" si="81"/>
        <v>0.95604938271604956</v>
      </c>
      <c r="FK10" s="3">
        <v>9</v>
      </c>
      <c r="FL10" s="5">
        <v>8</v>
      </c>
      <c r="FM10" s="12">
        <f t="shared" si="82"/>
        <v>0.88888888888888884</v>
      </c>
      <c r="FN10" s="12">
        <f t="shared" si="83"/>
        <v>4.938271604938237E-4</v>
      </c>
      <c r="FO10" s="3">
        <v>10</v>
      </c>
      <c r="FP10" s="5">
        <v>9</v>
      </c>
      <c r="FQ10" s="12">
        <f t="shared" si="84"/>
        <v>0.9</v>
      </c>
      <c r="FR10" s="12">
        <f t="shared" si="85"/>
        <v>0.95604938271604956</v>
      </c>
      <c r="FS10" s="3">
        <v>9</v>
      </c>
      <c r="FT10" s="5">
        <v>9</v>
      </c>
      <c r="FU10" s="12">
        <f t="shared" si="86"/>
        <v>1</v>
      </c>
      <c r="FV10" s="12">
        <f t="shared" si="87"/>
        <v>0.95604938271604956</v>
      </c>
      <c r="FW10" s="3">
        <v>9</v>
      </c>
      <c r="FX10" s="5">
        <v>8</v>
      </c>
      <c r="FY10" s="12">
        <f t="shared" si="88"/>
        <v>0.88888888888888884</v>
      </c>
      <c r="FZ10" s="12">
        <f t="shared" si="89"/>
        <v>4.938271604938237E-4</v>
      </c>
      <c r="GA10" s="3"/>
      <c r="GB10" s="5"/>
      <c r="GC10" s="12"/>
      <c r="GD10" s="12"/>
      <c r="GE10" s="3"/>
      <c r="GF10" s="5"/>
      <c r="GG10" s="12"/>
      <c r="GH10" s="12"/>
      <c r="GI10" s="3"/>
      <c r="GJ10" s="5"/>
      <c r="GK10" s="12"/>
      <c r="GL10" s="12"/>
      <c r="GM10" s="3"/>
      <c r="GN10" s="5"/>
      <c r="GO10" s="12"/>
      <c r="GP10" s="12"/>
      <c r="GQ10" s="3"/>
      <c r="GR10" s="5"/>
      <c r="GS10" s="12"/>
      <c r="GT10" s="12"/>
      <c r="GU10" s="3"/>
      <c r="GV10" s="5"/>
      <c r="GW10" s="12"/>
      <c r="GX10" s="12"/>
      <c r="GY10" s="3"/>
      <c r="GZ10" s="5"/>
      <c r="HA10" s="12"/>
      <c r="HB10" s="12"/>
      <c r="HC10" s="4">
        <f t="shared" si="90"/>
        <v>45</v>
      </c>
      <c r="HD10" s="15">
        <f t="shared" si="91"/>
        <v>93.882716049382708</v>
      </c>
      <c r="HE10" s="15">
        <f t="shared" si="92"/>
        <v>8.0222222222222221</v>
      </c>
      <c r="HF10" s="15">
        <f t="shared" si="93"/>
        <v>1.1830072581516597</v>
      </c>
      <c r="HG10" s="16">
        <f t="shared" si="94"/>
        <v>93.882716049382708</v>
      </c>
      <c r="HH10" s="17" t="s">
        <v>3</v>
      </c>
      <c r="HI10" s="24">
        <f t="shared" si="95"/>
        <v>1.1830072581516597</v>
      </c>
      <c r="HJ10" s="4" t="str">
        <f t="shared" si="96"/>
        <v>отлично</v>
      </c>
      <c r="HK10" s="64"/>
      <c r="HL10" s="32"/>
      <c r="HM10" s="65"/>
      <c r="HN10" s="65"/>
      <c r="HO10" s="64"/>
      <c r="HP10" s="32"/>
      <c r="HQ10" s="65"/>
      <c r="HR10" s="65"/>
      <c r="HS10" s="64"/>
      <c r="HT10" s="32"/>
      <c r="HU10" s="65"/>
      <c r="HV10" s="65"/>
      <c r="HW10" s="64"/>
      <c r="HX10" s="32"/>
      <c r="HY10" s="65"/>
      <c r="HZ10" s="65"/>
      <c r="IA10" s="64"/>
      <c r="IB10" s="32"/>
      <c r="IC10" s="65"/>
      <c r="ID10" s="65"/>
      <c r="IE10" s="64"/>
      <c r="IF10" s="32"/>
      <c r="IG10" s="65"/>
      <c r="IH10" s="65"/>
      <c r="II10" s="64"/>
      <c r="IJ10" s="32"/>
      <c r="IK10" s="65"/>
      <c r="IL10" s="65"/>
      <c r="IM10" s="64"/>
      <c r="IN10" s="32"/>
      <c r="IO10" s="65"/>
      <c r="IP10" s="65"/>
      <c r="IQ10" s="64"/>
      <c r="IR10" s="32"/>
      <c r="IS10" s="65"/>
      <c r="IT10" s="65"/>
      <c r="IU10" s="64"/>
      <c r="IV10" s="32"/>
      <c r="IW10" s="65"/>
      <c r="IX10" s="65"/>
    </row>
    <row r="11" spans="1:258" ht="48" customHeight="1" thickBot="1" x14ac:dyDescent="0.3">
      <c r="A11" s="21">
        <v>9</v>
      </c>
      <c r="B11" s="31" t="s">
        <v>18</v>
      </c>
      <c r="C11" s="3">
        <v>10</v>
      </c>
      <c r="D11" s="5">
        <v>9</v>
      </c>
      <c r="E11" s="8">
        <f t="shared" si="0"/>
        <v>0.9</v>
      </c>
      <c r="F11" s="12">
        <f t="shared" si="1"/>
        <v>0.67604938271605042</v>
      </c>
      <c r="G11" s="3">
        <v>9</v>
      </c>
      <c r="H11" s="3">
        <v>9</v>
      </c>
      <c r="I11" s="12">
        <f t="shared" si="2"/>
        <v>1</v>
      </c>
      <c r="J11" s="12">
        <f t="shared" si="3"/>
        <v>0.67604938271605042</v>
      </c>
      <c r="K11" s="3">
        <v>9</v>
      </c>
      <c r="L11" s="5">
        <v>8</v>
      </c>
      <c r="M11" s="12">
        <f t="shared" si="4"/>
        <v>0.88888888888888884</v>
      </c>
      <c r="N11" s="12">
        <f t="shared" si="5"/>
        <v>3.1604938271604717E-2</v>
      </c>
      <c r="O11" s="3">
        <v>8</v>
      </c>
      <c r="P11" s="5">
        <v>8</v>
      </c>
      <c r="Q11" s="12">
        <f t="shared" si="6"/>
        <v>1</v>
      </c>
      <c r="R11" s="12">
        <f t="shared" si="7"/>
        <v>3.1604938271604717E-2</v>
      </c>
      <c r="S11" s="3">
        <v>8</v>
      </c>
      <c r="T11" s="3">
        <v>8</v>
      </c>
      <c r="U11" s="12">
        <f t="shared" si="8"/>
        <v>1</v>
      </c>
      <c r="V11" s="12">
        <f t="shared" si="9"/>
        <v>3.1604938271604717E-2</v>
      </c>
      <c r="W11" s="3">
        <v>7</v>
      </c>
      <c r="X11" s="5">
        <v>7</v>
      </c>
      <c r="Y11" s="12">
        <f t="shared" si="10"/>
        <v>1</v>
      </c>
      <c r="Z11" s="12">
        <f t="shared" si="11"/>
        <v>1.3871604938271591</v>
      </c>
      <c r="AA11" s="3">
        <v>5</v>
      </c>
      <c r="AB11" s="5">
        <v>5</v>
      </c>
      <c r="AC11" s="12">
        <f t="shared" si="12"/>
        <v>1</v>
      </c>
      <c r="AD11" s="12">
        <f t="shared" si="13"/>
        <v>10.098271604938267</v>
      </c>
      <c r="AE11" s="3">
        <v>9</v>
      </c>
      <c r="AF11" s="5">
        <v>9</v>
      </c>
      <c r="AG11" s="12">
        <f t="shared" si="14"/>
        <v>1</v>
      </c>
      <c r="AH11" s="12">
        <f t="shared" si="15"/>
        <v>0.67604938271605042</v>
      </c>
      <c r="AI11" s="3">
        <v>9</v>
      </c>
      <c r="AJ11" s="3">
        <v>9</v>
      </c>
      <c r="AK11" s="12">
        <f t="shared" si="16"/>
        <v>1</v>
      </c>
      <c r="AL11" s="12">
        <f t="shared" si="17"/>
        <v>0.67604938271605042</v>
      </c>
      <c r="AM11" s="3">
        <v>10</v>
      </c>
      <c r="AN11" s="5">
        <v>8</v>
      </c>
      <c r="AO11" s="12">
        <f t="shared" si="18"/>
        <v>0.8</v>
      </c>
      <c r="AP11" s="12">
        <f t="shared" si="19"/>
        <v>3.1604938271604717E-2</v>
      </c>
      <c r="AQ11" s="3">
        <v>8</v>
      </c>
      <c r="AR11" s="3">
        <v>8</v>
      </c>
      <c r="AS11" s="12">
        <f t="shared" si="20"/>
        <v>1</v>
      </c>
      <c r="AT11" s="12">
        <f t="shared" si="21"/>
        <v>3.1604938271604717E-2</v>
      </c>
      <c r="AU11" s="3">
        <v>10</v>
      </c>
      <c r="AV11" s="5">
        <v>9</v>
      </c>
      <c r="AW11" s="12">
        <f t="shared" si="22"/>
        <v>0.9</v>
      </c>
      <c r="AX11" s="12">
        <f t="shared" si="23"/>
        <v>0.67604938271605042</v>
      </c>
      <c r="AY11" s="3">
        <v>9</v>
      </c>
      <c r="AZ11" s="5">
        <v>9</v>
      </c>
      <c r="BA11" s="12">
        <f t="shared" si="24"/>
        <v>1</v>
      </c>
      <c r="BB11" s="12">
        <f t="shared" si="25"/>
        <v>0.67604938271605042</v>
      </c>
      <c r="BC11" s="3">
        <v>10</v>
      </c>
      <c r="BD11" s="5">
        <v>9</v>
      </c>
      <c r="BE11" s="12">
        <f t="shared" si="26"/>
        <v>0.9</v>
      </c>
      <c r="BF11" s="12">
        <f t="shared" si="27"/>
        <v>0.67604938271605042</v>
      </c>
      <c r="BG11" s="3">
        <v>8</v>
      </c>
      <c r="BH11" s="5">
        <v>8</v>
      </c>
      <c r="BI11" s="12">
        <f t="shared" si="28"/>
        <v>1</v>
      </c>
      <c r="BJ11" s="12">
        <f t="shared" si="29"/>
        <v>3.1604938271604717E-2</v>
      </c>
      <c r="BK11" s="3">
        <v>9</v>
      </c>
      <c r="BL11" s="3">
        <v>9</v>
      </c>
      <c r="BM11" s="12">
        <f t="shared" si="30"/>
        <v>1</v>
      </c>
      <c r="BN11" s="12">
        <f t="shared" si="31"/>
        <v>0.67604938271605042</v>
      </c>
      <c r="BO11" s="3">
        <v>9</v>
      </c>
      <c r="BP11" s="3">
        <v>9</v>
      </c>
      <c r="BQ11" s="12">
        <f t="shared" si="32"/>
        <v>1</v>
      </c>
      <c r="BR11" s="12">
        <f t="shared" si="33"/>
        <v>0.67604938271605042</v>
      </c>
      <c r="BS11" s="3">
        <v>10</v>
      </c>
      <c r="BT11" s="3">
        <v>10</v>
      </c>
      <c r="BU11" s="12">
        <f t="shared" si="34"/>
        <v>1</v>
      </c>
      <c r="BV11" s="12">
        <f t="shared" si="35"/>
        <v>3.320493827160496</v>
      </c>
      <c r="BW11" s="3">
        <v>9</v>
      </c>
      <c r="BX11" s="5">
        <v>8</v>
      </c>
      <c r="BY11" s="12">
        <f t="shared" si="36"/>
        <v>0.88888888888888884</v>
      </c>
      <c r="BZ11" s="12">
        <f t="shared" si="37"/>
        <v>3.1604938271604717E-2</v>
      </c>
      <c r="CA11" s="3">
        <v>10</v>
      </c>
      <c r="CB11" s="3">
        <v>10</v>
      </c>
      <c r="CC11" s="12">
        <f t="shared" si="38"/>
        <v>1</v>
      </c>
      <c r="CD11" s="12">
        <f t="shared" si="39"/>
        <v>3.320493827160496</v>
      </c>
      <c r="CE11" s="3">
        <v>9</v>
      </c>
      <c r="CF11" s="3">
        <v>9</v>
      </c>
      <c r="CG11" s="12">
        <f t="shared" si="40"/>
        <v>1</v>
      </c>
      <c r="CH11" s="12">
        <f t="shared" si="41"/>
        <v>0.67604938271605042</v>
      </c>
      <c r="CI11" s="3">
        <v>7</v>
      </c>
      <c r="CJ11" s="5">
        <v>6</v>
      </c>
      <c r="CK11" s="12">
        <f t="shared" si="42"/>
        <v>0.8571428571428571</v>
      </c>
      <c r="CL11" s="12">
        <f t="shared" si="43"/>
        <v>4.7427160493827136</v>
      </c>
      <c r="CM11" s="3">
        <v>8</v>
      </c>
      <c r="CN11" s="3">
        <v>8</v>
      </c>
      <c r="CO11" s="12">
        <f t="shared" si="44"/>
        <v>1</v>
      </c>
      <c r="CP11" s="12">
        <f t="shared" si="45"/>
        <v>3.1604938271604717E-2</v>
      </c>
      <c r="CQ11" s="3">
        <v>10</v>
      </c>
      <c r="CR11" s="5">
        <v>6</v>
      </c>
      <c r="CS11" s="12">
        <f t="shared" si="46"/>
        <v>0.6</v>
      </c>
      <c r="CT11" s="12">
        <f t="shared" si="47"/>
        <v>4.7427160493827136</v>
      </c>
      <c r="CU11" s="3">
        <v>6</v>
      </c>
      <c r="CV11" s="5">
        <v>6</v>
      </c>
      <c r="CW11" s="12">
        <f t="shared" si="48"/>
        <v>1</v>
      </c>
      <c r="CX11" s="12">
        <f t="shared" si="49"/>
        <v>4.7427160493827136</v>
      </c>
      <c r="CY11" s="3">
        <v>6</v>
      </c>
      <c r="CZ11" s="5">
        <v>6</v>
      </c>
      <c r="DA11" s="12">
        <f t="shared" si="50"/>
        <v>1</v>
      </c>
      <c r="DB11" s="12">
        <f t="shared" si="51"/>
        <v>4.7427160493827136</v>
      </c>
      <c r="DC11" s="3">
        <v>9</v>
      </c>
      <c r="DD11" s="5">
        <v>9</v>
      </c>
      <c r="DE11" s="12">
        <f t="shared" si="52"/>
        <v>1</v>
      </c>
      <c r="DF11" s="12">
        <f t="shared" si="53"/>
        <v>0.67604938271605042</v>
      </c>
      <c r="DG11" s="3">
        <v>10</v>
      </c>
      <c r="DH11" s="5">
        <v>8</v>
      </c>
      <c r="DI11" s="12">
        <f t="shared" si="54"/>
        <v>0.8</v>
      </c>
      <c r="DJ11" s="12">
        <f t="shared" si="55"/>
        <v>3.1604938271604717E-2</v>
      </c>
      <c r="DK11" s="3">
        <v>10</v>
      </c>
      <c r="DL11" s="5">
        <v>8</v>
      </c>
      <c r="DM11" s="12">
        <f t="shared" si="56"/>
        <v>0.8</v>
      </c>
      <c r="DN11" s="12">
        <f t="shared" si="57"/>
        <v>3.1604938271604717E-2</v>
      </c>
      <c r="DO11" s="3">
        <v>10</v>
      </c>
      <c r="DP11" s="5">
        <v>7</v>
      </c>
      <c r="DQ11" s="12">
        <f t="shared" si="58"/>
        <v>0.7</v>
      </c>
      <c r="DR11" s="12">
        <f t="shared" si="59"/>
        <v>1.3871604938271591</v>
      </c>
      <c r="DS11" s="3">
        <v>7</v>
      </c>
      <c r="DT11" s="5">
        <v>7</v>
      </c>
      <c r="DU11" s="12">
        <f t="shared" si="60"/>
        <v>1</v>
      </c>
      <c r="DV11" s="12">
        <f t="shared" si="61"/>
        <v>1.3871604938271591</v>
      </c>
      <c r="DW11" s="3">
        <v>10</v>
      </c>
      <c r="DX11" s="5">
        <v>9</v>
      </c>
      <c r="DY11" s="12">
        <f t="shared" si="62"/>
        <v>0.9</v>
      </c>
      <c r="DZ11" s="12">
        <f t="shared" si="63"/>
        <v>0.67604938271605042</v>
      </c>
      <c r="EA11" s="3">
        <v>10</v>
      </c>
      <c r="EB11" s="5">
        <v>10</v>
      </c>
      <c r="EC11" s="12">
        <f t="shared" si="64"/>
        <v>1</v>
      </c>
      <c r="ED11" s="12">
        <f t="shared" si="65"/>
        <v>3.320493827160496</v>
      </c>
      <c r="EE11" s="3">
        <v>9</v>
      </c>
      <c r="EF11" s="5">
        <v>8</v>
      </c>
      <c r="EG11" s="12">
        <f t="shared" si="66"/>
        <v>0.88888888888888884</v>
      </c>
      <c r="EH11" s="12">
        <f t="shared" si="67"/>
        <v>3.1604938271604717E-2</v>
      </c>
      <c r="EI11" s="3">
        <v>8</v>
      </c>
      <c r="EJ11" s="3">
        <v>8</v>
      </c>
      <c r="EK11" s="12">
        <f t="shared" si="68"/>
        <v>1</v>
      </c>
      <c r="EL11" s="12">
        <f t="shared" si="69"/>
        <v>3.1604938271604717E-2</v>
      </c>
      <c r="EM11" s="3">
        <v>9</v>
      </c>
      <c r="EN11" s="3">
        <v>9</v>
      </c>
      <c r="EO11" s="12">
        <f t="shared" si="70"/>
        <v>1</v>
      </c>
      <c r="EP11" s="12">
        <f t="shared" si="71"/>
        <v>0.67604938271605042</v>
      </c>
      <c r="EQ11" s="3">
        <v>10</v>
      </c>
      <c r="ER11" s="5">
        <v>10</v>
      </c>
      <c r="ES11" s="12">
        <f t="shared" si="72"/>
        <v>1</v>
      </c>
      <c r="ET11" s="12">
        <f t="shared" si="73"/>
        <v>3.320493827160496</v>
      </c>
      <c r="EU11" s="3">
        <v>9</v>
      </c>
      <c r="EV11" s="5">
        <v>9</v>
      </c>
      <c r="EW11" s="12">
        <f t="shared" si="74"/>
        <v>1</v>
      </c>
      <c r="EX11" s="12">
        <f t="shared" si="75"/>
        <v>0.67604938271605042</v>
      </c>
      <c r="EY11" s="3">
        <v>9</v>
      </c>
      <c r="EZ11" s="5">
        <v>6</v>
      </c>
      <c r="FA11" s="12">
        <f t="shared" si="76"/>
        <v>0.66666666666666663</v>
      </c>
      <c r="FB11" s="12">
        <f t="shared" si="77"/>
        <v>4.7427160493827136</v>
      </c>
      <c r="FC11" s="3">
        <v>9</v>
      </c>
      <c r="FD11" s="5">
        <v>9</v>
      </c>
      <c r="FE11" s="12">
        <f t="shared" si="78"/>
        <v>1</v>
      </c>
      <c r="FF11" s="12">
        <f t="shared" si="79"/>
        <v>0.67604938271605042</v>
      </c>
      <c r="FG11" s="3">
        <v>10</v>
      </c>
      <c r="FH11" s="5">
        <v>10</v>
      </c>
      <c r="FI11" s="12">
        <f t="shared" si="80"/>
        <v>1</v>
      </c>
      <c r="FJ11" s="12">
        <f t="shared" si="81"/>
        <v>3.320493827160496</v>
      </c>
      <c r="FK11" s="3">
        <v>9</v>
      </c>
      <c r="FL11" s="5">
        <v>9</v>
      </c>
      <c r="FM11" s="12">
        <f t="shared" si="82"/>
        <v>1</v>
      </c>
      <c r="FN11" s="12">
        <f t="shared" si="83"/>
        <v>0.67604938271605042</v>
      </c>
      <c r="FO11" s="3">
        <v>8</v>
      </c>
      <c r="FP11" s="5">
        <v>7</v>
      </c>
      <c r="FQ11" s="12">
        <f t="shared" si="84"/>
        <v>0.875</v>
      </c>
      <c r="FR11" s="12">
        <f t="shared" si="85"/>
        <v>1.3871604938271591</v>
      </c>
      <c r="FS11" s="3">
        <v>7</v>
      </c>
      <c r="FT11" s="5">
        <v>7</v>
      </c>
      <c r="FU11" s="12">
        <f t="shared" si="86"/>
        <v>1</v>
      </c>
      <c r="FV11" s="12">
        <f t="shared" si="87"/>
        <v>1.3871604938271591</v>
      </c>
      <c r="FW11" s="3">
        <v>8</v>
      </c>
      <c r="FX11" s="5">
        <v>8</v>
      </c>
      <c r="FY11" s="12">
        <f t="shared" si="88"/>
        <v>1</v>
      </c>
      <c r="FZ11" s="12">
        <f t="shared" si="89"/>
        <v>3.1604938271604717E-2</v>
      </c>
      <c r="GA11" s="3"/>
      <c r="GB11" s="5"/>
      <c r="GC11" s="12"/>
      <c r="GD11" s="12"/>
      <c r="GE11" s="3"/>
      <c r="GF11" s="5"/>
      <c r="GG11" s="12"/>
      <c r="GH11" s="12"/>
      <c r="GI11" s="3"/>
      <c r="GJ11" s="5"/>
      <c r="GK11" s="12"/>
      <c r="GL11" s="12"/>
      <c r="GM11" s="3"/>
      <c r="GN11" s="5"/>
      <c r="GO11" s="12"/>
      <c r="GP11" s="12"/>
      <c r="GQ11" s="3"/>
      <c r="GR11" s="5"/>
      <c r="GS11" s="12"/>
      <c r="GT11" s="12"/>
      <c r="GU11" s="3"/>
      <c r="GV11" s="5"/>
      <c r="GW11" s="12"/>
      <c r="GX11" s="12"/>
      <c r="GY11" s="3"/>
      <c r="GZ11" s="5"/>
      <c r="HA11" s="12"/>
      <c r="HB11" s="12"/>
      <c r="HC11" s="4">
        <f t="shared" si="90"/>
        <v>45</v>
      </c>
      <c r="HD11" s="15">
        <f t="shared" si="91"/>
        <v>94.145502645502646</v>
      </c>
      <c r="HE11" s="15">
        <f t="shared" si="92"/>
        <v>8.1777777777777771</v>
      </c>
      <c r="HF11" s="15">
        <f t="shared" si="93"/>
        <v>1.2344839477627689</v>
      </c>
      <c r="HG11" s="19">
        <f t="shared" si="94"/>
        <v>94.145502645502646</v>
      </c>
      <c r="HH11" s="20" t="s">
        <v>3</v>
      </c>
      <c r="HI11" s="25">
        <f t="shared" si="95"/>
        <v>1.2344839477627689</v>
      </c>
      <c r="HJ11" s="4" t="str">
        <f t="shared" si="96"/>
        <v>отлично</v>
      </c>
      <c r="HK11" s="64"/>
      <c r="HL11" s="32"/>
      <c r="HM11" s="65"/>
      <c r="HN11" s="65"/>
      <c r="HO11" s="64"/>
      <c r="HP11" s="32"/>
      <c r="HQ11" s="65"/>
      <c r="HR11" s="65"/>
      <c r="HS11" s="64"/>
      <c r="HT11" s="32"/>
      <c r="HU11" s="65"/>
      <c r="HV11" s="65"/>
      <c r="HW11" s="64"/>
      <c r="HX11" s="32"/>
      <c r="HY11" s="65"/>
      <c r="HZ11" s="65"/>
      <c r="IA11" s="64"/>
      <c r="IB11" s="32"/>
      <c r="IC11" s="65"/>
      <c r="ID11" s="65"/>
      <c r="IE11" s="64"/>
      <c r="IF11" s="32"/>
      <c r="IG11" s="65"/>
      <c r="IH11" s="65"/>
      <c r="II11" s="64"/>
      <c r="IJ11" s="32"/>
      <c r="IK11" s="65"/>
      <c r="IL11" s="65"/>
      <c r="IM11" s="64"/>
      <c r="IN11" s="32"/>
      <c r="IO11" s="65"/>
      <c r="IP11" s="65"/>
      <c r="IQ11" s="64"/>
      <c r="IR11" s="32"/>
      <c r="IS11" s="65"/>
      <c r="IT11" s="65"/>
      <c r="IU11" s="64"/>
      <c r="IV11" s="32"/>
      <c r="IW11" s="65"/>
      <c r="IX11" s="65"/>
    </row>
    <row r="12" spans="1:258" ht="15" hidden="1" customHeight="1" x14ac:dyDescent="0.25">
      <c r="B12" s="27" t="s">
        <v>7</v>
      </c>
      <c r="C12" s="13">
        <f>SUM(C3:C11)</f>
        <v>90</v>
      </c>
      <c r="D12" s="13">
        <f>SUM(D3:D11)</f>
        <v>75</v>
      </c>
      <c r="E12" s="8">
        <f t="shared" si="0"/>
        <v>0.83333333333333337</v>
      </c>
      <c r="F12" s="12">
        <f t="shared" ref="F12:F14" si="97">POWER(D12-FE12,2)</f>
        <v>6.25</v>
      </c>
      <c r="G12" s="13">
        <f>SUM(G3:G11)</f>
        <v>80</v>
      </c>
      <c r="H12" s="13">
        <f>SUM(H3:H11)</f>
        <v>80</v>
      </c>
      <c r="I12" s="12">
        <f t="shared" si="2"/>
        <v>1</v>
      </c>
      <c r="J12" s="12">
        <f t="shared" ref="J12:J14" si="98">POWER(H12-$FE12,2)</f>
        <v>6.25</v>
      </c>
      <c r="K12" s="13"/>
      <c r="L12" s="13"/>
      <c r="M12" s="12" t="e">
        <f t="shared" si="4"/>
        <v>#DIV/0!</v>
      </c>
      <c r="N12" s="12">
        <f t="shared" ref="N12:N14" si="99">POWER(L12-$FE12,2)</f>
        <v>6006.25</v>
      </c>
      <c r="O12" s="13"/>
      <c r="P12" s="13"/>
      <c r="Q12" s="12" t="e">
        <f t="shared" si="6"/>
        <v>#DIV/0!</v>
      </c>
      <c r="R12" s="12">
        <f t="shared" ref="R12:R14" si="100">POWER(P12-$FE12,2)</f>
        <v>6006.25</v>
      </c>
      <c r="S12" s="3"/>
      <c r="T12" s="13"/>
      <c r="U12" s="12" t="e">
        <f t="shared" si="8"/>
        <v>#DIV/0!</v>
      </c>
      <c r="V12" s="12">
        <f t="shared" ref="V12:V14" si="101">POWER(T12-$FE12,2)</f>
        <v>6006.25</v>
      </c>
      <c r="W12" s="3"/>
      <c r="Y12" s="12" t="e">
        <f t="shared" si="10"/>
        <v>#DIV/0!</v>
      </c>
      <c r="Z12" s="12">
        <f t="shared" ref="Z12:Z14" si="102">POWER(X12-$FE12,2)</f>
        <v>6006.25</v>
      </c>
      <c r="AC12" s="12" t="e">
        <f t="shared" si="12"/>
        <v>#DIV/0!</v>
      </c>
      <c r="AD12" s="12">
        <f t="shared" ref="AD12:AD14" si="103">POWER(AB12-$FE12,2)</f>
        <v>6006.25</v>
      </c>
      <c r="AE12" s="3">
        <v>10</v>
      </c>
      <c r="AG12" s="12">
        <f t="shared" si="14"/>
        <v>0</v>
      </c>
      <c r="AH12" s="12">
        <f t="shared" ref="AH12:AH14" si="104">POWER(AF12-$FE12,2)</f>
        <v>6006.25</v>
      </c>
      <c r="AK12" s="12" t="e">
        <f t="shared" si="16"/>
        <v>#DIV/0!</v>
      </c>
      <c r="AL12" s="12">
        <f t="shared" ref="AL12:AL14" si="105">POWER(AJ12-$FE12,2)</f>
        <v>6006.25</v>
      </c>
      <c r="AO12" s="12" t="e">
        <f t="shared" si="18"/>
        <v>#DIV/0!</v>
      </c>
      <c r="AP12" s="12">
        <f t="shared" ref="AP12:AP14" si="106">POWER(AN12-$FE12,2)</f>
        <v>6006.25</v>
      </c>
      <c r="AS12" s="12" t="e">
        <f t="shared" si="20"/>
        <v>#DIV/0!</v>
      </c>
      <c r="AT12" s="12">
        <f t="shared" ref="AT12:AT14" si="107">POWER(AR12-$FE12,2)</f>
        <v>6006.25</v>
      </c>
      <c r="DN12" s="12">
        <f t="shared" ref="DN12:DN14" si="108">POWER(DL12-$FE12,2)</f>
        <v>6006.25</v>
      </c>
      <c r="DO12" s="3">
        <v>10</v>
      </c>
      <c r="FC12" s="4"/>
      <c r="FD12" s="15"/>
      <c r="FE12" s="15">
        <f t="shared" ref="FE12:FE14" si="109">AVERAGE(D12,H12,L12,P12,T12,X12,AB12,AF12,AJ12,AN12,AR12,AV12,AZ12,BD12,BH12,BL12,BP12,BT12,BX12,CB12,CF12,CJ12,CN12,CR12,CV12,CZ12,DD12,DH12,DL12,DP12,DT12,DX12,EB12,EF12,EJ12,EN12,ER12,EV12,EZ12)</f>
        <v>77.5</v>
      </c>
      <c r="FF12" s="15" t="e">
        <f t="shared" ref="FF12:FF14" si="110">SQRT((F12+J12+N12+R12+V12+Z12+AD12+AH12+AL12+AP12+AT12+AX12+BB12+BF12+BJ12++BN12+BR12+BV12+BZ12+CD12+CH12+CL12+CP12+CT12+CX12+DB12+DF12+DJ12+DN12+DR12+DV12+DZ12+ED12+EH12+EL12+EP12+ET12+EX12+FB12)/FC12)</f>
        <v>#DIV/0!</v>
      </c>
      <c r="FG12" s="19">
        <f t="shared" ref="FG12:FG14" si="111">FD12</f>
        <v>0</v>
      </c>
      <c r="FH12" s="17" t="s">
        <v>3</v>
      </c>
      <c r="FI12" s="25" t="e">
        <f t="shared" ref="FI12:FI14" si="112">FF12</f>
        <v>#DIV/0!</v>
      </c>
      <c r="FJ12" s="4" t="str">
        <f t="shared" ref="FJ12:FJ14" si="113">IF(FD12&lt;40,"неудовлетворительно",IF((FD12&gt;=40)*AND(FD12&lt;60),"удовлетворительно",IF((FD12&gt;=60)*AND(FD12&lt;80),"хорошо","отлично")))</f>
        <v>неудовлетворительно</v>
      </c>
      <c r="HC12" s="4">
        <f t="shared" si="90"/>
        <v>5</v>
      </c>
      <c r="HD12" s="15" t="e">
        <f t="shared" si="91"/>
        <v>#DIV/0!</v>
      </c>
    </row>
    <row r="13" spans="1:258" ht="15" hidden="1" customHeight="1" x14ac:dyDescent="0.25">
      <c r="B13" s="27" t="s">
        <v>8</v>
      </c>
      <c r="C13" s="14">
        <f>AVERAGE(C3:C11)</f>
        <v>10</v>
      </c>
      <c r="D13" s="14">
        <f>AVERAGE(D3:D11)</f>
        <v>8.3333333333333339</v>
      </c>
      <c r="E13" s="8">
        <f t="shared" si="0"/>
        <v>0.83333333333333337</v>
      </c>
      <c r="F13" s="12">
        <f t="shared" si="97"/>
        <v>0</v>
      </c>
      <c r="G13" s="14"/>
      <c r="H13" s="14"/>
      <c r="I13" s="12" t="e">
        <f t="shared" si="2"/>
        <v>#DIV/0!</v>
      </c>
      <c r="J13" s="12">
        <f t="shared" si="98"/>
        <v>69.444444444444457</v>
      </c>
      <c r="K13" s="14"/>
      <c r="L13" s="14"/>
      <c r="M13" s="12" t="e">
        <f t="shared" si="4"/>
        <v>#DIV/0!</v>
      </c>
      <c r="N13" s="12">
        <f t="shared" si="99"/>
        <v>69.444444444444457</v>
      </c>
      <c r="O13" s="14"/>
      <c r="P13" s="14"/>
      <c r="Q13" s="12" t="e">
        <f t="shared" si="6"/>
        <v>#DIV/0!</v>
      </c>
      <c r="R13" s="12">
        <f t="shared" si="100"/>
        <v>69.444444444444457</v>
      </c>
      <c r="S13" s="3"/>
      <c r="T13" s="14"/>
      <c r="U13" s="12" t="e">
        <f t="shared" si="8"/>
        <v>#DIV/0!</v>
      </c>
      <c r="V13" s="12">
        <f t="shared" si="101"/>
        <v>69.444444444444457</v>
      </c>
      <c r="W13" s="3"/>
      <c r="Y13" s="12" t="e">
        <f t="shared" si="10"/>
        <v>#DIV/0!</v>
      </c>
      <c r="Z13" s="12">
        <f t="shared" si="102"/>
        <v>69.444444444444457</v>
      </c>
      <c r="AC13" s="12" t="e">
        <f t="shared" si="12"/>
        <v>#DIV/0!</v>
      </c>
      <c r="AD13" s="12">
        <f t="shared" si="103"/>
        <v>69.444444444444457</v>
      </c>
      <c r="AE13" s="3">
        <v>10</v>
      </c>
      <c r="AG13" s="12">
        <f t="shared" si="14"/>
        <v>0</v>
      </c>
      <c r="AH13" s="12">
        <f t="shared" si="104"/>
        <v>69.444444444444457</v>
      </c>
      <c r="AK13" s="12" t="e">
        <f t="shared" si="16"/>
        <v>#DIV/0!</v>
      </c>
      <c r="AL13" s="12">
        <f t="shared" si="105"/>
        <v>69.444444444444457</v>
      </c>
      <c r="AO13" s="12" t="e">
        <f t="shared" si="18"/>
        <v>#DIV/0!</v>
      </c>
      <c r="AP13" s="12">
        <f t="shared" si="106"/>
        <v>69.444444444444457</v>
      </c>
      <c r="AS13" s="12" t="e">
        <f t="shared" si="20"/>
        <v>#DIV/0!</v>
      </c>
      <c r="AT13" s="12">
        <f t="shared" si="107"/>
        <v>69.444444444444457</v>
      </c>
      <c r="DN13" s="12">
        <f t="shared" si="108"/>
        <v>69.444444444444457</v>
      </c>
      <c r="DO13" s="3">
        <v>10</v>
      </c>
      <c r="FC13" s="4"/>
      <c r="FD13" s="15"/>
      <c r="FE13" s="15">
        <f t="shared" si="109"/>
        <v>8.3333333333333339</v>
      </c>
      <c r="FF13" s="15" t="e">
        <f t="shared" si="110"/>
        <v>#DIV/0!</v>
      </c>
      <c r="FG13" s="19">
        <f t="shared" si="111"/>
        <v>0</v>
      </c>
      <c r="FH13" s="17" t="s">
        <v>3</v>
      </c>
      <c r="FI13" s="25" t="e">
        <f t="shared" si="112"/>
        <v>#DIV/0!</v>
      </c>
      <c r="FJ13" s="4" t="str">
        <f t="shared" si="113"/>
        <v>неудовлетворительно</v>
      </c>
      <c r="HC13" s="4">
        <f t="shared" si="90"/>
        <v>4</v>
      </c>
      <c r="HD13" s="15" t="e">
        <f t="shared" si="91"/>
        <v>#DIV/0!</v>
      </c>
    </row>
    <row r="14" spans="1:258" ht="15" hidden="1" customHeight="1" x14ac:dyDescent="0.25">
      <c r="B14" s="28" t="s">
        <v>9</v>
      </c>
      <c r="E14" s="8" t="e">
        <f t="shared" si="0"/>
        <v>#DIV/0!</v>
      </c>
      <c r="F14" s="12" t="e">
        <f t="shared" si="97"/>
        <v>#DIV/0!</v>
      </c>
      <c r="I14" s="12" t="e">
        <f t="shared" si="2"/>
        <v>#DIV/0!</v>
      </c>
      <c r="J14" s="12" t="e">
        <f t="shared" si="98"/>
        <v>#DIV/0!</v>
      </c>
      <c r="M14" s="12" t="e">
        <f t="shared" si="4"/>
        <v>#DIV/0!</v>
      </c>
      <c r="N14" s="12" t="e">
        <f t="shared" si="99"/>
        <v>#DIV/0!</v>
      </c>
      <c r="Q14" s="12" t="e">
        <f t="shared" si="6"/>
        <v>#DIV/0!</v>
      </c>
      <c r="R14" s="12" t="e">
        <f t="shared" si="100"/>
        <v>#DIV/0!</v>
      </c>
      <c r="S14" s="3"/>
      <c r="U14" s="12" t="e">
        <f t="shared" si="8"/>
        <v>#DIV/0!</v>
      </c>
      <c r="V14" s="12" t="e">
        <f t="shared" si="101"/>
        <v>#DIV/0!</v>
      </c>
      <c r="W14" s="3"/>
      <c r="Y14" s="12" t="e">
        <f t="shared" si="10"/>
        <v>#DIV/0!</v>
      </c>
      <c r="Z14" s="12" t="e">
        <f t="shared" si="102"/>
        <v>#DIV/0!</v>
      </c>
      <c r="AC14" s="12" t="e">
        <f t="shared" si="12"/>
        <v>#DIV/0!</v>
      </c>
      <c r="AD14" s="12" t="e">
        <f t="shared" si="103"/>
        <v>#DIV/0!</v>
      </c>
      <c r="AE14" s="3">
        <v>10</v>
      </c>
      <c r="AG14" s="12">
        <f t="shared" si="14"/>
        <v>0</v>
      </c>
      <c r="AH14" s="12" t="e">
        <f t="shared" si="104"/>
        <v>#DIV/0!</v>
      </c>
      <c r="AK14" s="12" t="e">
        <f t="shared" si="16"/>
        <v>#DIV/0!</v>
      </c>
      <c r="AL14" s="12" t="e">
        <f t="shared" si="105"/>
        <v>#DIV/0!</v>
      </c>
      <c r="AO14" s="12" t="e">
        <f t="shared" si="18"/>
        <v>#DIV/0!</v>
      </c>
      <c r="AP14" s="12" t="e">
        <f t="shared" si="106"/>
        <v>#DIV/0!</v>
      </c>
      <c r="AS14" s="12" t="e">
        <f t="shared" si="20"/>
        <v>#DIV/0!</v>
      </c>
      <c r="AT14" s="12" t="e">
        <f t="shared" si="107"/>
        <v>#DIV/0!</v>
      </c>
      <c r="DN14" s="29" t="e">
        <f t="shared" si="108"/>
        <v>#DIV/0!</v>
      </c>
      <c r="DO14" s="3">
        <v>10</v>
      </c>
      <c r="FC14" s="4"/>
      <c r="FD14" s="15"/>
      <c r="FE14" s="15" t="e">
        <f t="shared" si="109"/>
        <v>#DIV/0!</v>
      </c>
      <c r="FF14" s="15" t="e">
        <f t="shared" si="110"/>
        <v>#DIV/0!</v>
      </c>
      <c r="FG14" s="19">
        <f t="shared" si="111"/>
        <v>0</v>
      </c>
      <c r="FH14" s="17" t="s">
        <v>3</v>
      </c>
      <c r="FI14" s="25" t="e">
        <f t="shared" si="112"/>
        <v>#DIV/0!</v>
      </c>
      <c r="FJ14" s="4" t="str">
        <f t="shared" si="113"/>
        <v>неудовлетворительно</v>
      </c>
      <c r="HC14" s="4">
        <f t="shared" si="90"/>
        <v>3</v>
      </c>
      <c r="HD14" s="15" t="e">
        <f t="shared" si="91"/>
        <v>#DIV/0!</v>
      </c>
    </row>
    <row r="15" spans="1:258" ht="43.5" customHeight="1" x14ac:dyDescent="0.25">
      <c r="B15" s="61"/>
      <c r="R15" s="62"/>
      <c r="S15" s="66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FG15" s="2"/>
      <c r="FI15" s="2"/>
      <c r="FJ15" s="2"/>
      <c r="HG15" s="38">
        <f>AVERAGE(HG3:HG11)</f>
        <v>92.976582402508313</v>
      </c>
      <c r="HH15" s="39" t="s">
        <v>3</v>
      </c>
      <c r="HI15" s="40">
        <f>AVERAGE(HI3:HI11)</f>
        <v>1.3447227928003562</v>
      </c>
      <c r="HJ15" s="41" t="str">
        <f>IF(HG15&lt;40,"неудовлетворительно",IF((HG15&gt;=40)*AND(HG15&lt;60),"удовлетворительно",IF((HG15&gt;=60)*AND(HG15&lt;80),"хорошо","отлично")))</f>
        <v>отлично</v>
      </c>
    </row>
    <row r="16" spans="1:258" x14ac:dyDescent="0.25">
      <c r="R16" s="62"/>
      <c r="S16" s="66"/>
      <c r="T16" s="62"/>
      <c r="U16" s="6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62"/>
      <c r="AH16" s="62"/>
      <c r="AI16" s="62"/>
    </row>
    <row r="17" spans="1:170" x14ac:dyDescent="0.25">
      <c r="R17" s="62"/>
      <c r="S17" s="66"/>
      <c r="T17" s="62"/>
      <c r="U17" s="6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62"/>
      <c r="AH17" s="62"/>
      <c r="AI17" s="62"/>
    </row>
    <row r="18" spans="1:170" ht="15.75" x14ac:dyDescent="0.25">
      <c r="R18" s="62"/>
      <c r="S18" s="66"/>
      <c r="T18" s="62"/>
      <c r="U18" s="62"/>
      <c r="V18" s="32"/>
      <c r="W18" s="32"/>
      <c r="X18" s="48"/>
      <c r="Y18" s="48"/>
      <c r="Z18" s="48"/>
      <c r="AA18" s="82"/>
      <c r="AB18" s="82"/>
      <c r="AC18" s="82"/>
      <c r="AD18" s="58"/>
      <c r="AE18" s="32"/>
      <c r="AF18" s="32"/>
      <c r="AG18" s="62"/>
      <c r="AH18" s="62"/>
      <c r="AI18" s="62"/>
    </row>
    <row r="19" spans="1:170" x14ac:dyDescent="0.25">
      <c r="R19" s="62"/>
      <c r="S19" s="66"/>
      <c r="T19" s="62"/>
      <c r="U19" s="62"/>
      <c r="V19" s="32"/>
      <c r="W19" s="32"/>
      <c r="X19" s="33"/>
      <c r="Y19" s="32"/>
      <c r="Z19" s="32"/>
      <c r="AA19" s="34"/>
      <c r="AB19" s="35"/>
      <c r="AC19" s="36"/>
      <c r="AD19" s="32"/>
      <c r="AE19" s="32"/>
      <c r="AF19" s="32"/>
      <c r="AG19" s="62"/>
      <c r="AH19" s="62"/>
      <c r="AI19" s="6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</row>
    <row r="20" spans="1:170" x14ac:dyDescent="0.25">
      <c r="R20" s="62"/>
      <c r="S20" s="66"/>
      <c r="T20" s="62"/>
      <c r="U20" s="62"/>
      <c r="V20" s="32"/>
      <c r="W20" s="32"/>
      <c r="X20" s="33"/>
      <c r="Y20" s="32"/>
      <c r="Z20" s="32"/>
      <c r="AA20" s="34"/>
      <c r="AB20" s="35"/>
      <c r="AC20" s="36"/>
      <c r="AD20" s="32"/>
      <c r="AE20" s="32"/>
      <c r="AF20" s="32"/>
      <c r="AG20" s="62"/>
      <c r="AH20" s="62"/>
      <c r="AI20" s="6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</row>
    <row r="21" spans="1:170" x14ac:dyDescent="0.25">
      <c r="R21" s="62"/>
      <c r="S21" s="66"/>
      <c r="T21" s="62"/>
      <c r="U21" s="62"/>
      <c r="V21" s="32"/>
      <c r="W21" s="32"/>
      <c r="X21" s="33"/>
      <c r="Y21" s="32"/>
      <c r="Z21" s="32"/>
      <c r="AA21" s="34"/>
      <c r="AB21" s="35"/>
      <c r="AC21" s="36"/>
      <c r="AD21" s="32"/>
      <c r="AE21" s="32"/>
      <c r="AF21" s="32"/>
      <c r="AG21" s="62"/>
      <c r="AH21" s="62"/>
      <c r="AI21" s="62"/>
      <c r="FB21" s="32"/>
      <c r="FC21" s="32"/>
      <c r="FD21" s="34"/>
      <c r="FE21" s="32"/>
      <c r="FF21" s="32"/>
      <c r="FG21" s="32"/>
      <c r="FH21" s="32"/>
      <c r="FI21" s="32"/>
      <c r="FJ21" s="32"/>
      <c r="FK21" s="32"/>
      <c r="FL21" s="32"/>
      <c r="FM21" s="32"/>
      <c r="FN21" s="32"/>
    </row>
    <row r="22" spans="1:170" x14ac:dyDescent="0.25">
      <c r="R22" s="62"/>
      <c r="S22" s="66"/>
      <c r="T22" s="62"/>
      <c r="U22" s="62"/>
      <c r="V22" s="32"/>
      <c r="W22" s="32"/>
      <c r="X22" s="33"/>
      <c r="Y22" s="32"/>
      <c r="Z22" s="32"/>
      <c r="AA22" s="34"/>
      <c r="AB22" s="35"/>
      <c r="AC22" s="36"/>
      <c r="AD22" s="32"/>
      <c r="AE22" s="32"/>
      <c r="AF22" s="32"/>
      <c r="AG22" s="62"/>
      <c r="AH22" s="62"/>
      <c r="AI22" s="62"/>
      <c r="FB22" s="32"/>
      <c r="FC22" s="32"/>
      <c r="FD22" s="34"/>
      <c r="FE22" s="32"/>
      <c r="FF22" s="32"/>
      <c r="FG22" s="32"/>
      <c r="FH22" s="32"/>
      <c r="FI22" s="32"/>
      <c r="FJ22" s="32"/>
      <c r="FK22" s="32"/>
      <c r="FL22" s="32"/>
      <c r="FM22" s="32"/>
      <c r="FN22" s="32"/>
    </row>
    <row r="23" spans="1:170" x14ac:dyDescent="0.25">
      <c r="R23" s="62"/>
      <c r="S23" s="66"/>
      <c r="T23" s="62"/>
      <c r="U23" s="62"/>
      <c r="V23" s="32"/>
      <c r="W23" s="32"/>
      <c r="X23" s="33"/>
      <c r="Y23" s="32"/>
      <c r="Z23" s="32"/>
      <c r="AA23" s="34"/>
      <c r="AB23" s="35"/>
      <c r="AC23" s="36"/>
      <c r="AD23" s="32"/>
      <c r="AE23" s="32"/>
      <c r="AF23" s="32"/>
      <c r="AG23" s="62"/>
      <c r="AH23" s="62"/>
      <c r="AI23" s="62"/>
      <c r="FB23" s="32"/>
      <c r="FC23" s="32"/>
      <c r="FD23" s="34"/>
      <c r="FE23" s="32"/>
      <c r="FF23" s="32"/>
      <c r="FG23" s="32"/>
      <c r="FH23" s="32"/>
      <c r="FI23" s="32"/>
      <c r="FJ23" s="32"/>
      <c r="FK23" s="32"/>
      <c r="FL23" s="32"/>
      <c r="FM23" s="32"/>
      <c r="FN23" s="32"/>
    </row>
    <row r="24" spans="1:170" x14ac:dyDescent="0.25">
      <c r="R24" s="62"/>
      <c r="S24" s="66"/>
      <c r="T24" s="62"/>
      <c r="U24" s="62"/>
      <c r="V24" s="32"/>
      <c r="W24" s="32"/>
      <c r="X24" s="33"/>
      <c r="Y24" s="32"/>
      <c r="Z24" s="32"/>
      <c r="AA24" s="34"/>
      <c r="AB24" s="35"/>
      <c r="AC24" s="36"/>
      <c r="AD24" s="32"/>
      <c r="AE24" s="32"/>
      <c r="AF24" s="32"/>
      <c r="AG24" s="62"/>
      <c r="AH24" s="62"/>
      <c r="AI24" s="62"/>
      <c r="FB24" s="32"/>
      <c r="FC24" s="32"/>
      <c r="FD24" s="34"/>
      <c r="FE24" s="32"/>
      <c r="FF24" s="32"/>
      <c r="FG24" s="32"/>
      <c r="FH24" s="32"/>
      <c r="FI24" s="32"/>
      <c r="FJ24" s="32"/>
      <c r="FK24" s="32"/>
      <c r="FL24" s="32"/>
      <c r="FM24" s="32"/>
      <c r="FN24" s="32"/>
    </row>
    <row r="25" spans="1:170" x14ac:dyDescent="0.25">
      <c r="R25" s="62"/>
      <c r="S25" s="66"/>
      <c r="T25" s="62"/>
      <c r="U25" s="62"/>
      <c r="V25" s="32"/>
      <c r="W25" s="32"/>
      <c r="X25" s="33"/>
      <c r="Y25" s="32"/>
      <c r="Z25" s="32"/>
      <c r="AA25" s="34"/>
      <c r="AB25" s="35"/>
      <c r="AC25" s="36"/>
      <c r="AD25" s="32"/>
      <c r="AE25" s="32"/>
      <c r="AF25" s="32"/>
      <c r="AG25" s="62"/>
      <c r="AH25" s="62"/>
      <c r="AI25" s="62"/>
      <c r="FB25" s="32"/>
      <c r="FC25" s="32"/>
      <c r="FD25" s="34"/>
      <c r="FE25" s="32"/>
      <c r="FF25" s="32"/>
      <c r="FG25" s="32"/>
      <c r="FH25" s="32"/>
      <c r="FI25" s="32"/>
      <c r="FJ25" s="32"/>
      <c r="FK25" s="32"/>
      <c r="FL25" s="32"/>
      <c r="FM25" s="32"/>
      <c r="FN25" s="32"/>
    </row>
    <row r="26" spans="1:170" x14ac:dyDescent="0.25">
      <c r="R26" s="62"/>
      <c r="S26" s="66"/>
      <c r="T26" s="62"/>
      <c r="U26" s="62"/>
      <c r="V26" s="32"/>
      <c r="W26" s="32"/>
      <c r="X26" s="33"/>
      <c r="Y26" s="32"/>
      <c r="Z26" s="32"/>
      <c r="AA26" s="34"/>
      <c r="AB26" s="35"/>
      <c r="AC26" s="36"/>
      <c r="AD26" s="32"/>
      <c r="AE26" s="32"/>
      <c r="AF26" s="32"/>
      <c r="AG26" s="62"/>
      <c r="AH26" s="62"/>
      <c r="AI26" s="62"/>
      <c r="FB26" s="32"/>
      <c r="FC26" s="32"/>
      <c r="FD26" s="34"/>
      <c r="FE26" s="32"/>
      <c r="FF26" s="32"/>
      <c r="FG26" s="32"/>
      <c r="FH26" s="32"/>
      <c r="FI26" s="32"/>
      <c r="FJ26" s="32"/>
      <c r="FK26" s="32"/>
      <c r="FL26" s="32"/>
      <c r="FM26" s="32"/>
      <c r="FN26" s="32"/>
    </row>
    <row r="27" spans="1:170" x14ac:dyDescent="0.25">
      <c r="R27" s="62"/>
      <c r="S27" s="66"/>
      <c r="T27" s="62"/>
      <c r="U27" s="62"/>
      <c r="V27" s="32"/>
      <c r="W27" s="32"/>
      <c r="X27" s="33"/>
      <c r="Y27" s="32"/>
      <c r="Z27" s="32"/>
      <c r="AA27" s="34"/>
      <c r="AB27" s="35"/>
      <c r="AC27" s="36"/>
      <c r="AD27" s="32"/>
      <c r="AE27" s="32"/>
      <c r="AF27" s="32"/>
      <c r="AG27" s="62"/>
      <c r="AH27" s="62"/>
      <c r="AI27" s="62"/>
      <c r="FB27" s="32"/>
      <c r="FC27" s="79"/>
      <c r="FD27" s="79"/>
      <c r="FE27" s="79"/>
      <c r="FF27" s="42"/>
      <c r="FG27" s="32"/>
      <c r="FH27" s="32"/>
      <c r="FI27" s="32"/>
      <c r="FJ27" s="32"/>
      <c r="FK27" s="32"/>
      <c r="FL27" s="32"/>
      <c r="FM27" s="32"/>
      <c r="FN27" s="32"/>
    </row>
    <row r="28" spans="1:170" ht="19.5" x14ac:dyDescent="0.35">
      <c r="A28" s="83"/>
      <c r="B28" s="84"/>
      <c r="R28" s="62"/>
      <c r="S28" s="66"/>
      <c r="T28" s="62"/>
      <c r="U28" s="62"/>
      <c r="V28" s="32"/>
      <c r="W28" s="32"/>
      <c r="X28" s="33"/>
      <c r="Y28" s="32"/>
      <c r="Z28" s="32"/>
      <c r="AA28" s="34"/>
      <c r="AB28" s="35"/>
      <c r="AC28" s="36"/>
      <c r="AD28" s="32"/>
      <c r="AE28" s="32"/>
      <c r="AF28" s="32"/>
      <c r="AG28" s="62"/>
      <c r="AH28" s="62"/>
      <c r="AI28" s="62"/>
      <c r="FB28" s="32"/>
      <c r="FC28" s="79"/>
      <c r="FD28" s="79"/>
      <c r="FE28" s="79"/>
      <c r="FF28" s="79"/>
      <c r="FG28" s="43"/>
      <c r="FH28" s="44"/>
      <c r="FI28" s="45"/>
      <c r="FJ28" s="46"/>
      <c r="FK28" s="32"/>
      <c r="FL28" s="32"/>
      <c r="FM28" s="32"/>
      <c r="FN28" s="32"/>
    </row>
    <row r="29" spans="1:170" x14ac:dyDescent="0.25">
      <c r="R29" s="62"/>
      <c r="S29" s="66"/>
      <c r="T29" s="62"/>
      <c r="U29" s="62"/>
      <c r="V29" s="32"/>
      <c r="W29" s="32"/>
      <c r="X29" s="34"/>
      <c r="Y29" s="32"/>
      <c r="Z29" s="32"/>
      <c r="AA29" s="32"/>
      <c r="AB29" s="32"/>
      <c r="AC29" s="32"/>
      <c r="AD29" s="32"/>
      <c r="AE29" s="32"/>
      <c r="AF29" s="32"/>
      <c r="AG29" s="62"/>
      <c r="AH29" s="62"/>
      <c r="AI29" s="6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</row>
    <row r="30" spans="1:170" x14ac:dyDescent="0.25">
      <c r="R30" s="62"/>
      <c r="S30" s="66"/>
      <c r="T30" s="62"/>
      <c r="U30" s="62"/>
      <c r="V30" s="32"/>
      <c r="W30" s="32"/>
      <c r="X30" s="34"/>
      <c r="Y30" s="32"/>
      <c r="Z30" s="32"/>
      <c r="AA30" s="32"/>
      <c r="AB30" s="32"/>
      <c r="AC30" s="32"/>
      <c r="AD30" s="32"/>
      <c r="AE30" s="32"/>
      <c r="AF30" s="32"/>
      <c r="AG30" s="62"/>
      <c r="AH30" s="62"/>
      <c r="AI30" s="62"/>
    </row>
    <row r="31" spans="1:170" x14ac:dyDescent="0.25">
      <c r="R31" s="62"/>
      <c r="S31" s="66"/>
      <c r="T31" s="62"/>
      <c r="U31" s="62"/>
      <c r="V31" s="32"/>
      <c r="W31" s="79"/>
      <c r="X31" s="79"/>
      <c r="Y31" s="79"/>
      <c r="Z31" s="34"/>
      <c r="AA31" s="32"/>
      <c r="AB31" s="32"/>
      <c r="AC31" s="32"/>
      <c r="AD31" s="32"/>
      <c r="AE31" s="32"/>
      <c r="AF31" s="32"/>
      <c r="AG31" s="62"/>
      <c r="AH31" s="62"/>
      <c r="AI31" s="62"/>
    </row>
    <row r="32" spans="1:170" x14ac:dyDescent="0.25">
      <c r="R32" s="62"/>
      <c r="S32" s="66"/>
      <c r="T32" s="62"/>
      <c r="U32" s="62"/>
      <c r="V32" s="32"/>
      <c r="W32" s="79"/>
      <c r="X32" s="79"/>
      <c r="Y32" s="79"/>
      <c r="Z32" s="79"/>
      <c r="AA32" s="43"/>
      <c r="AB32" s="44"/>
      <c r="AC32" s="45"/>
      <c r="AD32" s="46"/>
      <c r="AE32" s="32"/>
      <c r="AF32" s="32"/>
      <c r="AG32" s="62"/>
      <c r="AH32" s="62"/>
      <c r="AI32" s="62"/>
    </row>
    <row r="33" spans="18:35" customFormat="1" x14ac:dyDescent="0.25">
      <c r="R33" s="62"/>
      <c r="S33" s="66"/>
      <c r="T33" s="62"/>
      <c r="U33" s="6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62"/>
      <c r="AH33" s="62"/>
      <c r="AI33" s="62"/>
    </row>
    <row r="34" spans="18:35" customFormat="1" x14ac:dyDescent="0.25">
      <c r="R34" s="62"/>
      <c r="S34" s="66"/>
      <c r="T34" s="62"/>
      <c r="U34" s="6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62"/>
      <c r="AH34" s="62"/>
      <c r="AI34" s="62"/>
    </row>
    <row r="35" spans="18:35" customFormat="1" x14ac:dyDescent="0.25">
      <c r="R35" s="62"/>
      <c r="S35" s="66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</row>
    <row r="36" spans="18:35" customFormat="1" x14ac:dyDescent="0.25">
      <c r="R36" s="62"/>
      <c r="S36" s="66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</row>
    <row r="37" spans="18:35" customFormat="1" x14ac:dyDescent="0.25">
      <c r="R37" s="62"/>
      <c r="S37" s="66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</row>
    <row r="38" spans="18:35" customFormat="1" x14ac:dyDescent="0.25">
      <c r="R38" s="62"/>
      <c r="S38" s="66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</row>
  </sheetData>
  <mergeCells count="8">
    <mergeCell ref="W31:Y31"/>
    <mergeCell ref="W32:Z32"/>
    <mergeCell ref="A1:AI1"/>
    <mergeCell ref="HG2:HI2"/>
    <mergeCell ref="AA18:AC18"/>
    <mergeCell ref="FC27:FE27"/>
    <mergeCell ref="A28:B28"/>
    <mergeCell ref="FC28:FF2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JN874"/>
  <sheetViews>
    <sheetView topLeftCell="IG1" zoomScale="70" zoomScaleNormal="70" workbookViewId="0">
      <selection activeCell="JM3" sqref="JM3:JM11"/>
    </sheetView>
  </sheetViews>
  <sheetFormatPr defaultRowHeight="15" x14ac:dyDescent="0.25"/>
  <cols>
    <col min="1" max="1" width="6.5703125" customWidth="1"/>
    <col min="2" max="2" width="39.28515625" customWidth="1"/>
    <col min="3" max="3" width="4" style="1" customWidth="1"/>
    <col min="4" max="4" width="5.28515625" style="6" customWidth="1"/>
    <col min="5" max="5" width="7.28515625" customWidth="1"/>
    <col min="6" max="6" width="12.85546875" customWidth="1"/>
    <col min="7" max="7" width="4" style="1" customWidth="1"/>
    <col min="8" max="8" width="5.28515625" style="6" customWidth="1"/>
    <col min="9" max="9" width="7.28515625" style="2" customWidth="1"/>
    <col min="10" max="10" width="18" style="2" customWidth="1"/>
    <col min="11" max="11" width="4" style="1" customWidth="1"/>
    <col min="12" max="12" width="5.28515625" style="6" customWidth="1"/>
    <col min="13" max="13" width="7.85546875" style="2" customWidth="1"/>
    <col min="14" max="14" width="9" style="2" customWidth="1"/>
    <col min="15" max="15" width="4.28515625" style="2" customWidth="1"/>
    <col min="16" max="16" width="4.5703125" style="2" customWidth="1"/>
    <col min="17" max="17" width="7.7109375" style="2" customWidth="1"/>
    <col min="18" max="18" width="8.28515625" style="2" customWidth="1"/>
    <col min="19" max="19" width="4" style="1" customWidth="1"/>
    <col min="20" max="20" width="5.28515625" style="6" customWidth="1"/>
    <col min="21" max="21" width="8" style="2" customWidth="1"/>
    <col min="22" max="22" width="8.140625" style="2" customWidth="1"/>
    <col min="23" max="23" width="3.85546875" customWidth="1"/>
    <col min="24" max="24" width="4.28515625" style="11" customWidth="1"/>
    <col min="25" max="25" width="8" style="11" customWidth="1"/>
    <col min="26" max="26" width="8.28515625" customWidth="1"/>
    <col min="27" max="27" width="4.28515625" style="2" customWidth="1"/>
    <col min="28" max="28" width="5" style="2" customWidth="1"/>
    <col min="29" max="30" width="8.42578125" style="2" customWidth="1"/>
    <col min="31" max="31" width="4" customWidth="1"/>
    <col min="32" max="32" width="5.42578125" customWidth="1"/>
    <col min="33" max="33" width="8" customWidth="1"/>
    <col min="34" max="34" width="7.140625" customWidth="1"/>
    <col min="35" max="35" width="5" customWidth="1"/>
    <col min="36" max="36" width="5.140625" customWidth="1"/>
    <col min="37" max="37" width="7.42578125" customWidth="1"/>
    <col min="38" max="38" width="8.5703125" customWidth="1"/>
    <col min="39" max="40" width="4.7109375" customWidth="1"/>
    <col min="41" max="41" width="7.85546875" customWidth="1"/>
    <col min="42" max="42" width="7.5703125" customWidth="1"/>
    <col min="43" max="43" width="4" customWidth="1"/>
    <col min="44" max="44" width="5.5703125" customWidth="1"/>
    <col min="45" max="45" width="8.42578125" customWidth="1"/>
    <col min="46" max="46" width="8.5703125" customWidth="1"/>
    <col min="47" max="47" width="4.140625" customWidth="1"/>
    <col min="48" max="48" width="4.7109375" customWidth="1"/>
    <col min="49" max="49" width="7.5703125" customWidth="1"/>
    <col min="50" max="50" width="8.42578125" customWidth="1"/>
    <col min="51" max="51" width="4.7109375" customWidth="1"/>
    <col min="52" max="52" width="4.85546875" customWidth="1"/>
    <col min="53" max="53" width="7.28515625" customWidth="1"/>
    <col min="54" max="54" width="7.5703125" customWidth="1"/>
    <col min="55" max="55" width="4.42578125" customWidth="1"/>
    <col min="56" max="56" width="4.85546875" customWidth="1"/>
    <col min="57" max="57" width="7.5703125" customWidth="1"/>
    <col min="58" max="58" width="8" customWidth="1"/>
    <col min="59" max="59" width="4.5703125" customWidth="1"/>
    <col min="60" max="60" width="4.85546875" customWidth="1"/>
    <col min="61" max="61" width="7.5703125" customWidth="1"/>
    <col min="62" max="62" width="8.140625" customWidth="1"/>
    <col min="63" max="63" width="4.7109375" customWidth="1"/>
    <col min="64" max="64" width="4.85546875" customWidth="1"/>
    <col min="65" max="65" width="7.7109375" customWidth="1"/>
    <col min="66" max="66" width="8.28515625" customWidth="1"/>
    <col min="67" max="67" width="5.5703125" customWidth="1"/>
    <col min="68" max="68" width="5.42578125" customWidth="1"/>
    <col min="69" max="69" width="8" customWidth="1"/>
    <col min="70" max="70" width="8.28515625" customWidth="1"/>
    <col min="71" max="71" width="4.42578125" customWidth="1"/>
    <col min="72" max="72" width="4.7109375" customWidth="1"/>
    <col min="73" max="73" width="7.7109375" customWidth="1"/>
    <col min="74" max="74" width="9.5703125" customWidth="1"/>
    <col min="75" max="75" width="5" customWidth="1"/>
    <col min="76" max="76" width="5.42578125" customWidth="1"/>
    <col min="77" max="77" width="7.5703125" customWidth="1"/>
    <col min="78" max="78" width="8" customWidth="1"/>
    <col min="79" max="79" width="4.28515625" customWidth="1"/>
    <col min="80" max="80" width="5.5703125" customWidth="1"/>
    <col min="81" max="81" width="7.7109375" customWidth="1"/>
    <col min="82" max="82" width="8" customWidth="1"/>
    <col min="83" max="83" width="4" customWidth="1"/>
    <col min="84" max="84" width="4.5703125" customWidth="1"/>
    <col min="85" max="85" width="7.85546875" customWidth="1"/>
    <col min="86" max="86" width="14.42578125" customWidth="1"/>
    <col min="87" max="87" width="4.140625" customWidth="1"/>
    <col min="88" max="88" width="3.5703125" customWidth="1"/>
    <col min="89" max="89" width="8" customWidth="1"/>
    <col min="90" max="90" width="12.28515625" customWidth="1"/>
    <col min="91" max="91" width="4.85546875" customWidth="1"/>
    <col min="92" max="92" width="5.5703125" customWidth="1"/>
    <col min="93" max="93" width="7.7109375" customWidth="1"/>
    <col min="94" max="94" width="10.85546875" customWidth="1"/>
    <col min="95" max="95" width="3.7109375" customWidth="1"/>
    <col min="96" max="96" width="4" customWidth="1"/>
    <col min="97" max="97" width="8.5703125" customWidth="1"/>
    <col min="98" max="98" width="12.42578125" customWidth="1"/>
    <col min="99" max="99" width="4.7109375" customWidth="1"/>
    <col min="100" max="100" width="4.140625" customWidth="1"/>
    <col min="101" max="101" width="8.28515625" customWidth="1"/>
    <col min="102" max="102" width="7.5703125" customWidth="1"/>
    <col min="103" max="103" width="4.42578125" customWidth="1"/>
    <col min="104" max="104" width="4.140625" customWidth="1"/>
    <col min="105" max="105" width="8" customWidth="1"/>
    <col min="106" max="106" width="9.140625" customWidth="1"/>
    <col min="107" max="107" width="4.42578125" customWidth="1"/>
    <col min="108" max="108" width="5" customWidth="1"/>
    <col min="109" max="109" width="8" customWidth="1"/>
    <col min="110" max="110" width="7.7109375" customWidth="1"/>
    <col min="111" max="111" width="3.85546875" customWidth="1"/>
    <col min="112" max="112" width="4.5703125" customWidth="1"/>
    <col min="113" max="114" width="7.85546875" customWidth="1"/>
    <col min="115" max="115" width="4.140625" customWidth="1"/>
    <col min="116" max="116" width="4" customWidth="1"/>
    <col min="117" max="117" width="9" customWidth="1"/>
    <col min="118" max="118" width="8.28515625" customWidth="1"/>
    <col min="119" max="119" width="3.85546875" customWidth="1"/>
    <col min="120" max="120" width="4.5703125" customWidth="1"/>
    <col min="121" max="121" width="7.5703125" customWidth="1"/>
    <col min="122" max="122" width="7.7109375" customWidth="1"/>
    <col min="123" max="123" width="4" customWidth="1"/>
    <col min="124" max="124" width="4.7109375" customWidth="1"/>
    <col min="125" max="125" width="7.5703125" customWidth="1"/>
    <col min="126" max="126" width="9" customWidth="1"/>
    <col min="127" max="128" width="4.7109375" customWidth="1"/>
    <col min="129" max="129" width="7.42578125" customWidth="1"/>
    <col min="130" max="230" width="8.42578125" customWidth="1"/>
    <col min="231" max="231" width="4.7109375" customWidth="1"/>
    <col min="232" max="232" width="5.42578125" customWidth="1"/>
    <col min="233" max="233" width="7.85546875" customWidth="1"/>
    <col min="234" max="234" width="8.42578125" customWidth="1"/>
    <col min="235" max="235" width="3.7109375" customWidth="1"/>
    <col min="236" max="236" width="4" customWidth="1"/>
    <col min="237" max="237" width="8.28515625" customWidth="1"/>
    <col min="238" max="238" width="8" customWidth="1"/>
    <col min="239" max="239" width="4.42578125" customWidth="1"/>
    <col min="240" max="240" width="5" customWidth="1"/>
    <col min="241" max="241" width="7.5703125" customWidth="1"/>
    <col min="242" max="242" width="9.5703125" customWidth="1"/>
    <col min="243" max="243" width="4.85546875" customWidth="1"/>
    <col min="244" max="244" width="4.7109375" customWidth="1"/>
    <col min="245" max="245" width="7.5703125" customWidth="1"/>
    <col min="246" max="246" width="10.28515625" customWidth="1"/>
    <col min="247" max="248" width="4.7109375" customWidth="1"/>
    <col min="249" max="249" width="8" customWidth="1"/>
    <col min="250" max="250" width="8.42578125" customWidth="1"/>
    <col min="251" max="251" width="4.5703125" customWidth="1"/>
    <col min="252" max="252" width="4.42578125" customWidth="1"/>
    <col min="253" max="253" width="7.5703125" customWidth="1"/>
    <col min="254" max="254" width="8.5703125" customWidth="1"/>
    <col min="255" max="255" width="5" customWidth="1"/>
    <col min="256" max="256" width="4.7109375" customWidth="1"/>
    <col min="257" max="257" width="7.42578125" customWidth="1"/>
    <col min="258" max="258" width="8.85546875" customWidth="1"/>
    <col min="259" max="259" width="4.85546875" customWidth="1"/>
    <col min="260" max="260" width="4.42578125" customWidth="1"/>
    <col min="261" max="261" width="10.42578125" customWidth="1"/>
    <col min="262" max="262" width="15.5703125" customWidth="1"/>
    <col min="263" max="263" width="5.140625" customWidth="1"/>
    <col min="264" max="264" width="5.5703125" customWidth="1"/>
    <col min="265" max="265" width="7.5703125" customWidth="1"/>
    <col min="266" max="266" width="8.85546875" customWidth="1"/>
    <col min="267" max="267" width="7.140625" customWidth="1"/>
    <col min="268" max="268" width="11" customWidth="1"/>
    <col min="269" max="269" width="7.140625" customWidth="1"/>
    <col min="270" max="270" width="8.42578125" customWidth="1"/>
    <col min="271" max="271" width="10.42578125" customWidth="1"/>
    <col min="272" max="273" width="7.140625" customWidth="1"/>
  </cols>
  <sheetData>
    <row r="1" spans="1:274" ht="33.75" customHeight="1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spans="1:274" ht="70.5" customHeight="1" thickBot="1" x14ac:dyDescent="0.3">
      <c r="A2" s="23" t="s">
        <v>4</v>
      </c>
      <c r="B2" s="69" t="s">
        <v>5</v>
      </c>
      <c r="C2" s="3" t="s">
        <v>0</v>
      </c>
      <c r="D2" s="9" t="s">
        <v>2</v>
      </c>
      <c r="E2" s="7" t="s">
        <v>1</v>
      </c>
      <c r="F2" s="7" t="s">
        <v>6</v>
      </c>
      <c r="G2" s="3" t="s">
        <v>0</v>
      </c>
      <c r="H2" s="9" t="s">
        <v>2</v>
      </c>
      <c r="I2" s="7" t="s">
        <v>1</v>
      </c>
      <c r="J2" s="7" t="s">
        <v>6</v>
      </c>
      <c r="K2" s="3" t="s">
        <v>0</v>
      </c>
      <c r="L2" s="9" t="s">
        <v>2</v>
      </c>
      <c r="M2" s="7" t="s">
        <v>1</v>
      </c>
      <c r="N2" s="7" t="s">
        <v>6</v>
      </c>
      <c r="O2" s="3" t="s">
        <v>0</v>
      </c>
      <c r="P2" s="9" t="s">
        <v>2</v>
      </c>
      <c r="Q2" s="7" t="s">
        <v>1</v>
      </c>
      <c r="R2" s="7" t="s">
        <v>6</v>
      </c>
      <c r="S2" s="3" t="s">
        <v>0</v>
      </c>
      <c r="T2" s="9" t="s">
        <v>2</v>
      </c>
      <c r="U2" s="7" t="s">
        <v>1</v>
      </c>
      <c r="V2" s="7" t="s">
        <v>6</v>
      </c>
      <c r="W2" s="3" t="s">
        <v>0</v>
      </c>
      <c r="X2" s="9" t="s">
        <v>2</v>
      </c>
      <c r="Y2" s="7" t="s">
        <v>1</v>
      </c>
      <c r="Z2" s="7" t="s">
        <v>6</v>
      </c>
      <c r="AA2" s="3" t="s">
        <v>0</v>
      </c>
      <c r="AB2" s="9" t="s">
        <v>2</v>
      </c>
      <c r="AC2" s="7" t="s">
        <v>1</v>
      </c>
      <c r="AD2" s="7" t="s">
        <v>6</v>
      </c>
      <c r="AE2" s="3" t="s">
        <v>0</v>
      </c>
      <c r="AF2" s="9" t="s">
        <v>2</v>
      </c>
      <c r="AG2" s="7" t="s">
        <v>1</v>
      </c>
      <c r="AH2" s="7" t="s">
        <v>6</v>
      </c>
      <c r="AI2" s="3" t="s">
        <v>0</v>
      </c>
      <c r="AJ2" s="9" t="s">
        <v>2</v>
      </c>
      <c r="AK2" s="7" t="s">
        <v>1</v>
      </c>
      <c r="AL2" s="7" t="s">
        <v>6</v>
      </c>
      <c r="AM2" s="3" t="s">
        <v>0</v>
      </c>
      <c r="AN2" s="9" t="s">
        <v>2</v>
      </c>
      <c r="AO2" s="7" t="s">
        <v>1</v>
      </c>
      <c r="AP2" s="7" t="s">
        <v>6</v>
      </c>
      <c r="AQ2" s="3" t="s">
        <v>0</v>
      </c>
      <c r="AR2" s="9" t="s">
        <v>2</v>
      </c>
      <c r="AS2" s="7" t="s">
        <v>1</v>
      </c>
      <c r="AT2" s="7" t="s">
        <v>6</v>
      </c>
      <c r="AU2" s="3" t="s">
        <v>0</v>
      </c>
      <c r="AV2" s="9" t="s">
        <v>2</v>
      </c>
      <c r="AW2" s="7" t="s">
        <v>1</v>
      </c>
      <c r="AX2" s="7" t="s">
        <v>6</v>
      </c>
      <c r="AY2" s="3" t="s">
        <v>0</v>
      </c>
      <c r="AZ2" s="9" t="s">
        <v>2</v>
      </c>
      <c r="BA2" s="7" t="s">
        <v>1</v>
      </c>
      <c r="BB2" s="7" t="s">
        <v>6</v>
      </c>
      <c r="BC2" s="3" t="s">
        <v>0</v>
      </c>
      <c r="BD2" s="9" t="s">
        <v>2</v>
      </c>
      <c r="BE2" s="7" t="s">
        <v>1</v>
      </c>
      <c r="BF2" s="7" t="s">
        <v>6</v>
      </c>
      <c r="BG2" s="3" t="s">
        <v>0</v>
      </c>
      <c r="BH2" s="9" t="s">
        <v>2</v>
      </c>
      <c r="BI2" s="7" t="s">
        <v>1</v>
      </c>
      <c r="BJ2" s="7" t="s">
        <v>6</v>
      </c>
      <c r="BK2" s="3" t="s">
        <v>0</v>
      </c>
      <c r="BL2" s="9" t="s">
        <v>2</v>
      </c>
      <c r="BM2" s="7" t="s">
        <v>1</v>
      </c>
      <c r="BN2" s="7" t="s">
        <v>6</v>
      </c>
      <c r="BO2" s="3" t="s">
        <v>0</v>
      </c>
      <c r="BP2" s="9" t="s">
        <v>2</v>
      </c>
      <c r="BQ2" s="7" t="s">
        <v>1</v>
      </c>
      <c r="BR2" s="7" t="s">
        <v>6</v>
      </c>
      <c r="BS2" s="3" t="s">
        <v>0</v>
      </c>
      <c r="BT2" s="9" t="s">
        <v>2</v>
      </c>
      <c r="BU2" s="7" t="s">
        <v>1</v>
      </c>
      <c r="BV2" s="7" t="s">
        <v>6</v>
      </c>
      <c r="BW2" s="3" t="s">
        <v>0</v>
      </c>
      <c r="BX2" s="9" t="s">
        <v>2</v>
      </c>
      <c r="BY2" s="7" t="s">
        <v>1</v>
      </c>
      <c r="BZ2" s="7" t="s">
        <v>6</v>
      </c>
      <c r="CA2" s="3" t="s">
        <v>0</v>
      </c>
      <c r="CB2" s="9" t="s">
        <v>2</v>
      </c>
      <c r="CC2" s="7" t="s">
        <v>1</v>
      </c>
      <c r="CD2" s="7" t="s">
        <v>6</v>
      </c>
      <c r="CE2" s="3" t="s">
        <v>0</v>
      </c>
      <c r="CF2" s="9" t="s">
        <v>2</v>
      </c>
      <c r="CG2" s="7" t="s">
        <v>1</v>
      </c>
      <c r="CH2" s="7" t="s">
        <v>6</v>
      </c>
      <c r="CI2" s="3" t="s">
        <v>0</v>
      </c>
      <c r="CJ2" s="9" t="s">
        <v>2</v>
      </c>
      <c r="CK2" s="7" t="s">
        <v>1</v>
      </c>
      <c r="CL2" s="7" t="s">
        <v>6</v>
      </c>
      <c r="CM2" s="3" t="s">
        <v>0</v>
      </c>
      <c r="CN2" s="9" t="s">
        <v>2</v>
      </c>
      <c r="CO2" s="7" t="s">
        <v>1</v>
      </c>
      <c r="CP2" s="7" t="s">
        <v>6</v>
      </c>
      <c r="CQ2" s="3" t="s">
        <v>0</v>
      </c>
      <c r="CR2" s="9" t="s">
        <v>2</v>
      </c>
      <c r="CS2" s="7" t="s">
        <v>1</v>
      </c>
      <c r="CT2" s="7" t="s">
        <v>6</v>
      </c>
      <c r="CU2" s="3" t="s">
        <v>0</v>
      </c>
      <c r="CV2" s="9" t="s">
        <v>2</v>
      </c>
      <c r="CW2" s="7" t="s">
        <v>1</v>
      </c>
      <c r="CX2" s="7" t="s">
        <v>6</v>
      </c>
      <c r="CY2" s="3" t="s">
        <v>0</v>
      </c>
      <c r="CZ2" s="9" t="s">
        <v>2</v>
      </c>
      <c r="DA2" s="7" t="s">
        <v>1</v>
      </c>
      <c r="DB2" s="7" t="s">
        <v>6</v>
      </c>
      <c r="DC2" s="3" t="s">
        <v>0</v>
      </c>
      <c r="DD2" s="9" t="s">
        <v>2</v>
      </c>
      <c r="DE2" s="7" t="s">
        <v>1</v>
      </c>
      <c r="DF2" s="7" t="s">
        <v>6</v>
      </c>
      <c r="DG2" s="3" t="s">
        <v>0</v>
      </c>
      <c r="DH2" s="9" t="s">
        <v>2</v>
      </c>
      <c r="DI2" s="7" t="s">
        <v>1</v>
      </c>
      <c r="DJ2" s="7" t="s">
        <v>6</v>
      </c>
      <c r="DK2" s="3" t="s">
        <v>0</v>
      </c>
      <c r="DL2" s="9" t="s">
        <v>2</v>
      </c>
      <c r="DM2" s="7" t="s">
        <v>1</v>
      </c>
      <c r="DN2" s="7" t="s">
        <v>6</v>
      </c>
      <c r="DO2" s="3" t="s">
        <v>0</v>
      </c>
      <c r="DP2" s="9" t="s">
        <v>2</v>
      </c>
      <c r="DQ2" s="7" t="s">
        <v>1</v>
      </c>
      <c r="DR2" s="7" t="s">
        <v>6</v>
      </c>
      <c r="DS2" s="3" t="s">
        <v>0</v>
      </c>
      <c r="DT2" s="9" t="s">
        <v>2</v>
      </c>
      <c r="DU2" s="7" t="s">
        <v>1</v>
      </c>
      <c r="DV2" s="7" t="s">
        <v>6</v>
      </c>
      <c r="DW2" s="3" t="s">
        <v>0</v>
      </c>
      <c r="DX2" s="9" t="s">
        <v>2</v>
      </c>
      <c r="DY2" s="7" t="s">
        <v>1</v>
      </c>
      <c r="DZ2" s="7" t="s">
        <v>6</v>
      </c>
      <c r="EA2" s="3" t="s">
        <v>0</v>
      </c>
      <c r="EB2" s="9" t="s">
        <v>2</v>
      </c>
      <c r="EC2" s="7" t="s">
        <v>1</v>
      </c>
      <c r="ED2" s="7" t="s">
        <v>6</v>
      </c>
      <c r="EE2" s="3" t="s">
        <v>0</v>
      </c>
      <c r="EF2" s="9" t="s">
        <v>2</v>
      </c>
      <c r="EG2" s="7" t="s">
        <v>1</v>
      </c>
      <c r="EH2" s="7" t="s">
        <v>6</v>
      </c>
      <c r="EI2" s="3" t="s">
        <v>0</v>
      </c>
      <c r="EJ2" s="9" t="s">
        <v>2</v>
      </c>
      <c r="EK2" s="7" t="s">
        <v>1</v>
      </c>
      <c r="EL2" s="7" t="s">
        <v>6</v>
      </c>
      <c r="EM2" s="3" t="s">
        <v>0</v>
      </c>
      <c r="EN2" s="9" t="s">
        <v>2</v>
      </c>
      <c r="EO2" s="7" t="s">
        <v>1</v>
      </c>
      <c r="EP2" s="7" t="s">
        <v>6</v>
      </c>
      <c r="EQ2" s="3" t="s">
        <v>0</v>
      </c>
      <c r="ER2" s="9" t="s">
        <v>2</v>
      </c>
      <c r="ES2" s="7" t="s">
        <v>1</v>
      </c>
      <c r="ET2" s="7" t="s">
        <v>6</v>
      </c>
      <c r="EU2" s="3" t="s">
        <v>0</v>
      </c>
      <c r="EV2" s="9" t="s">
        <v>2</v>
      </c>
      <c r="EW2" s="7" t="s">
        <v>1</v>
      </c>
      <c r="EX2" s="7" t="s">
        <v>6</v>
      </c>
      <c r="EY2" s="3" t="s">
        <v>0</v>
      </c>
      <c r="EZ2" s="9" t="s">
        <v>2</v>
      </c>
      <c r="FA2" s="7" t="s">
        <v>1</v>
      </c>
      <c r="FB2" s="7" t="s">
        <v>6</v>
      </c>
      <c r="FC2" s="3" t="s">
        <v>0</v>
      </c>
      <c r="FD2" s="9" t="s">
        <v>2</v>
      </c>
      <c r="FE2" s="7" t="s">
        <v>1</v>
      </c>
      <c r="FF2" s="7" t="s">
        <v>6</v>
      </c>
      <c r="FG2" s="3" t="s">
        <v>0</v>
      </c>
      <c r="FH2" s="9" t="s">
        <v>2</v>
      </c>
      <c r="FI2" s="7" t="s">
        <v>1</v>
      </c>
      <c r="FJ2" s="7" t="s">
        <v>6</v>
      </c>
      <c r="FK2" s="3" t="s">
        <v>0</v>
      </c>
      <c r="FL2" s="9" t="s">
        <v>2</v>
      </c>
      <c r="FM2" s="7" t="s">
        <v>1</v>
      </c>
      <c r="FN2" s="7" t="s">
        <v>6</v>
      </c>
      <c r="FO2" s="3" t="s">
        <v>0</v>
      </c>
      <c r="FP2" s="9" t="s">
        <v>2</v>
      </c>
      <c r="FQ2" s="7" t="s">
        <v>1</v>
      </c>
      <c r="FR2" s="7" t="s">
        <v>6</v>
      </c>
      <c r="FS2" s="3" t="s">
        <v>0</v>
      </c>
      <c r="FT2" s="9" t="s">
        <v>2</v>
      </c>
      <c r="FU2" s="7" t="s">
        <v>1</v>
      </c>
      <c r="FV2" s="7" t="s">
        <v>6</v>
      </c>
      <c r="FW2" s="3" t="s">
        <v>0</v>
      </c>
      <c r="FX2" s="9" t="s">
        <v>2</v>
      </c>
      <c r="FY2" s="7" t="s">
        <v>1</v>
      </c>
      <c r="FZ2" s="7" t="s">
        <v>6</v>
      </c>
      <c r="GA2" s="3" t="s">
        <v>0</v>
      </c>
      <c r="GB2" s="9" t="s">
        <v>2</v>
      </c>
      <c r="GC2" s="7" t="s">
        <v>1</v>
      </c>
      <c r="GD2" s="7" t="s">
        <v>6</v>
      </c>
      <c r="GE2" s="3" t="s">
        <v>0</v>
      </c>
      <c r="GF2" s="9" t="s">
        <v>2</v>
      </c>
      <c r="GG2" s="7" t="s">
        <v>1</v>
      </c>
      <c r="GH2" s="7" t="s">
        <v>6</v>
      </c>
      <c r="GI2" s="3" t="s">
        <v>0</v>
      </c>
      <c r="GJ2" s="9" t="s">
        <v>2</v>
      </c>
      <c r="GK2" s="7" t="s">
        <v>1</v>
      </c>
      <c r="GL2" s="7" t="s">
        <v>6</v>
      </c>
      <c r="GM2" s="3" t="s">
        <v>0</v>
      </c>
      <c r="GN2" s="9" t="s">
        <v>2</v>
      </c>
      <c r="GO2" s="7" t="s">
        <v>1</v>
      </c>
      <c r="GP2" s="7" t="s">
        <v>6</v>
      </c>
      <c r="GQ2" s="3" t="s">
        <v>0</v>
      </c>
      <c r="GR2" s="9" t="s">
        <v>2</v>
      </c>
      <c r="GS2" s="7" t="s">
        <v>1</v>
      </c>
      <c r="GT2" s="7" t="s">
        <v>6</v>
      </c>
      <c r="GU2" s="3" t="s">
        <v>0</v>
      </c>
      <c r="GV2" s="9" t="s">
        <v>2</v>
      </c>
      <c r="GW2" s="7" t="s">
        <v>1</v>
      </c>
      <c r="GX2" s="7" t="s">
        <v>6</v>
      </c>
      <c r="GY2" s="3" t="s">
        <v>0</v>
      </c>
      <c r="GZ2" s="9" t="s">
        <v>2</v>
      </c>
      <c r="HA2" s="7" t="s">
        <v>1</v>
      </c>
      <c r="HB2" s="7" t="s">
        <v>6</v>
      </c>
      <c r="HC2" s="3" t="s">
        <v>0</v>
      </c>
      <c r="HD2" s="9" t="s">
        <v>2</v>
      </c>
      <c r="HE2" s="7" t="s">
        <v>1</v>
      </c>
      <c r="HF2" s="7" t="s">
        <v>6</v>
      </c>
      <c r="HG2" s="3" t="s">
        <v>0</v>
      </c>
      <c r="HH2" s="9" t="s">
        <v>2</v>
      </c>
      <c r="HI2" s="7" t="s">
        <v>1</v>
      </c>
      <c r="HJ2" s="7" t="s">
        <v>6</v>
      </c>
      <c r="HK2" s="3" t="s">
        <v>0</v>
      </c>
      <c r="HL2" s="9" t="s">
        <v>2</v>
      </c>
      <c r="HM2" s="7" t="s">
        <v>1</v>
      </c>
      <c r="HN2" s="7" t="s">
        <v>6</v>
      </c>
      <c r="HO2" s="3" t="s">
        <v>0</v>
      </c>
      <c r="HP2" s="9" t="s">
        <v>2</v>
      </c>
      <c r="HQ2" s="7" t="s">
        <v>1</v>
      </c>
      <c r="HR2" s="7" t="s">
        <v>6</v>
      </c>
      <c r="HS2" s="3" t="s">
        <v>0</v>
      </c>
      <c r="HT2" s="9" t="s">
        <v>2</v>
      </c>
      <c r="HU2" s="7" t="s">
        <v>1</v>
      </c>
      <c r="HV2" s="7" t="s">
        <v>6</v>
      </c>
      <c r="HW2" s="3" t="s">
        <v>0</v>
      </c>
      <c r="HX2" s="9" t="s">
        <v>2</v>
      </c>
      <c r="HY2" s="7" t="s">
        <v>1</v>
      </c>
      <c r="HZ2" s="7" t="s">
        <v>6</v>
      </c>
      <c r="IA2" s="3" t="s">
        <v>0</v>
      </c>
      <c r="IB2" s="9" t="s">
        <v>2</v>
      </c>
      <c r="IC2" s="7" t="s">
        <v>1</v>
      </c>
      <c r="ID2" s="7" t="s">
        <v>6</v>
      </c>
      <c r="IE2" s="3" t="s">
        <v>0</v>
      </c>
      <c r="IF2" s="9" t="s">
        <v>2</v>
      </c>
      <c r="IG2" s="7" t="s">
        <v>1</v>
      </c>
      <c r="IH2" s="7" t="s">
        <v>6</v>
      </c>
      <c r="II2" s="3" t="s">
        <v>0</v>
      </c>
      <c r="IJ2" s="9" t="s">
        <v>2</v>
      </c>
      <c r="IK2" s="7" t="s">
        <v>1</v>
      </c>
      <c r="IL2" s="7" t="s">
        <v>6</v>
      </c>
      <c r="IM2" s="3" t="s">
        <v>0</v>
      </c>
      <c r="IN2" s="9" t="s">
        <v>2</v>
      </c>
      <c r="IO2" s="7" t="s">
        <v>1</v>
      </c>
      <c r="IP2" s="7" t="s">
        <v>6</v>
      </c>
      <c r="IQ2" s="3" t="s">
        <v>0</v>
      </c>
      <c r="IR2" s="9" t="s">
        <v>2</v>
      </c>
      <c r="IS2" s="7" t="s">
        <v>1</v>
      </c>
      <c r="IT2" s="7" t="s">
        <v>6</v>
      </c>
      <c r="IU2" s="3" t="s">
        <v>0</v>
      </c>
      <c r="IV2" s="9" t="s">
        <v>2</v>
      </c>
      <c r="IW2" s="7" t="s">
        <v>1</v>
      </c>
      <c r="IX2" s="7" t="s">
        <v>6</v>
      </c>
      <c r="IY2" s="3" t="s">
        <v>0</v>
      </c>
      <c r="IZ2" s="9" t="s">
        <v>2</v>
      </c>
      <c r="JA2" s="7" t="s">
        <v>1</v>
      </c>
      <c r="JB2" s="7" t="s">
        <v>6</v>
      </c>
      <c r="JC2" s="3" t="s">
        <v>0</v>
      </c>
      <c r="JD2" s="9" t="s">
        <v>2</v>
      </c>
      <c r="JE2" s="7" t="s">
        <v>1</v>
      </c>
      <c r="JF2" s="7" t="s">
        <v>6</v>
      </c>
      <c r="JG2" s="49" t="s">
        <v>19</v>
      </c>
      <c r="JH2" s="10" t="s">
        <v>20</v>
      </c>
      <c r="JI2" s="10" t="s">
        <v>21</v>
      </c>
      <c r="JJ2" s="10" t="s">
        <v>22</v>
      </c>
      <c r="JK2" s="81" t="s">
        <v>23</v>
      </c>
      <c r="JL2" s="81"/>
      <c r="JM2" s="81"/>
      <c r="JN2" s="22" t="s">
        <v>24</v>
      </c>
    </row>
    <row r="3" spans="1:274" ht="72" customHeight="1" thickBot="1" x14ac:dyDescent="0.3">
      <c r="A3" s="21">
        <v>1</v>
      </c>
      <c r="B3" s="30" t="s">
        <v>13</v>
      </c>
      <c r="C3" s="3">
        <v>9</v>
      </c>
      <c r="D3" s="3">
        <v>9</v>
      </c>
      <c r="E3" s="12">
        <f>D3/C3</f>
        <v>1</v>
      </c>
      <c r="F3" s="12">
        <f t="shared" ref="F3:F11" si="0">POWER(D3-$JI3,2)</f>
        <v>64.468193218662506</v>
      </c>
      <c r="G3" s="3">
        <v>8</v>
      </c>
      <c r="H3" s="5">
        <v>10</v>
      </c>
      <c r="I3" s="12">
        <f>H3/G3</f>
        <v>1.25</v>
      </c>
      <c r="J3" s="12">
        <f t="shared" ref="J3:J11" si="1">POWER(H3-$JI3,2)</f>
        <v>81.526610727080012</v>
      </c>
      <c r="K3" s="3">
        <v>7</v>
      </c>
      <c r="L3" s="5">
        <v>7</v>
      </c>
      <c r="M3" s="12">
        <f>L3/K3</f>
        <v>1</v>
      </c>
      <c r="N3" s="12">
        <f t="shared" ref="N3:N11" si="2">POWER(L3-$JI3,2)</f>
        <v>36.35135820182748</v>
      </c>
      <c r="O3" s="3">
        <v>10</v>
      </c>
      <c r="P3" s="3">
        <v>8</v>
      </c>
      <c r="Q3" s="12">
        <f>P3/O3</f>
        <v>0.8</v>
      </c>
      <c r="R3" s="12">
        <f t="shared" ref="R3:R11" si="3">POWER(P3-$JI3,2)</f>
        <v>49.409775710244993</v>
      </c>
      <c r="S3" s="3">
        <v>9</v>
      </c>
      <c r="T3" s="3">
        <v>9</v>
      </c>
      <c r="U3" s="12">
        <f>T3/S3</f>
        <v>1</v>
      </c>
      <c r="V3" s="12">
        <f t="shared" ref="V3:V11" si="4">POWER(T3-$JI3,2)</f>
        <v>64.468193218662506</v>
      </c>
      <c r="W3" s="3">
        <v>10</v>
      </c>
      <c r="X3" s="3">
        <v>9</v>
      </c>
      <c r="Y3" s="12">
        <f>X3/W3</f>
        <v>0.9</v>
      </c>
      <c r="Z3" s="12">
        <f t="shared" ref="Z3:Z11" si="5">POWER(X3-$JI3,2)</f>
        <v>64.468193218662506</v>
      </c>
      <c r="AA3" s="3">
        <v>9</v>
      </c>
      <c r="AB3" s="3">
        <v>9</v>
      </c>
      <c r="AC3" s="12">
        <f>AB3/AA3</f>
        <v>1</v>
      </c>
      <c r="AD3" s="12">
        <f t="shared" ref="AD3:AD11" si="6">POWER(AB3-$JI3,2)</f>
        <v>64.468193218662506</v>
      </c>
      <c r="AE3" s="3">
        <v>8</v>
      </c>
      <c r="AF3" s="5">
        <v>10</v>
      </c>
      <c r="AG3" s="12">
        <f>AF3/AE3</f>
        <v>1.25</v>
      </c>
      <c r="AH3" s="12">
        <f t="shared" ref="AH3:AH11" si="7">POWER(AF3-$JI3,2)</f>
        <v>81.526610727080012</v>
      </c>
      <c r="AI3" s="3">
        <v>10</v>
      </c>
      <c r="AJ3" s="5">
        <v>10</v>
      </c>
      <c r="AK3" s="12">
        <f>AJ3/AI3</f>
        <v>1</v>
      </c>
      <c r="AL3" s="12">
        <f t="shared" ref="AL3:AL11" si="8">POWER(AJ3-$JI3,2)</f>
        <v>81.526610727080012</v>
      </c>
      <c r="AM3" s="3">
        <v>9</v>
      </c>
      <c r="AN3" s="5">
        <v>9</v>
      </c>
      <c r="AO3" s="12">
        <f>AN3/AM3</f>
        <v>1</v>
      </c>
      <c r="AP3" s="12">
        <f t="shared" ref="AP3:AP11" si="9">POWER(AN3-$JI3,2)</f>
        <v>64.468193218662506</v>
      </c>
      <c r="AQ3" s="3">
        <v>9</v>
      </c>
      <c r="AR3" s="5">
        <v>9</v>
      </c>
      <c r="AS3" s="12">
        <f>AR3/AQ3</f>
        <v>1</v>
      </c>
      <c r="AT3" s="12">
        <f t="shared" ref="AT3:AT11" si="10">POWER(AR3-$JI3,2)</f>
        <v>64.468193218662506</v>
      </c>
      <c r="AU3" s="3">
        <v>9</v>
      </c>
      <c r="AV3" s="5">
        <v>9</v>
      </c>
      <c r="AW3" s="12">
        <f>AV3/AU3</f>
        <v>1</v>
      </c>
      <c r="AX3" s="12">
        <f t="shared" ref="AX3:AX11" si="11">POWER(AV3-$JI3,2)</f>
        <v>64.468193218662506</v>
      </c>
      <c r="AY3" s="3">
        <v>9</v>
      </c>
      <c r="AZ3" s="5">
        <v>9</v>
      </c>
      <c r="BA3" s="12">
        <f>AZ3/AY3</f>
        <v>1</v>
      </c>
      <c r="BB3" s="12">
        <f t="shared" ref="BB3:BB11" si="12">POWER(AZ3-$JI3,2)</f>
        <v>64.468193218662506</v>
      </c>
      <c r="BC3" s="3">
        <v>9</v>
      </c>
      <c r="BD3" s="3">
        <v>9</v>
      </c>
      <c r="BE3" s="12">
        <f>BD3/BC3</f>
        <v>1</v>
      </c>
      <c r="BF3" s="12">
        <f t="shared" ref="BF3:BF11" si="13">POWER(BD3-$JI3,2)</f>
        <v>64.468193218662506</v>
      </c>
      <c r="BG3" s="3">
        <v>8</v>
      </c>
      <c r="BH3" s="5">
        <v>8</v>
      </c>
      <c r="BI3" s="12">
        <f>BH3/BG3</f>
        <v>1</v>
      </c>
      <c r="BJ3" s="12">
        <f t="shared" ref="BJ3:BJ15" si="14">POWER(BH3-$JI3,2)</f>
        <v>49.409775710244993</v>
      </c>
      <c r="BK3" s="3">
        <v>9</v>
      </c>
      <c r="BL3" s="5">
        <v>9</v>
      </c>
      <c r="BM3" s="12">
        <f>BL3/BK3</f>
        <v>1</v>
      </c>
      <c r="BN3" s="12">
        <f t="shared" ref="BN3:BN11" si="15">POWER(BL3-$JI3,2)</f>
        <v>64.468193218662506</v>
      </c>
      <c r="BO3" s="3">
        <v>9</v>
      </c>
      <c r="BP3" s="5">
        <v>10</v>
      </c>
      <c r="BQ3" s="12">
        <f>BP3/BO3</f>
        <v>1.1111111111111112</v>
      </c>
      <c r="BR3" s="12">
        <f t="shared" ref="BR3:BR11" si="16">POWER(BP3-$JI3,2)</f>
        <v>81.526610727080012</v>
      </c>
      <c r="BS3" s="3">
        <v>10</v>
      </c>
      <c r="BT3" s="5">
        <v>10</v>
      </c>
      <c r="BU3" s="12">
        <f>BT3/BS3</f>
        <v>1</v>
      </c>
      <c r="BV3" s="12">
        <f t="shared" ref="BV3:BV11" si="17">POWER(BT3-$JI3,2)</f>
        <v>81.526610727080012</v>
      </c>
      <c r="BW3" s="3">
        <v>9</v>
      </c>
      <c r="BX3" s="5">
        <v>9</v>
      </c>
      <c r="BY3" s="12">
        <f>BX3/BW3</f>
        <v>1</v>
      </c>
      <c r="BZ3" s="12">
        <f t="shared" ref="BZ3:BZ11" si="18">POWER(BX3-$JI3,2)</f>
        <v>64.468193218662506</v>
      </c>
      <c r="CA3" s="3">
        <v>10</v>
      </c>
      <c r="CB3" s="3">
        <v>10</v>
      </c>
      <c r="CC3" s="12">
        <f>CB3/CA3</f>
        <v>1</v>
      </c>
      <c r="CD3" s="12">
        <f t="shared" ref="CD3:CD11" si="19">POWER(CB3-$JI3,2)</f>
        <v>81.526610727080012</v>
      </c>
      <c r="CE3" s="3">
        <v>9</v>
      </c>
      <c r="CF3" s="5">
        <v>9</v>
      </c>
      <c r="CG3" s="12">
        <f>CF3/CE3</f>
        <v>1</v>
      </c>
      <c r="CH3" s="12">
        <f t="shared" ref="CH3:CH11" si="20">POWER(CF3-$JI3,2)</f>
        <v>64.468193218662506</v>
      </c>
      <c r="CI3" s="3">
        <v>9</v>
      </c>
      <c r="CJ3" s="3">
        <v>10</v>
      </c>
      <c r="CK3" s="12">
        <f>CJ3/CI3</f>
        <v>1.1111111111111112</v>
      </c>
      <c r="CL3" s="12">
        <f t="shared" ref="CL3:CL11" si="21">POWER(CJ3-$JI3,2)</f>
        <v>81.526610727080012</v>
      </c>
      <c r="CM3" s="3">
        <v>9</v>
      </c>
      <c r="CN3" s="5">
        <v>9</v>
      </c>
      <c r="CO3" s="12">
        <f>CN3/CM3</f>
        <v>1</v>
      </c>
      <c r="CP3" s="12">
        <f t="shared" ref="CP3:CP11" si="22">POWER(CN3-$JI3,2)</f>
        <v>64.468193218662506</v>
      </c>
      <c r="CQ3" s="3">
        <v>9</v>
      </c>
      <c r="CR3" s="3">
        <v>9</v>
      </c>
      <c r="CS3" s="12">
        <f>CR3/CQ3</f>
        <v>1</v>
      </c>
      <c r="CT3" s="12">
        <f t="shared" ref="CT3:CT15" si="23">POWER(CR3-$JI3,2)</f>
        <v>64.468193218662506</v>
      </c>
      <c r="CU3" s="3">
        <v>9</v>
      </c>
      <c r="CV3" s="3">
        <v>9</v>
      </c>
      <c r="CW3" s="12">
        <f>CV3/CU3</f>
        <v>1</v>
      </c>
      <c r="CX3" s="12">
        <f t="shared" ref="CX3:CX11" si="24">POWER(CV3-$JI3,2)</f>
        <v>64.468193218662506</v>
      </c>
      <c r="CY3" s="3">
        <v>3</v>
      </c>
      <c r="CZ3" s="5">
        <v>3</v>
      </c>
      <c r="DA3" s="12">
        <f>CZ3/CY3</f>
        <v>1</v>
      </c>
      <c r="DB3" s="12">
        <f t="shared" ref="DB3:DB15" si="25">POWER(CZ3-$JI3,2)</f>
        <v>4.1176881681574464</v>
      </c>
      <c r="DC3" s="3">
        <v>9</v>
      </c>
      <c r="DD3" s="3">
        <v>8</v>
      </c>
      <c r="DE3" s="12">
        <f>DD3/DC3</f>
        <v>0.88888888888888884</v>
      </c>
      <c r="DF3" s="12">
        <f t="shared" ref="DF3:DF11" si="26">POWER(DD3-$JI3,2)</f>
        <v>49.409775710244993</v>
      </c>
      <c r="DG3" s="3">
        <v>10</v>
      </c>
      <c r="DH3" s="5">
        <v>9</v>
      </c>
      <c r="DI3" s="12">
        <f>DH3/DG3</f>
        <v>0.9</v>
      </c>
      <c r="DJ3" s="12">
        <f t="shared" ref="DJ3:DJ11" si="27">POWER(DH3-$JI3,2)</f>
        <v>64.468193218662506</v>
      </c>
      <c r="DK3" s="3">
        <v>9</v>
      </c>
      <c r="DL3" s="3">
        <v>9</v>
      </c>
      <c r="DM3" s="12">
        <f>DL3/DK3</f>
        <v>1</v>
      </c>
      <c r="DN3" s="12">
        <f t="shared" ref="DN3:DN11" si="28">POWER(DL3-$JI3,2)</f>
        <v>64.468193218662506</v>
      </c>
      <c r="DO3" s="3">
        <v>8</v>
      </c>
      <c r="DP3" s="5">
        <v>8</v>
      </c>
      <c r="DQ3" s="12">
        <f>DP3/DO3</f>
        <v>1</v>
      </c>
      <c r="DR3" s="12">
        <f t="shared" ref="DR3:DR11" si="29">POWER(DP3-$JI3,2)</f>
        <v>49.409775710244993</v>
      </c>
      <c r="DS3" s="3">
        <v>8</v>
      </c>
      <c r="DT3" s="3">
        <v>8</v>
      </c>
      <c r="DU3" s="12">
        <f>DT3/DS3</f>
        <v>1</v>
      </c>
      <c r="DV3" s="12">
        <f t="shared" ref="DV3:DV11" si="30">POWER(DT3-$JI3,2)</f>
        <v>49.409775710244993</v>
      </c>
      <c r="DW3" s="3">
        <v>8</v>
      </c>
      <c r="DX3" s="3">
        <v>8</v>
      </c>
      <c r="DY3" s="12">
        <f>DX3/DW3</f>
        <v>1</v>
      </c>
      <c r="DZ3" s="12">
        <f t="shared" ref="DZ3:DZ11" si="31">POWER(DX3-$JI3,2)</f>
        <v>49.409775710244993</v>
      </c>
      <c r="EA3" s="3">
        <v>7</v>
      </c>
      <c r="EB3" s="3">
        <v>7</v>
      </c>
      <c r="EC3" s="12">
        <f t="shared" ref="EC3:EC11" si="32">EB3/EA3</f>
        <v>1</v>
      </c>
      <c r="ED3" s="12">
        <f t="shared" ref="ED3:ED11" si="33">POWER(EB3-$JI3,2)</f>
        <v>36.35135820182748</v>
      </c>
      <c r="EE3" s="3">
        <v>8</v>
      </c>
      <c r="EF3" s="3">
        <v>8</v>
      </c>
      <c r="EG3" s="12">
        <f t="shared" ref="EG3:EG11" si="34">EF3/EE3</f>
        <v>1</v>
      </c>
      <c r="EH3" s="12">
        <f t="shared" ref="EH3:EH11" si="35">POWER(EF3-$JI3,2)</f>
        <v>49.409775710244993</v>
      </c>
      <c r="EI3" s="3">
        <v>10</v>
      </c>
      <c r="EJ3" s="3">
        <v>10</v>
      </c>
      <c r="EK3" s="12">
        <f t="shared" ref="EK3:EK11" si="36">EJ3/EI3</f>
        <v>1</v>
      </c>
      <c r="EL3" s="12">
        <f t="shared" ref="EL3:EL11" si="37">POWER(EJ3-$JI3,2)</f>
        <v>81.526610727080012</v>
      </c>
      <c r="EM3" s="3">
        <v>7</v>
      </c>
      <c r="EN3" s="3">
        <v>7</v>
      </c>
      <c r="EO3" s="12">
        <f t="shared" ref="EO3:EO11" si="38">EN3/EM3</f>
        <v>1</v>
      </c>
      <c r="EP3" s="12">
        <f t="shared" ref="EP3:EP11" si="39">POWER(EN3-$JI3,2)</f>
        <v>36.35135820182748</v>
      </c>
      <c r="EQ3" s="3">
        <v>7</v>
      </c>
      <c r="ER3" s="3">
        <v>6</v>
      </c>
      <c r="ES3" s="12">
        <f t="shared" ref="ES3:ES11" si="40">ER3/EQ3</f>
        <v>0.8571428571428571</v>
      </c>
      <c r="ET3" s="12">
        <f t="shared" ref="ET3:ET11" si="41">POWER(ER3-$JI3,2)</f>
        <v>25.292940693409975</v>
      </c>
      <c r="EU3" s="3">
        <v>8</v>
      </c>
      <c r="EV3" s="3">
        <v>7</v>
      </c>
      <c r="EW3" s="12">
        <f t="shared" ref="EW3:EW11" si="42">EV3/EU3</f>
        <v>0.875</v>
      </c>
      <c r="EX3" s="12">
        <f t="shared" ref="EX3:EX11" si="43">POWER(EV3-$JI3,2)</f>
        <v>36.35135820182748</v>
      </c>
      <c r="EY3" s="3">
        <v>8</v>
      </c>
      <c r="EZ3" s="3">
        <v>8</v>
      </c>
      <c r="FA3" s="12">
        <f t="shared" ref="FA3:FA11" si="44">EZ3/EY3</f>
        <v>1</v>
      </c>
      <c r="FB3" s="12">
        <f t="shared" ref="FB3:FB11" si="45">POWER(EZ3-$JI3,2)</f>
        <v>49.409775710244993</v>
      </c>
      <c r="FC3" s="3">
        <v>7</v>
      </c>
      <c r="FD3" s="3">
        <v>6</v>
      </c>
      <c r="FE3" s="12">
        <f t="shared" ref="FE3:FE11" si="46">FD3/FC3</f>
        <v>0.8571428571428571</v>
      </c>
      <c r="FF3" s="12">
        <f t="shared" ref="FF3:FF11" si="47">POWER(FD3-$JI3,2)</f>
        <v>25.292940693409975</v>
      </c>
      <c r="FG3" s="3">
        <v>7</v>
      </c>
      <c r="FH3" s="3">
        <v>7</v>
      </c>
      <c r="FI3" s="12">
        <f t="shared" ref="FI3:FI11" si="48">FH3/FG3</f>
        <v>1</v>
      </c>
      <c r="FJ3" s="12">
        <f t="shared" ref="FJ3:FJ11" si="49">POWER(FH3-$JI3,2)</f>
        <v>36.35135820182748</v>
      </c>
      <c r="FK3" s="3">
        <v>9</v>
      </c>
      <c r="FL3" s="3">
        <v>8</v>
      </c>
      <c r="FM3" s="12">
        <f t="shared" ref="FM3:FM11" si="50">FL3/FK3</f>
        <v>0.88888888888888884</v>
      </c>
      <c r="FN3" s="12">
        <f t="shared" ref="FN3:FN11" si="51">POWER(FL3-$JI3,2)</f>
        <v>49.409775710244993</v>
      </c>
      <c r="FO3" s="3">
        <v>8</v>
      </c>
      <c r="FP3" s="3">
        <v>7</v>
      </c>
      <c r="FQ3" s="12">
        <f t="shared" ref="FQ3:FQ11" si="52">FP3/FO3</f>
        <v>0.875</v>
      </c>
      <c r="FR3" s="12">
        <f t="shared" ref="FR3:FR11" si="53">POWER(FP3-$JI3,2)</f>
        <v>36.35135820182748</v>
      </c>
      <c r="FS3" s="3">
        <v>8</v>
      </c>
      <c r="FT3" s="3">
        <v>8</v>
      </c>
      <c r="FU3" s="12">
        <f t="shared" ref="FU3:FU11" si="54">FT3/FS3</f>
        <v>1</v>
      </c>
      <c r="FV3" s="12">
        <f t="shared" ref="FV3:FV11" si="55">POWER(FT3-$JI3,2)</f>
        <v>49.409775710244993</v>
      </c>
      <c r="FW3" s="3">
        <v>8</v>
      </c>
      <c r="FX3" s="3">
        <v>8</v>
      </c>
      <c r="FY3" s="12">
        <f t="shared" ref="FY3:FY11" si="56">FX3/FW3</f>
        <v>1</v>
      </c>
      <c r="FZ3" s="12">
        <f t="shared" ref="FZ3:FZ11" si="57">POWER(FX3-$JI3,2)</f>
        <v>49.409775710244993</v>
      </c>
      <c r="GA3" s="3">
        <v>8</v>
      </c>
      <c r="GB3" s="3">
        <v>8</v>
      </c>
      <c r="GC3" s="12">
        <f t="shared" ref="GC3:GC11" si="58">GB3/GA3</f>
        <v>1</v>
      </c>
      <c r="GD3" s="12">
        <f t="shared" ref="GD3:GD11" si="59">POWER(GB3-$JI3,2)</f>
        <v>49.409775710244993</v>
      </c>
      <c r="GE3" s="3">
        <v>8</v>
      </c>
      <c r="GF3" s="3">
        <v>7</v>
      </c>
      <c r="GG3" s="12">
        <f t="shared" ref="GG3:GG11" si="60">GF3/GE3</f>
        <v>0.875</v>
      </c>
      <c r="GH3" s="12">
        <f t="shared" ref="GH3:GH11" si="61">POWER(GF3-$JI3,2)</f>
        <v>36.35135820182748</v>
      </c>
      <c r="GI3" s="3">
        <v>9</v>
      </c>
      <c r="GJ3" s="3">
        <v>9</v>
      </c>
      <c r="GK3" s="12">
        <f t="shared" ref="GK3:GK11" si="62">GJ3/GI3</f>
        <v>1</v>
      </c>
      <c r="GL3" s="12">
        <f t="shared" ref="GL3:GL11" si="63">POWER(GJ3-$JI3,2)</f>
        <v>64.468193218662506</v>
      </c>
      <c r="GM3" s="3">
        <v>8</v>
      </c>
      <c r="GN3" s="3">
        <v>8</v>
      </c>
      <c r="GO3" s="12">
        <f t="shared" ref="GO3:GO11" si="64">GN3/GM3</f>
        <v>1</v>
      </c>
      <c r="GP3" s="12">
        <f t="shared" ref="GP3:GP11" si="65">POWER(GN3-$JI3,2)</f>
        <v>49.409775710244993</v>
      </c>
      <c r="GQ3" s="3">
        <v>8</v>
      </c>
      <c r="GR3" s="3">
        <v>7</v>
      </c>
      <c r="GS3" s="12">
        <f t="shared" ref="GS3:GS11" si="66">GR3/GQ3</f>
        <v>0.875</v>
      </c>
      <c r="GT3" s="12">
        <f t="shared" ref="GT3:GT11" si="67">POWER(GR3-$JI3,2)</f>
        <v>36.35135820182748</v>
      </c>
      <c r="GU3" s="3">
        <v>7</v>
      </c>
      <c r="GV3" s="3">
        <v>7</v>
      </c>
      <c r="GW3" s="12">
        <f t="shared" ref="GW3:GW11" si="68">GV3/GU3</f>
        <v>1</v>
      </c>
      <c r="GX3" s="12">
        <f t="shared" ref="GX3:GX11" si="69">POWER(GV3-$JI3,2)</f>
        <v>36.35135820182748</v>
      </c>
      <c r="GY3" s="3">
        <v>9</v>
      </c>
      <c r="GZ3" s="3">
        <v>9</v>
      </c>
      <c r="HA3" s="12">
        <f t="shared" ref="HA3:HA11" si="70">GZ3/GY3</f>
        <v>1</v>
      </c>
      <c r="HB3" s="12">
        <f t="shared" ref="HB3:HB11" si="71">POWER(GZ3-$JI3,2)</f>
        <v>64.468193218662506</v>
      </c>
      <c r="HC3" s="3">
        <v>10</v>
      </c>
      <c r="HD3" s="3">
        <v>10</v>
      </c>
      <c r="HE3" s="12">
        <f t="shared" ref="HE3:HE11" si="72">HD3/HC3</f>
        <v>1</v>
      </c>
      <c r="HF3" s="12">
        <f t="shared" ref="HF3:HF11" si="73">POWER(HD3-$JI3,2)</f>
        <v>81.526610727080012</v>
      </c>
      <c r="HG3" s="3">
        <v>10</v>
      </c>
      <c r="HH3" s="3">
        <v>10</v>
      </c>
      <c r="HI3" s="12">
        <f t="shared" ref="HI3:HI11" si="74">HH3/HG3</f>
        <v>1</v>
      </c>
      <c r="HJ3" s="12">
        <f t="shared" ref="HJ3:HJ11" si="75">POWER(HH3-$JI3,2)</f>
        <v>81.526610727080012</v>
      </c>
      <c r="HK3" s="3">
        <v>7</v>
      </c>
      <c r="HL3" s="3">
        <v>7</v>
      </c>
      <c r="HM3" s="12">
        <f t="shared" ref="HM3:HM11" si="76">HL3/HK3</f>
        <v>1</v>
      </c>
      <c r="HN3" s="12">
        <f t="shared" ref="HN3:HN11" si="77">POWER(HL3-$JI3,2)</f>
        <v>36.35135820182748</v>
      </c>
      <c r="HO3" s="3">
        <v>7</v>
      </c>
      <c r="HP3" s="3">
        <v>6</v>
      </c>
      <c r="HQ3" s="12">
        <f t="shared" ref="HQ3:HQ11" si="78">HP3/HO3</f>
        <v>0.8571428571428571</v>
      </c>
      <c r="HR3" s="12">
        <f t="shared" ref="HR3:HR11" si="79">POWER(HP3-$JI3,2)</f>
        <v>25.292940693409975</v>
      </c>
      <c r="HS3" s="3">
        <v>7</v>
      </c>
      <c r="HT3" s="3">
        <v>5</v>
      </c>
      <c r="HU3" s="12">
        <f t="shared" ref="HU3:HU11" si="80">HT3/HS3</f>
        <v>0.7142857142857143</v>
      </c>
      <c r="HV3" s="12">
        <f t="shared" ref="HV3:HV11" si="81">POWER(HT3-$JI3,2)</f>
        <v>16.234523184992465</v>
      </c>
      <c r="HW3" s="3">
        <v>10</v>
      </c>
      <c r="HX3" s="3">
        <v>10</v>
      </c>
      <c r="HY3" s="12">
        <f t="shared" ref="HY3:HY11" si="82">HX3/HW3</f>
        <v>1</v>
      </c>
      <c r="HZ3" s="12">
        <f t="shared" ref="HZ3:HZ11" si="83">POWER(HX3-$JI3,2)</f>
        <v>81.526610727080012</v>
      </c>
      <c r="IA3" s="3">
        <v>7</v>
      </c>
      <c r="IB3" s="3">
        <v>6</v>
      </c>
      <c r="IC3" s="12">
        <f t="shared" ref="IC3:IC11" si="84">IB3/IA3</f>
        <v>0.8571428571428571</v>
      </c>
      <c r="ID3" s="12">
        <f t="shared" ref="ID3:ID11" si="85">POWER(IB3-$JI3,2)</f>
        <v>25.292940693409975</v>
      </c>
      <c r="IE3" s="3">
        <v>7</v>
      </c>
      <c r="IF3" s="3">
        <v>6</v>
      </c>
      <c r="IG3" s="12">
        <f t="shared" ref="IG3:IG11" si="86">IF3/IE3</f>
        <v>0.8571428571428571</v>
      </c>
      <c r="IH3" s="12">
        <f t="shared" ref="IH3:IH11" si="87">POWER(IF3-$JI3,2)</f>
        <v>25.292940693409975</v>
      </c>
      <c r="II3" s="3">
        <v>8</v>
      </c>
      <c r="IJ3" s="3">
        <v>7</v>
      </c>
      <c r="IK3" s="12">
        <f t="shared" ref="IK3:IK11" si="88">IJ3/II3</f>
        <v>0.875</v>
      </c>
      <c r="IL3" s="12">
        <f t="shared" ref="IL3:IL11" si="89">POWER(IJ3-$JI3,2)</f>
        <v>36.35135820182748</v>
      </c>
      <c r="IM3" s="3">
        <v>8</v>
      </c>
      <c r="IN3" s="3">
        <v>7</v>
      </c>
      <c r="IO3" s="12">
        <f t="shared" ref="IO3:IO11" si="90">IN3/IM3</f>
        <v>0.875</v>
      </c>
      <c r="IP3" s="12">
        <f t="shared" ref="IP3:IP11" si="91">POWER(IN3-$JI3,2)</f>
        <v>36.35135820182748</v>
      </c>
      <c r="IQ3" s="3">
        <v>9</v>
      </c>
      <c r="IR3" s="3">
        <v>8</v>
      </c>
      <c r="IS3" s="12">
        <f t="shared" ref="IS3:IS11" si="92">IR3/IQ3</f>
        <v>0.88888888888888884</v>
      </c>
      <c r="IT3" s="12">
        <f t="shared" ref="IT3:IT11" si="93">POWER(IR3-$JI3,2)</f>
        <v>49.409775710244993</v>
      </c>
      <c r="IU3" s="3">
        <v>6</v>
      </c>
      <c r="IV3" s="3">
        <v>5</v>
      </c>
      <c r="IW3" s="12">
        <f t="shared" ref="IW3:IW11" si="94">IV3/IU3</f>
        <v>0.83333333333333337</v>
      </c>
      <c r="IX3" s="12">
        <f t="shared" ref="IX3:IX11" si="95">POWER(IV3-$JI3,2)</f>
        <v>16.234523184992465</v>
      </c>
      <c r="IY3" s="3">
        <v>7</v>
      </c>
      <c r="IZ3" s="3">
        <v>7</v>
      </c>
      <c r="JA3" s="12">
        <f t="shared" ref="JA3:JA11" si="96">IZ3/IY3</f>
        <v>1</v>
      </c>
      <c r="JB3" s="12">
        <f t="shared" ref="JB3:JB11" si="97">POWER(IZ3-$JI3,2)</f>
        <v>36.35135820182748</v>
      </c>
      <c r="JC3" s="3">
        <v>10</v>
      </c>
      <c r="JD3" s="5">
        <v>10</v>
      </c>
      <c r="JE3" s="12">
        <f t="shared" ref="JE3:JE11" si="98">JD3/JC3</f>
        <v>1</v>
      </c>
      <c r="JF3" s="12">
        <f t="shared" ref="JF3:JF11" si="99">POWER(JD3-$JI3,2)</f>
        <v>81.526610727080012</v>
      </c>
      <c r="JG3" s="4">
        <f>COUNT(C3,G3,K3,O3,S3,W3,AA3,AE3,AI3,AM3,AQ3,AU3,AY3,BC3,BG3,BK3,BO3,BS3,BW3,CA3,CE3,CI3,CM3,CQ3,CU3,CY3,DC3,DG3,DK3,DO3,DS3,DW3,HW3,IA3,IE3,II3,IM3,IQ3,IU3,IY3,JC3,EA3,EE3,EI3,GY3,HC3,HG3,HK3,HO3,HS3,EM3,EQ3,EU3,EY3,FC3,FG3,FK3,FO3,FS3,FW3,GA3,GE3,GI3,GM3,GQ3,GU3)</f>
        <v>66</v>
      </c>
      <c r="JH3" s="15">
        <f>(E3+I3+M3+Q3+U3+Y3+AC3+AG3+AK3+AO3+AS3+AW3+BA3+BE3+BI3+BM3+BQ3+BU3+BY3+CC3+CG3+CK3+CO3+CS3+CW3+DA3+DE3+DI3+DM3+DQ3+DU3+DY3+HY3+IC3+IG3+IK3+IO3+IS3+IW3+JA3+JE3+EC3+EG3+EK3+HA3+HE3+HI3+HM3+HQ3+HU3+EO3+ES3+EW3+FA3+FE3+FI3+FM3+FQ3+FU3+FY3+GC3+GG3+GK3+GO3+GS3+GW3)*100/JG3</f>
        <v>97.079124579124525</v>
      </c>
      <c r="JI3" s="15">
        <f>AVERAGE(E3,I3,M3,Q3,U3,Y3,AC3,AG3,AK3,AO3,AS3,AW3,BA3,BE3,BI3,BM3,BQ3,BU3,BY3,CC3,CG3,CK3,CO3,CS3,CW3,DA3,DE3,DI3,DM3,DQ3,DU3,DY3,EC3,EG3,EK3,HA3,HE3,HI3,HM3,HQ3,HU3,HY3,IC3,IG3,IK3,IO3,IS3,IW3,JA3,JE3,EO3,ES3,EW3,FA3,FE3,FI3,FM3,FQ3,FU3,FY3,GC3,GG3,GK3,GO3,GS3,GW3)</f>
        <v>0.97079124579124532</v>
      </c>
      <c r="JJ3" s="15">
        <f>SQRT((F3+J3+N3+R3+V3+Z3+AD3+AH3+AL3+AP3+AT3+AX3+BB3+BF3+BJ3+BN3+BR3++BV3+BZ3+CD3+CH3+CL3+CP3+CT3+CX3+DB3+DF3+DJ3+DN3+DR3+DV3+DZ3+HZ3+ID3+IH3+IL3+IP3+IT3+IX3+JB3+JF3+ED3+EH3+EL3+EP3+ET3+EX3+FB3+FF3+FJ3+FN3+FR3+FV3+FZ3+GD3+GH3+GL3+GP3+GT3+GX3+HB3+HF3+HJ3+HN3+HR3+HV3)/JG3)</f>
        <v>7.3139250276358254</v>
      </c>
      <c r="JK3" s="16">
        <f>JH3</f>
        <v>97.079124579124525</v>
      </c>
      <c r="JL3" s="17" t="s">
        <v>3</v>
      </c>
      <c r="JM3" s="24">
        <f>JJ3</f>
        <v>7.3139250276358254</v>
      </c>
      <c r="JN3" s="4" t="str">
        <f>IF(JH3&lt;40,"неудовлетворительно",IF((JH3&gt;=40)*AND(JH3&lt;60),"удовлетворительно",IF((JH3&gt;=60)*AND(JH3&lt;80),"хорошо","отлично")))</f>
        <v>отлично</v>
      </c>
    </row>
    <row r="4" spans="1:274" ht="39.75" customHeight="1" thickBot="1" x14ac:dyDescent="0.3">
      <c r="A4" s="21">
        <v>2</v>
      </c>
      <c r="B4" s="31" t="s">
        <v>14</v>
      </c>
      <c r="C4" s="3">
        <v>9</v>
      </c>
      <c r="D4" s="3">
        <v>9</v>
      </c>
      <c r="E4" s="12">
        <f t="shared" ref="E4:E14" si="100">D4/C4</f>
        <v>1</v>
      </c>
      <c r="F4" s="12">
        <f t="shared" si="0"/>
        <v>65.10729779850459</v>
      </c>
      <c r="G4" s="3">
        <v>10</v>
      </c>
      <c r="H4" s="5">
        <v>10</v>
      </c>
      <c r="I4" s="12">
        <f t="shared" ref="I4:I14" si="101">H4/G4</f>
        <v>1</v>
      </c>
      <c r="J4" s="12">
        <f t="shared" si="1"/>
        <v>82.245116461323249</v>
      </c>
      <c r="K4" s="3">
        <v>8</v>
      </c>
      <c r="L4" s="5">
        <v>7</v>
      </c>
      <c r="M4" s="12">
        <f t="shared" ref="M4:M14" si="102">L4/K4</f>
        <v>0.875</v>
      </c>
      <c r="N4" s="12">
        <f t="shared" si="2"/>
        <v>36.831660472867263</v>
      </c>
      <c r="O4" s="3">
        <v>7</v>
      </c>
      <c r="P4" s="3">
        <v>6</v>
      </c>
      <c r="Q4" s="12">
        <f t="shared" ref="Q4:Q14" si="103">P4/O4</f>
        <v>0.8571428571428571</v>
      </c>
      <c r="R4" s="12">
        <f t="shared" si="3"/>
        <v>25.693841810048596</v>
      </c>
      <c r="S4" s="3">
        <v>8</v>
      </c>
      <c r="T4" s="3">
        <v>8</v>
      </c>
      <c r="U4" s="12">
        <f t="shared" ref="U4:U14" si="104">T4/S4</f>
        <v>1</v>
      </c>
      <c r="V4" s="12">
        <f t="shared" si="4"/>
        <v>49.969479135685923</v>
      </c>
      <c r="W4" s="3">
        <v>9</v>
      </c>
      <c r="X4" s="3">
        <v>9</v>
      </c>
      <c r="Y4" s="12">
        <f t="shared" ref="Y4:Y14" si="105">X4/W4</f>
        <v>1</v>
      </c>
      <c r="Z4" s="12">
        <f t="shared" si="5"/>
        <v>65.10729779850459</v>
      </c>
      <c r="AA4" s="3">
        <v>9</v>
      </c>
      <c r="AB4" s="3">
        <v>7</v>
      </c>
      <c r="AC4" s="12">
        <f t="shared" ref="AC4:AC14" si="106">AB4/AA4</f>
        <v>0.77777777777777779</v>
      </c>
      <c r="AD4" s="12">
        <f t="shared" si="6"/>
        <v>36.831660472867263</v>
      </c>
      <c r="AE4" s="3">
        <v>8</v>
      </c>
      <c r="AF4" s="5">
        <v>7</v>
      </c>
      <c r="AG4" s="12">
        <f t="shared" ref="AG4:AG14" si="107">AF4/AE4</f>
        <v>0.875</v>
      </c>
      <c r="AH4" s="12">
        <f t="shared" si="7"/>
        <v>36.831660472867263</v>
      </c>
      <c r="AI4" s="3">
        <v>9</v>
      </c>
      <c r="AJ4" s="5">
        <v>8</v>
      </c>
      <c r="AK4" s="12">
        <f t="shared" ref="AK4:AK11" si="108">AJ4/AI4</f>
        <v>0.88888888888888884</v>
      </c>
      <c r="AL4" s="12">
        <f t="shared" si="8"/>
        <v>49.969479135685923</v>
      </c>
      <c r="AM4" s="3">
        <v>7</v>
      </c>
      <c r="AN4" s="5">
        <v>7</v>
      </c>
      <c r="AO4" s="12">
        <f t="shared" ref="AO4:AO14" si="109">AN4/AM4</f>
        <v>1</v>
      </c>
      <c r="AP4" s="12">
        <f t="shared" si="9"/>
        <v>36.831660472867263</v>
      </c>
      <c r="AQ4" s="3">
        <v>7</v>
      </c>
      <c r="AR4" s="5">
        <v>7</v>
      </c>
      <c r="AS4" s="12">
        <f t="shared" ref="AS4:AS14" si="110">AR4/AQ4</f>
        <v>1</v>
      </c>
      <c r="AT4" s="12">
        <f t="shared" si="10"/>
        <v>36.831660472867263</v>
      </c>
      <c r="AU4" s="3">
        <v>8</v>
      </c>
      <c r="AV4" s="5">
        <v>7</v>
      </c>
      <c r="AW4" s="12">
        <f t="shared" ref="AW4:AW11" si="111">AV4/AU4</f>
        <v>0.875</v>
      </c>
      <c r="AX4" s="12">
        <f t="shared" si="11"/>
        <v>36.831660472867263</v>
      </c>
      <c r="AY4" s="3">
        <v>9</v>
      </c>
      <c r="AZ4" s="5">
        <v>7</v>
      </c>
      <c r="BA4" s="12">
        <f t="shared" ref="BA4:BA11" si="112">AZ4/AY4</f>
        <v>0.77777777777777779</v>
      </c>
      <c r="BB4" s="12">
        <f t="shared" si="12"/>
        <v>36.831660472867263</v>
      </c>
      <c r="BC4" s="3">
        <v>10</v>
      </c>
      <c r="BD4" s="3">
        <v>10</v>
      </c>
      <c r="BE4" s="12">
        <f t="shared" ref="BE4:BE11" si="113">BD4/BC4</f>
        <v>1</v>
      </c>
      <c r="BF4" s="12">
        <f t="shared" si="13"/>
        <v>82.245116461323249</v>
      </c>
      <c r="BG4" s="3">
        <v>8</v>
      </c>
      <c r="BH4" s="5">
        <v>8</v>
      </c>
      <c r="BI4" s="12">
        <f t="shared" ref="BI4:BI11" si="114">BH4/BG4</f>
        <v>1</v>
      </c>
      <c r="BJ4" s="12">
        <f t="shared" si="14"/>
        <v>49.969479135685923</v>
      </c>
      <c r="BK4" s="3">
        <v>10</v>
      </c>
      <c r="BL4" s="5">
        <v>10</v>
      </c>
      <c r="BM4" s="12">
        <f t="shared" ref="BM4:BM11" si="115">BL4/BK4</f>
        <v>1</v>
      </c>
      <c r="BN4" s="12">
        <f t="shared" si="15"/>
        <v>82.245116461323249</v>
      </c>
      <c r="BO4" s="3">
        <v>10</v>
      </c>
      <c r="BP4" s="5">
        <v>10</v>
      </c>
      <c r="BQ4" s="12">
        <f t="shared" ref="BQ4:BQ11" si="116">BP4/BO4</f>
        <v>1</v>
      </c>
      <c r="BR4" s="12">
        <f t="shared" si="16"/>
        <v>82.245116461323249</v>
      </c>
      <c r="BS4" s="3">
        <v>10</v>
      </c>
      <c r="BT4" s="5">
        <v>10</v>
      </c>
      <c r="BU4" s="12">
        <f t="shared" ref="BU4:BU11" si="117">BT4/BS4</f>
        <v>1</v>
      </c>
      <c r="BV4" s="12">
        <f t="shared" si="17"/>
        <v>82.245116461323249</v>
      </c>
      <c r="BW4" s="3">
        <v>8</v>
      </c>
      <c r="BX4" s="5">
        <v>6</v>
      </c>
      <c r="BY4" s="12">
        <f t="shared" ref="BY4:BY11" si="118">BX4/BW4</f>
        <v>0.75</v>
      </c>
      <c r="BZ4" s="12">
        <f t="shared" si="18"/>
        <v>25.693841810048596</v>
      </c>
      <c r="CA4" s="3">
        <v>9</v>
      </c>
      <c r="CB4" s="3">
        <v>7</v>
      </c>
      <c r="CC4" s="12">
        <f t="shared" ref="CC4:CC11" si="119">CB4/CA4</f>
        <v>0.77777777777777779</v>
      </c>
      <c r="CD4" s="12">
        <f t="shared" si="19"/>
        <v>36.831660472867263</v>
      </c>
      <c r="CE4" s="3">
        <v>8</v>
      </c>
      <c r="CF4" s="5">
        <v>8</v>
      </c>
      <c r="CG4" s="12">
        <f t="shared" ref="CG4:CG11" si="120">CF4/CE4</f>
        <v>1</v>
      </c>
      <c r="CH4" s="12">
        <f t="shared" si="20"/>
        <v>49.969479135685923</v>
      </c>
      <c r="CI4" s="3">
        <v>8</v>
      </c>
      <c r="CJ4" s="3">
        <v>6</v>
      </c>
      <c r="CK4" s="12">
        <f t="shared" ref="CK4:CK11" si="121">CJ4/CI4</f>
        <v>0.75</v>
      </c>
      <c r="CL4" s="12">
        <f t="shared" si="21"/>
        <v>25.693841810048596</v>
      </c>
      <c r="CM4" s="3">
        <v>10</v>
      </c>
      <c r="CN4" s="5">
        <v>6</v>
      </c>
      <c r="CO4" s="12">
        <f t="shared" ref="CO4:CO11" si="122">CN4/CM4</f>
        <v>0.6</v>
      </c>
      <c r="CP4" s="12">
        <f t="shared" si="22"/>
        <v>25.693841810048596</v>
      </c>
      <c r="CQ4" s="3">
        <v>7</v>
      </c>
      <c r="CR4" s="3">
        <v>6</v>
      </c>
      <c r="CS4" s="12">
        <f t="shared" ref="CS4:CS11" si="123">CR4/CQ4</f>
        <v>0.8571428571428571</v>
      </c>
      <c r="CT4" s="12">
        <f t="shared" si="23"/>
        <v>25.693841810048596</v>
      </c>
      <c r="CU4" s="3">
        <v>6</v>
      </c>
      <c r="CV4" s="3">
        <v>6</v>
      </c>
      <c r="CW4" s="12">
        <f t="shared" ref="CW4:CW11" si="124">CV4/CU4</f>
        <v>1</v>
      </c>
      <c r="CX4" s="12">
        <f t="shared" si="24"/>
        <v>25.693841810048596</v>
      </c>
      <c r="CY4" s="3">
        <v>5</v>
      </c>
      <c r="CZ4" s="5">
        <v>5</v>
      </c>
      <c r="DA4" s="12">
        <f t="shared" ref="DA4:DA14" si="125">CZ4/CY4</f>
        <v>1</v>
      </c>
      <c r="DB4" s="12">
        <f t="shared" si="25"/>
        <v>16.556023147229933</v>
      </c>
      <c r="DC4" s="3">
        <v>8</v>
      </c>
      <c r="DD4" s="3">
        <v>8</v>
      </c>
      <c r="DE4" s="12">
        <f t="shared" ref="DE4:DE11" si="126">DD4/DC4</f>
        <v>1</v>
      </c>
      <c r="DF4" s="12">
        <f t="shared" si="26"/>
        <v>49.969479135685923</v>
      </c>
      <c r="DG4" s="3">
        <v>8</v>
      </c>
      <c r="DH4" s="5">
        <v>8</v>
      </c>
      <c r="DI4" s="12">
        <f t="shared" ref="DI4:DI11" si="127">DH4/DG4</f>
        <v>1</v>
      </c>
      <c r="DJ4" s="12">
        <f t="shared" si="27"/>
        <v>49.969479135685923</v>
      </c>
      <c r="DK4" s="3">
        <v>9</v>
      </c>
      <c r="DL4" s="3">
        <v>9</v>
      </c>
      <c r="DM4" s="12">
        <f t="shared" ref="DM4:DM11" si="128">DL4/DK4</f>
        <v>1</v>
      </c>
      <c r="DN4" s="12">
        <f t="shared" si="28"/>
        <v>65.10729779850459</v>
      </c>
      <c r="DO4" s="3">
        <v>7</v>
      </c>
      <c r="DP4" s="5">
        <v>7</v>
      </c>
      <c r="DQ4" s="12">
        <f t="shared" ref="DQ4:DQ11" si="129">DP4/DO4</f>
        <v>1</v>
      </c>
      <c r="DR4" s="12">
        <f t="shared" si="29"/>
        <v>36.831660472867263</v>
      </c>
      <c r="DS4" s="3">
        <v>8</v>
      </c>
      <c r="DT4" s="3">
        <v>8</v>
      </c>
      <c r="DU4" s="12">
        <f t="shared" ref="DU4:DU11" si="130">DT4/DS4</f>
        <v>1</v>
      </c>
      <c r="DV4" s="12">
        <f t="shared" si="30"/>
        <v>49.969479135685923</v>
      </c>
      <c r="DW4" s="3">
        <v>5</v>
      </c>
      <c r="DX4" s="3">
        <v>4</v>
      </c>
      <c r="DY4" s="12">
        <f t="shared" ref="DY4:DY11" si="131">DX4/DW4</f>
        <v>0.8</v>
      </c>
      <c r="DZ4" s="12">
        <f t="shared" si="31"/>
        <v>9.4182044844112713</v>
      </c>
      <c r="EA4" s="3">
        <v>7</v>
      </c>
      <c r="EB4" s="3">
        <v>7</v>
      </c>
      <c r="EC4" s="12">
        <f t="shared" si="32"/>
        <v>1</v>
      </c>
      <c r="ED4" s="12">
        <f t="shared" si="33"/>
        <v>36.831660472867263</v>
      </c>
      <c r="EE4" s="3">
        <v>7</v>
      </c>
      <c r="EF4" s="3">
        <v>7</v>
      </c>
      <c r="EG4" s="12">
        <f t="shared" si="34"/>
        <v>1</v>
      </c>
      <c r="EH4" s="12">
        <f t="shared" si="35"/>
        <v>36.831660472867263</v>
      </c>
      <c r="EI4" s="3">
        <v>10</v>
      </c>
      <c r="EJ4" s="3">
        <v>10</v>
      </c>
      <c r="EK4" s="12">
        <f t="shared" si="36"/>
        <v>1</v>
      </c>
      <c r="EL4" s="12">
        <f t="shared" si="37"/>
        <v>82.245116461323249</v>
      </c>
      <c r="EM4" s="3">
        <v>7</v>
      </c>
      <c r="EN4" s="3">
        <v>7</v>
      </c>
      <c r="EO4" s="12">
        <f t="shared" si="38"/>
        <v>1</v>
      </c>
      <c r="EP4" s="12">
        <f t="shared" si="39"/>
        <v>36.831660472867263</v>
      </c>
      <c r="EQ4" s="3">
        <v>7</v>
      </c>
      <c r="ER4" s="3">
        <v>6</v>
      </c>
      <c r="ES4" s="12">
        <f t="shared" si="40"/>
        <v>0.8571428571428571</v>
      </c>
      <c r="ET4" s="12">
        <f t="shared" si="41"/>
        <v>25.693841810048596</v>
      </c>
      <c r="EU4" s="3">
        <v>8</v>
      </c>
      <c r="EV4" s="3">
        <v>8</v>
      </c>
      <c r="EW4" s="12">
        <f t="shared" si="42"/>
        <v>1</v>
      </c>
      <c r="EX4" s="12">
        <f t="shared" si="43"/>
        <v>49.969479135685923</v>
      </c>
      <c r="EY4" s="3">
        <v>8</v>
      </c>
      <c r="EZ4" s="3">
        <v>8</v>
      </c>
      <c r="FA4" s="12">
        <f t="shared" si="44"/>
        <v>1</v>
      </c>
      <c r="FB4" s="12">
        <f t="shared" si="45"/>
        <v>49.969479135685923</v>
      </c>
      <c r="FC4" s="3">
        <v>8</v>
      </c>
      <c r="FD4" s="3">
        <v>7</v>
      </c>
      <c r="FE4" s="12">
        <f t="shared" si="46"/>
        <v>0.875</v>
      </c>
      <c r="FF4" s="12">
        <f t="shared" si="47"/>
        <v>36.831660472867263</v>
      </c>
      <c r="FG4" s="3">
        <v>8</v>
      </c>
      <c r="FH4" s="3">
        <v>8</v>
      </c>
      <c r="FI4" s="12">
        <f t="shared" si="48"/>
        <v>1</v>
      </c>
      <c r="FJ4" s="12">
        <f t="shared" si="49"/>
        <v>49.969479135685923</v>
      </c>
      <c r="FK4" s="3">
        <v>8</v>
      </c>
      <c r="FL4" s="3">
        <v>7</v>
      </c>
      <c r="FM4" s="12">
        <f t="shared" si="50"/>
        <v>0.875</v>
      </c>
      <c r="FN4" s="12">
        <f t="shared" si="51"/>
        <v>36.831660472867263</v>
      </c>
      <c r="FO4" s="3">
        <v>8</v>
      </c>
      <c r="FP4" s="3">
        <v>7</v>
      </c>
      <c r="FQ4" s="12">
        <f t="shared" si="52"/>
        <v>0.875</v>
      </c>
      <c r="FR4" s="12">
        <f t="shared" si="53"/>
        <v>36.831660472867263</v>
      </c>
      <c r="FS4" s="3">
        <v>8</v>
      </c>
      <c r="FT4" s="3">
        <v>7</v>
      </c>
      <c r="FU4" s="12">
        <f t="shared" si="54"/>
        <v>0.875</v>
      </c>
      <c r="FV4" s="12">
        <f t="shared" si="55"/>
        <v>36.831660472867263</v>
      </c>
      <c r="FW4" s="3">
        <v>8</v>
      </c>
      <c r="FX4" s="3">
        <v>8</v>
      </c>
      <c r="FY4" s="12">
        <f t="shared" si="56"/>
        <v>1</v>
      </c>
      <c r="FZ4" s="12">
        <f t="shared" si="57"/>
        <v>49.969479135685923</v>
      </c>
      <c r="GA4" s="3">
        <v>7</v>
      </c>
      <c r="GB4" s="3">
        <v>7</v>
      </c>
      <c r="GC4" s="12">
        <f t="shared" si="58"/>
        <v>1</v>
      </c>
      <c r="GD4" s="12">
        <f t="shared" si="59"/>
        <v>36.831660472867263</v>
      </c>
      <c r="GE4" s="3">
        <v>8</v>
      </c>
      <c r="GF4" s="3">
        <v>8</v>
      </c>
      <c r="GG4" s="12">
        <f t="shared" si="60"/>
        <v>1</v>
      </c>
      <c r="GH4" s="12">
        <f t="shared" si="61"/>
        <v>49.969479135685923</v>
      </c>
      <c r="GI4" s="3">
        <v>9</v>
      </c>
      <c r="GJ4" s="3">
        <v>9</v>
      </c>
      <c r="GK4" s="12">
        <f t="shared" si="62"/>
        <v>1</v>
      </c>
      <c r="GL4" s="12">
        <f t="shared" si="63"/>
        <v>65.10729779850459</v>
      </c>
      <c r="GM4" s="3">
        <v>9</v>
      </c>
      <c r="GN4" s="3">
        <v>8</v>
      </c>
      <c r="GO4" s="12">
        <f t="shared" si="64"/>
        <v>0.88888888888888884</v>
      </c>
      <c r="GP4" s="12">
        <f t="shared" si="65"/>
        <v>49.969479135685923</v>
      </c>
      <c r="GQ4" s="3">
        <v>9</v>
      </c>
      <c r="GR4" s="3">
        <v>7</v>
      </c>
      <c r="GS4" s="12">
        <f t="shared" si="66"/>
        <v>0.77777777777777779</v>
      </c>
      <c r="GT4" s="12">
        <f t="shared" si="67"/>
        <v>36.831660472867263</v>
      </c>
      <c r="GU4" s="3">
        <v>9</v>
      </c>
      <c r="GV4" s="3">
        <v>9</v>
      </c>
      <c r="GW4" s="12">
        <f t="shared" si="68"/>
        <v>1</v>
      </c>
      <c r="GX4" s="12">
        <f t="shared" si="69"/>
        <v>65.10729779850459</v>
      </c>
      <c r="GY4" s="3">
        <v>9</v>
      </c>
      <c r="GZ4" s="3">
        <v>9</v>
      </c>
      <c r="HA4" s="12">
        <f t="shared" si="70"/>
        <v>1</v>
      </c>
      <c r="HB4" s="12">
        <f t="shared" si="71"/>
        <v>65.10729779850459</v>
      </c>
      <c r="HC4" s="3">
        <v>10</v>
      </c>
      <c r="HD4" s="3">
        <v>10</v>
      </c>
      <c r="HE4" s="12">
        <f t="shared" si="72"/>
        <v>1</v>
      </c>
      <c r="HF4" s="12">
        <f t="shared" si="73"/>
        <v>82.245116461323249</v>
      </c>
      <c r="HG4" s="3">
        <v>9</v>
      </c>
      <c r="HH4" s="3">
        <v>9</v>
      </c>
      <c r="HI4" s="12">
        <f t="shared" si="74"/>
        <v>1</v>
      </c>
      <c r="HJ4" s="12">
        <f t="shared" si="75"/>
        <v>65.10729779850459</v>
      </c>
      <c r="HK4" s="3">
        <v>8</v>
      </c>
      <c r="HL4" s="3">
        <v>7</v>
      </c>
      <c r="HM4" s="12">
        <f t="shared" si="76"/>
        <v>0.875</v>
      </c>
      <c r="HN4" s="12">
        <f t="shared" si="77"/>
        <v>36.831660472867263</v>
      </c>
      <c r="HO4" s="3">
        <v>8</v>
      </c>
      <c r="HP4" s="3">
        <v>8</v>
      </c>
      <c r="HQ4" s="12">
        <f t="shared" si="78"/>
        <v>1</v>
      </c>
      <c r="HR4" s="12">
        <f t="shared" si="79"/>
        <v>49.969479135685923</v>
      </c>
      <c r="HS4" s="3">
        <v>6</v>
      </c>
      <c r="HT4" s="3">
        <v>4</v>
      </c>
      <c r="HU4" s="12">
        <f t="shared" si="80"/>
        <v>0.66666666666666663</v>
      </c>
      <c r="HV4" s="12">
        <f t="shared" si="81"/>
        <v>9.4182044844112713</v>
      </c>
      <c r="HW4" s="3">
        <v>9</v>
      </c>
      <c r="HX4" s="3">
        <v>9</v>
      </c>
      <c r="HY4" s="12">
        <f t="shared" si="82"/>
        <v>1</v>
      </c>
      <c r="HZ4" s="12">
        <f t="shared" si="83"/>
        <v>65.10729779850459</v>
      </c>
      <c r="IA4" s="3">
        <v>6</v>
      </c>
      <c r="IB4" s="3">
        <v>6</v>
      </c>
      <c r="IC4" s="12">
        <f t="shared" si="84"/>
        <v>1</v>
      </c>
      <c r="ID4" s="12">
        <f t="shared" si="85"/>
        <v>25.693841810048596</v>
      </c>
      <c r="IE4" s="3">
        <v>8</v>
      </c>
      <c r="IF4" s="3">
        <v>7</v>
      </c>
      <c r="IG4" s="12">
        <f t="shared" si="86"/>
        <v>0.875</v>
      </c>
      <c r="IH4" s="12">
        <f t="shared" si="87"/>
        <v>36.831660472867263</v>
      </c>
      <c r="II4" s="3">
        <v>5</v>
      </c>
      <c r="IJ4" s="3">
        <v>4</v>
      </c>
      <c r="IK4" s="12">
        <f t="shared" si="88"/>
        <v>0.8</v>
      </c>
      <c r="IL4" s="12">
        <f t="shared" si="89"/>
        <v>9.4182044844112713</v>
      </c>
      <c r="IM4" s="3">
        <v>8</v>
      </c>
      <c r="IN4" s="3">
        <v>7</v>
      </c>
      <c r="IO4" s="12">
        <f t="shared" si="90"/>
        <v>0.875</v>
      </c>
      <c r="IP4" s="12">
        <f t="shared" si="91"/>
        <v>36.831660472867263</v>
      </c>
      <c r="IQ4" s="3">
        <v>8</v>
      </c>
      <c r="IR4" s="3">
        <v>7</v>
      </c>
      <c r="IS4" s="12">
        <f t="shared" si="92"/>
        <v>0.875</v>
      </c>
      <c r="IT4" s="12">
        <f t="shared" si="93"/>
        <v>36.831660472867263</v>
      </c>
      <c r="IU4" s="3">
        <v>7</v>
      </c>
      <c r="IV4" s="3">
        <v>7</v>
      </c>
      <c r="IW4" s="12">
        <f t="shared" si="94"/>
        <v>1</v>
      </c>
      <c r="IX4" s="12">
        <f t="shared" si="95"/>
        <v>36.831660472867263</v>
      </c>
      <c r="IY4" s="3">
        <v>7</v>
      </c>
      <c r="IZ4" s="3">
        <v>7</v>
      </c>
      <c r="JA4" s="12">
        <f t="shared" si="96"/>
        <v>1</v>
      </c>
      <c r="JB4" s="12">
        <f t="shared" si="97"/>
        <v>36.831660472867263</v>
      </c>
      <c r="JC4" s="3">
        <v>5</v>
      </c>
      <c r="JD4" s="5">
        <v>5</v>
      </c>
      <c r="JE4" s="12">
        <f t="shared" si="98"/>
        <v>1</v>
      </c>
      <c r="JF4" s="12">
        <f t="shared" si="99"/>
        <v>16.556023147229933</v>
      </c>
      <c r="JG4" s="4">
        <f t="shared" ref="JG4:JG6" si="132">COUNT(C4,G4,K4,O4,S4,W4,AA4,AE4,AI4,AM4,AQ4,AU4,AY4,BC4,BG4,BK4,BO4,BS4,BW4,CA4,CE4,CI4,CM4,CQ4,CU4,CY4,DC4,DG4,DK4,DO4,DS4,DW4,HW4,IA4,IE4,II4,IM4,IQ4,IU4,IY4,JC4,EA4,EE4,EI4,GY4,HC4,HG4,HK4,HO4,HS4,EM4,EQ4,EU4,EY4,FC4,FG4,FK4,FO4,FS4,FW4,GA4,GE4,GI4,GM4,GQ4,GU4)</f>
        <v>66</v>
      </c>
      <c r="JH4" s="15">
        <f t="shared" ref="JH4:JH11" si="133">(E4+I4+M4+Q4+U4+Y4+AC4+AG4+AK4+AO4+AS4+AW4+BA4+BE4+BI4+BM4+BQ4+BU4+BY4+CC4+CG4+CK4+CO4+CS4+CW4+DA4+DE4+DI4+DM4+DQ4+DU4+DY4+HY4+IC4+IG4+IK4+IO4+IS4+IW4+JA4+JE4+EC4+EG4+EK4+HA4+HE4+HI4+HM4+HQ4+HU4+EO4+ES4+EW4+FA4+FE4+FI4+FM4+FQ4+FU4+FY4+GC4+GG4+GK4+GO4+GS4+GW4)*100/JG4</f>
        <v>93.109066859066857</v>
      </c>
      <c r="JI4" s="15">
        <f t="shared" ref="JI4:JI14" si="134">AVERAGE(E4,I4,M4,Q4,U4,Y4,AC4,AG4,AK4,AO4,AS4,AW4,BA4,BE4,BI4,BM4,BQ4,BU4,BY4,CC4,CG4,CK4,CO4,CS4,CW4,DA4,DE4,DI4,DM4,DQ4,DU4,DY4,EC4,EG4,EK4,HA4,HE4,HI4,HM4,HQ4,HU4,HY4,IC4,IG4,IK4,IO4,IS4,IW4,JA4,JE4,EO4,ES4,EW4,FA4,FE4,FI4,FM4,FQ4,FU4,FY4,GC4,GG4,GK4,GO4,GS4,GW4)</f>
        <v>0.93109066859066847</v>
      </c>
      <c r="JJ4" s="15">
        <f t="shared" ref="JJ4:JJ11" si="135">SQRT((F4+J4+N4+R4+V4+Z4+AD4+AH4+AL4+AP4+AT4+AX4+BB4+BF4+BJ4+BN4+BR4++BV4+BZ4+CD4+CH4+CL4+CP4+CT4+CX4+DB4+DF4+DJ4+DN4+DR4+DV4+DZ4+HZ4+ID4+IH4+IL4+IP4+IT4+IX4+JB4+JF4+ED4+EH4+EL4+EP4+ET4+EX4+FB4+FF4+FJ4+FN4+FR4+FV4+FZ4+GD4+GH4+GL4+GP4+GT4+GX4+HB4+HF4+HJ4+HN4+HR4+HV4)/JG4)</f>
        <v>6.682206303099206</v>
      </c>
      <c r="JK4" s="16">
        <f t="shared" ref="JK4:JK11" si="136">JH4</f>
        <v>93.109066859066857</v>
      </c>
      <c r="JL4" s="17" t="s">
        <v>3</v>
      </c>
      <c r="JM4" s="24">
        <f t="shared" ref="JM4:JM11" si="137">JJ4</f>
        <v>6.682206303099206</v>
      </c>
      <c r="JN4" s="4" t="str">
        <f t="shared" ref="JN4:JN11" si="138">IF(JH4&lt;40,"неудовлетворительно",IF((JH4&gt;=40)*AND(JH4&lt;60),"удовлетворительно",IF((JH4&gt;=60)*AND(JH4&lt;80),"хорошо","отлично")))</f>
        <v>отлично</v>
      </c>
    </row>
    <row r="5" spans="1:274" ht="52.5" customHeight="1" thickBot="1" x14ac:dyDescent="0.3">
      <c r="A5" s="21">
        <v>3</v>
      </c>
      <c r="B5" s="31" t="s">
        <v>15</v>
      </c>
      <c r="C5" s="3">
        <v>9</v>
      </c>
      <c r="D5" s="3">
        <v>9</v>
      </c>
      <c r="E5" s="12">
        <f t="shared" si="100"/>
        <v>1</v>
      </c>
      <c r="F5" s="12">
        <f t="shared" si="0"/>
        <v>64.555891632517714</v>
      </c>
      <c r="G5" s="3">
        <v>8</v>
      </c>
      <c r="H5" s="5">
        <v>8</v>
      </c>
      <c r="I5" s="12">
        <f t="shared" si="101"/>
        <v>1</v>
      </c>
      <c r="J5" s="12">
        <f t="shared" si="1"/>
        <v>49.486555413181499</v>
      </c>
      <c r="K5" s="3">
        <v>9</v>
      </c>
      <c r="L5" s="5">
        <v>8</v>
      </c>
      <c r="M5" s="12">
        <f t="shared" si="102"/>
        <v>0.88888888888888884</v>
      </c>
      <c r="N5" s="12">
        <f t="shared" si="2"/>
        <v>49.486555413181499</v>
      </c>
      <c r="O5" s="3">
        <v>9</v>
      </c>
      <c r="P5" s="3">
        <v>9</v>
      </c>
      <c r="Q5" s="12">
        <f t="shared" si="103"/>
        <v>1</v>
      </c>
      <c r="R5" s="12">
        <f t="shared" si="3"/>
        <v>64.555891632517714</v>
      </c>
      <c r="S5" s="3">
        <v>9</v>
      </c>
      <c r="T5" s="3">
        <v>9</v>
      </c>
      <c r="U5" s="12">
        <f t="shared" si="104"/>
        <v>1</v>
      </c>
      <c r="V5" s="12">
        <f t="shared" si="4"/>
        <v>64.555891632517714</v>
      </c>
      <c r="W5" s="3">
        <v>10</v>
      </c>
      <c r="X5" s="3">
        <v>10</v>
      </c>
      <c r="Y5" s="12">
        <f t="shared" si="105"/>
        <v>1</v>
      </c>
      <c r="Z5" s="12">
        <f t="shared" si="5"/>
        <v>81.625227851853921</v>
      </c>
      <c r="AA5" s="3">
        <v>9</v>
      </c>
      <c r="AB5" s="3">
        <v>9</v>
      </c>
      <c r="AC5" s="12">
        <f t="shared" si="106"/>
        <v>1</v>
      </c>
      <c r="AD5" s="12">
        <f t="shared" si="6"/>
        <v>64.555891632517714</v>
      </c>
      <c r="AE5" s="3">
        <v>8</v>
      </c>
      <c r="AF5" s="5">
        <v>8</v>
      </c>
      <c r="AG5" s="12">
        <f t="shared" si="107"/>
        <v>1</v>
      </c>
      <c r="AH5" s="12">
        <f t="shared" si="7"/>
        <v>49.486555413181499</v>
      </c>
      <c r="AI5" s="3">
        <v>9</v>
      </c>
      <c r="AJ5" s="5">
        <v>9</v>
      </c>
      <c r="AK5" s="12">
        <f t="shared" si="108"/>
        <v>1</v>
      </c>
      <c r="AL5" s="12">
        <f t="shared" si="8"/>
        <v>64.555891632517714</v>
      </c>
      <c r="AM5" s="3">
        <v>9</v>
      </c>
      <c r="AN5" s="5">
        <v>9</v>
      </c>
      <c r="AO5" s="12">
        <f t="shared" si="109"/>
        <v>1</v>
      </c>
      <c r="AP5" s="12">
        <f t="shared" si="9"/>
        <v>64.555891632517714</v>
      </c>
      <c r="AQ5" s="3">
        <v>8</v>
      </c>
      <c r="AR5" s="5">
        <v>8</v>
      </c>
      <c r="AS5" s="12">
        <f t="shared" si="110"/>
        <v>1</v>
      </c>
      <c r="AT5" s="12">
        <f t="shared" si="10"/>
        <v>49.486555413181499</v>
      </c>
      <c r="AU5" s="3">
        <v>8</v>
      </c>
      <c r="AV5" s="5">
        <v>8</v>
      </c>
      <c r="AW5" s="12">
        <f t="shared" si="111"/>
        <v>1</v>
      </c>
      <c r="AX5" s="12">
        <f t="shared" si="11"/>
        <v>49.486555413181499</v>
      </c>
      <c r="AY5" s="3">
        <v>9</v>
      </c>
      <c r="AZ5" s="5">
        <v>9</v>
      </c>
      <c r="BA5" s="12">
        <f t="shared" si="112"/>
        <v>1</v>
      </c>
      <c r="BB5" s="12">
        <f t="shared" si="12"/>
        <v>64.555891632517714</v>
      </c>
      <c r="BC5" s="3">
        <v>10</v>
      </c>
      <c r="BD5" s="3">
        <v>10</v>
      </c>
      <c r="BE5" s="12">
        <f t="shared" si="113"/>
        <v>1</v>
      </c>
      <c r="BF5" s="12">
        <f t="shared" si="13"/>
        <v>81.625227851853921</v>
      </c>
      <c r="BG5" s="3">
        <v>10</v>
      </c>
      <c r="BH5" s="5">
        <v>10</v>
      </c>
      <c r="BI5" s="12">
        <f t="shared" si="114"/>
        <v>1</v>
      </c>
      <c r="BJ5" s="12">
        <f t="shared" si="14"/>
        <v>81.625227851853921</v>
      </c>
      <c r="BK5" s="3">
        <v>10</v>
      </c>
      <c r="BL5" s="5">
        <v>10</v>
      </c>
      <c r="BM5" s="12">
        <f t="shared" si="115"/>
        <v>1</v>
      </c>
      <c r="BN5" s="12">
        <f t="shared" si="15"/>
        <v>81.625227851853921</v>
      </c>
      <c r="BO5" s="3">
        <v>10</v>
      </c>
      <c r="BP5" s="5">
        <v>10</v>
      </c>
      <c r="BQ5" s="12">
        <f t="shared" si="116"/>
        <v>1</v>
      </c>
      <c r="BR5" s="12">
        <f t="shared" si="16"/>
        <v>81.625227851853921</v>
      </c>
      <c r="BS5" s="3">
        <v>10</v>
      </c>
      <c r="BT5" s="5">
        <v>10</v>
      </c>
      <c r="BU5" s="12">
        <f t="shared" si="117"/>
        <v>1</v>
      </c>
      <c r="BV5" s="12">
        <f t="shared" si="17"/>
        <v>81.625227851853921</v>
      </c>
      <c r="BW5" s="3">
        <v>8</v>
      </c>
      <c r="BX5" s="5">
        <v>8</v>
      </c>
      <c r="BY5" s="12">
        <f t="shared" si="118"/>
        <v>1</v>
      </c>
      <c r="BZ5" s="12">
        <f t="shared" si="18"/>
        <v>49.486555413181499</v>
      </c>
      <c r="CA5" s="3">
        <v>10</v>
      </c>
      <c r="CB5" s="3">
        <v>10</v>
      </c>
      <c r="CC5" s="12">
        <f t="shared" si="119"/>
        <v>1</v>
      </c>
      <c r="CD5" s="12">
        <f t="shared" si="19"/>
        <v>81.625227851853921</v>
      </c>
      <c r="CE5" s="3">
        <v>9</v>
      </c>
      <c r="CF5" s="5">
        <v>9</v>
      </c>
      <c r="CG5" s="12">
        <f t="shared" si="120"/>
        <v>1</v>
      </c>
      <c r="CH5" s="12">
        <f t="shared" si="20"/>
        <v>64.555891632517714</v>
      </c>
      <c r="CI5" s="3">
        <v>10</v>
      </c>
      <c r="CJ5" s="3">
        <v>10</v>
      </c>
      <c r="CK5" s="12">
        <f t="shared" si="121"/>
        <v>1</v>
      </c>
      <c r="CL5" s="12">
        <f t="shared" si="21"/>
        <v>81.625227851853921</v>
      </c>
      <c r="CM5" s="3">
        <v>9</v>
      </c>
      <c r="CN5" s="5">
        <v>10</v>
      </c>
      <c r="CO5" s="12">
        <f t="shared" si="122"/>
        <v>1.1111111111111112</v>
      </c>
      <c r="CP5" s="12">
        <f t="shared" si="22"/>
        <v>81.625227851853921</v>
      </c>
      <c r="CQ5" s="3">
        <v>8</v>
      </c>
      <c r="CR5" s="3">
        <v>8</v>
      </c>
      <c r="CS5" s="12">
        <f t="shared" si="123"/>
        <v>1</v>
      </c>
      <c r="CT5" s="12">
        <f t="shared" si="23"/>
        <v>49.486555413181499</v>
      </c>
      <c r="CU5" s="3">
        <v>9</v>
      </c>
      <c r="CV5" s="3">
        <v>9</v>
      </c>
      <c r="CW5" s="12">
        <f t="shared" si="124"/>
        <v>1</v>
      </c>
      <c r="CX5" s="12">
        <f t="shared" si="24"/>
        <v>64.555891632517714</v>
      </c>
      <c r="CY5" s="3">
        <v>6</v>
      </c>
      <c r="CZ5" s="5">
        <v>6</v>
      </c>
      <c r="DA5" s="12">
        <f t="shared" si="125"/>
        <v>1</v>
      </c>
      <c r="DB5" s="12">
        <f t="shared" si="25"/>
        <v>25.347882974509062</v>
      </c>
      <c r="DC5" s="3">
        <v>8</v>
      </c>
      <c r="DD5" s="3">
        <v>7</v>
      </c>
      <c r="DE5" s="12">
        <f t="shared" si="126"/>
        <v>0.875</v>
      </c>
      <c r="DF5" s="12">
        <f t="shared" si="26"/>
        <v>36.417219193845284</v>
      </c>
      <c r="DG5" s="3">
        <v>9</v>
      </c>
      <c r="DH5" s="5">
        <v>9</v>
      </c>
      <c r="DI5" s="12">
        <f t="shared" si="127"/>
        <v>1</v>
      </c>
      <c r="DJ5" s="12">
        <f t="shared" si="27"/>
        <v>64.555891632517714</v>
      </c>
      <c r="DK5" s="3">
        <v>9</v>
      </c>
      <c r="DL5" s="3">
        <v>9</v>
      </c>
      <c r="DM5" s="12">
        <f t="shared" si="128"/>
        <v>1</v>
      </c>
      <c r="DN5" s="12">
        <f t="shared" si="28"/>
        <v>64.555891632517714</v>
      </c>
      <c r="DO5" s="3">
        <v>9</v>
      </c>
      <c r="DP5" s="5">
        <v>9</v>
      </c>
      <c r="DQ5" s="12">
        <f t="shared" si="129"/>
        <v>1</v>
      </c>
      <c r="DR5" s="12">
        <f t="shared" si="29"/>
        <v>64.555891632517714</v>
      </c>
      <c r="DS5" s="3">
        <v>7</v>
      </c>
      <c r="DT5" s="3">
        <v>7</v>
      </c>
      <c r="DU5" s="12">
        <f t="shared" si="130"/>
        <v>1</v>
      </c>
      <c r="DV5" s="12">
        <f t="shared" si="30"/>
        <v>36.417219193845284</v>
      </c>
      <c r="DW5" s="3">
        <v>6</v>
      </c>
      <c r="DX5" s="3">
        <v>4</v>
      </c>
      <c r="DY5" s="12">
        <f t="shared" si="131"/>
        <v>0.66666666666666663</v>
      </c>
      <c r="DZ5" s="12">
        <f t="shared" si="31"/>
        <v>9.2092105358366183</v>
      </c>
      <c r="EA5" s="3">
        <v>8</v>
      </c>
      <c r="EB5" s="3">
        <v>8</v>
      </c>
      <c r="EC5" s="12">
        <f t="shared" si="32"/>
        <v>1</v>
      </c>
      <c r="ED5" s="12">
        <f t="shared" si="33"/>
        <v>49.486555413181499</v>
      </c>
      <c r="EE5" s="3">
        <v>8</v>
      </c>
      <c r="EF5" s="3">
        <v>8</v>
      </c>
      <c r="EG5" s="12">
        <f t="shared" si="34"/>
        <v>1</v>
      </c>
      <c r="EH5" s="12">
        <f t="shared" si="35"/>
        <v>49.486555413181499</v>
      </c>
      <c r="EI5" s="3">
        <v>10</v>
      </c>
      <c r="EJ5" s="3">
        <v>10</v>
      </c>
      <c r="EK5" s="12">
        <f t="shared" si="36"/>
        <v>1</v>
      </c>
      <c r="EL5" s="12">
        <f t="shared" si="37"/>
        <v>81.625227851853921</v>
      </c>
      <c r="EM5" s="3">
        <v>8</v>
      </c>
      <c r="EN5" s="3">
        <v>7</v>
      </c>
      <c r="EO5" s="12">
        <f t="shared" si="38"/>
        <v>0.875</v>
      </c>
      <c r="EP5" s="12">
        <f t="shared" si="39"/>
        <v>36.417219193845284</v>
      </c>
      <c r="EQ5" s="3">
        <v>6</v>
      </c>
      <c r="ER5" s="3">
        <v>6</v>
      </c>
      <c r="ES5" s="12">
        <f t="shared" si="40"/>
        <v>1</v>
      </c>
      <c r="ET5" s="12">
        <f t="shared" si="41"/>
        <v>25.347882974509062</v>
      </c>
      <c r="EU5" s="3">
        <v>7</v>
      </c>
      <c r="EV5" s="3">
        <v>7</v>
      </c>
      <c r="EW5" s="12">
        <f t="shared" si="42"/>
        <v>1</v>
      </c>
      <c r="EX5" s="12">
        <f t="shared" si="43"/>
        <v>36.417219193845284</v>
      </c>
      <c r="EY5" s="3">
        <v>8</v>
      </c>
      <c r="EZ5" s="3">
        <v>8</v>
      </c>
      <c r="FA5" s="12">
        <f t="shared" si="44"/>
        <v>1</v>
      </c>
      <c r="FB5" s="12">
        <f t="shared" si="45"/>
        <v>49.486555413181499</v>
      </c>
      <c r="FC5" s="3">
        <v>9</v>
      </c>
      <c r="FD5" s="3">
        <v>9</v>
      </c>
      <c r="FE5" s="12">
        <f t="shared" si="46"/>
        <v>1</v>
      </c>
      <c r="FF5" s="12">
        <f t="shared" si="47"/>
        <v>64.555891632517714</v>
      </c>
      <c r="FG5" s="3">
        <v>8</v>
      </c>
      <c r="FH5" s="3">
        <v>8</v>
      </c>
      <c r="FI5" s="12">
        <f t="shared" si="48"/>
        <v>1</v>
      </c>
      <c r="FJ5" s="12">
        <f t="shared" si="49"/>
        <v>49.486555413181499</v>
      </c>
      <c r="FK5" s="3">
        <v>9</v>
      </c>
      <c r="FL5" s="3">
        <v>8</v>
      </c>
      <c r="FM5" s="12">
        <f t="shared" si="50"/>
        <v>0.88888888888888884</v>
      </c>
      <c r="FN5" s="12">
        <f t="shared" si="51"/>
        <v>49.486555413181499</v>
      </c>
      <c r="FO5" s="3">
        <v>9</v>
      </c>
      <c r="FP5" s="3">
        <v>8</v>
      </c>
      <c r="FQ5" s="12">
        <f t="shared" si="52"/>
        <v>0.88888888888888884</v>
      </c>
      <c r="FR5" s="12">
        <f t="shared" si="53"/>
        <v>49.486555413181499</v>
      </c>
      <c r="FS5" s="3">
        <v>8</v>
      </c>
      <c r="FT5" s="3">
        <v>8</v>
      </c>
      <c r="FU5" s="12">
        <f t="shared" si="54"/>
        <v>1</v>
      </c>
      <c r="FV5" s="12">
        <f t="shared" si="55"/>
        <v>49.486555413181499</v>
      </c>
      <c r="FW5" s="3">
        <v>8</v>
      </c>
      <c r="FX5" s="3">
        <v>7</v>
      </c>
      <c r="FY5" s="12">
        <f t="shared" si="56"/>
        <v>0.875</v>
      </c>
      <c r="FZ5" s="12">
        <f t="shared" si="57"/>
        <v>36.417219193845284</v>
      </c>
      <c r="GA5" s="3">
        <v>8</v>
      </c>
      <c r="GB5" s="3">
        <v>8</v>
      </c>
      <c r="GC5" s="12">
        <f t="shared" si="58"/>
        <v>1</v>
      </c>
      <c r="GD5" s="12">
        <f t="shared" si="59"/>
        <v>49.486555413181499</v>
      </c>
      <c r="GE5" s="3">
        <v>7</v>
      </c>
      <c r="GF5" s="3">
        <v>7</v>
      </c>
      <c r="GG5" s="12">
        <f t="shared" si="60"/>
        <v>1</v>
      </c>
      <c r="GH5" s="12">
        <f t="shared" si="61"/>
        <v>36.417219193845284</v>
      </c>
      <c r="GI5" s="3">
        <v>10</v>
      </c>
      <c r="GJ5" s="3">
        <v>9</v>
      </c>
      <c r="GK5" s="12">
        <f t="shared" si="62"/>
        <v>0.9</v>
      </c>
      <c r="GL5" s="12">
        <f t="shared" si="63"/>
        <v>64.555891632517714</v>
      </c>
      <c r="GM5" s="3">
        <v>9</v>
      </c>
      <c r="GN5" s="3">
        <v>8</v>
      </c>
      <c r="GO5" s="12">
        <f t="shared" si="64"/>
        <v>0.88888888888888884</v>
      </c>
      <c r="GP5" s="12">
        <f t="shared" si="65"/>
        <v>49.486555413181499</v>
      </c>
      <c r="GQ5" s="3">
        <v>10</v>
      </c>
      <c r="GR5" s="3">
        <v>10</v>
      </c>
      <c r="GS5" s="12">
        <f t="shared" si="66"/>
        <v>1</v>
      </c>
      <c r="GT5" s="12">
        <f t="shared" si="67"/>
        <v>81.625227851853921</v>
      </c>
      <c r="GU5" s="3">
        <v>8</v>
      </c>
      <c r="GV5" s="3">
        <v>8</v>
      </c>
      <c r="GW5" s="12">
        <f t="shared" si="68"/>
        <v>1</v>
      </c>
      <c r="GX5" s="12">
        <f t="shared" si="69"/>
        <v>49.486555413181499</v>
      </c>
      <c r="GY5" s="3">
        <v>8</v>
      </c>
      <c r="GZ5" s="3">
        <v>9</v>
      </c>
      <c r="HA5" s="12">
        <f t="shared" si="70"/>
        <v>1.125</v>
      </c>
      <c r="HB5" s="12">
        <f t="shared" si="71"/>
        <v>64.555891632517714</v>
      </c>
      <c r="HC5" s="3">
        <v>10</v>
      </c>
      <c r="HD5" s="3">
        <v>10</v>
      </c>
      <c r="HE5" s="12">
        <f t="shared" si="72"/>
        <v>1</v>
      </c>
      <c r="HF5" s="12">
        <f t="shared" si="73"/>
        <v>81.625227851853921</v>
      </c>
      <c r="HG5" s="3">
        <v>10</v>
      </c>
      <c r="HH5" s="3">
        <v>10</v>
      </c>
      <c r="HI5" s="12">
        <f t="shared" si="74"/>
        <v>1</v>
      </c>
      <c r="HJ5" s="12">
        <f t="shared" si="75"/>
        <v>81.625227851853921</v>
      </c>
      <c r="HK5" s="3">
        <v>7</v>
      </c>
      <c r="HL5" s="3">
        <v>7</v>
      </c>
      <c r="HM5" s="12">
        <f t="shared" si="76"/>
        <v>1</v>
      </c>
      <c r="HN5" s="12">
        <f t="shared" si="77"/>
        <v>36.417219193845284</v>
      </c>
      <c r="HO5" s="3">
        <v>5</v>
      </c>
      <c r="HP5" s="3">
        <v>5</v>
      </c>
      <c r="HQ5" s="12">
        <f t="shared" si="78"/>
        <v>1</v>
      </c>
      <c r="HR5" s="12">
        <f t="shared" si="79"/>
        <v>16.27854675517284</v>
      </c>
      <c r="HS5" s="3">
        <v>7</v>
      </c>
      <c r="HT5" s="3">
        <v>3</v>
      </c>
      <c r="HU5" s="12">
        <f t="shared" si="80"/>
        <v>0.42857142857142855</v>
      </c>
      <c r="HV5" s="12">
        <f t="shared" si="81"/>
        <v>4.1398743165003982</v>
      </c>
      <c r="HW5" s="3">
        <v>10</v>
      </c>
      <c r="HX5" s="3">
        <v>8</v>
      </c>
      <c r="HY5" s="12">
        <f t="shared" si="82"/>
        <v>0.8</v>
      </c>
      <c r="HZ5" s="12">
        <f t="shared" si="83"/>
        <v>49.486555413181499</v>
      </c>
      <c r="IA5" s="3">
        <v>9</v>
      </c>
      <c r="IB5" s="3">
        <v>9</v>
      </c>
      <c r="IC5" s="12">
        <f t="shared" si="84"/>
        <v>1</v>
      </c>
      <c r="ID5" s="12">
        <f t="shared" si="85"/>
        <v>64.555891632517714</v>
      </c>
      <c r="IE5" s="3">
        <v>8</v>
      </c>
      <c r="IF5" s="3">
        <v>7</v>
      </c>
      <c r="IG5" s="12">
        <f t="shared" si="86"/>
        <v>0.875</v>
      </c>
      <c r="IH5" s="12">
        <f t="shared" si="87"/>
        <v>36.417219193845284</v>
      </c>
      <c r="II5" s="3">
        <v>8</v>
      </c>
      <c r="IJ5" s="3">
        <v>7</v>
      </c>
      <c r="IK5" s="12">
        <f t="shared" si="88"/>
        <v>0.875</v>
      </c>
      <c r="IL5" s="12">
        <f t="shared" si="89"/>
        <v>36.417219193845284</v>
      </c>
      <c r="IM5" s="3">
        <v>8</v>
      </c>
      <c r="IN5" s="3">
        <v>7</v>
      </c>
      <c r="IO5" s="12">
        <f t="shared" si="90"/>
        <v>0.875</v>
      </c>
      <c r="IP5" s="12">
        <f t="shared" si="91"/>
        <v>36.417219193845284</v>
      </c>
      <c r="IQ5" s="3">
        <v>6</v>
      </c>
      <c r="IR5" s="3">
        <v>6</v>
      </c>
      <c r="IS5" s="12">
        <f t="shared" si="92"/>
        <v>1</v>
      </c>
      <c r="IT5" s="12">
        <f t="shared" si="93"/>
        <v>25.347882974509062</v>
      </c>
      <c r="IU5" s="3">
        <v>8</v>
      </c>
      <c r="IV5" s="3">
        <v>7</v>
      </c>
      <c r="IW5" s="12">
        <f t="shared" si="94"/>
        <v>0.875</v>
      </c>
      <c r="IX5" s="12">
        <f t="shared" si="95"/>
        <v>36.417219193845284</v>
      </c>
      <c r="IY5" s="3">
        <v>7</v>
      </c>
      <c r="IZ5" s="3">
        <v>7</v>
      </c>
      <c r="JA5" s="12">
        <f t="shared" si="96"/>
        <v>1</v>
      </c>
      <c r="JB5" s="12">
        <f t="shared" si="97"/>
        <v>36.417219193845284</v>
      </c>
      <c r="JC5" s="3">
        <v>9</v>
      </c>
      <c r="JD5" s="5">
        <v>9</v>
      </c>
      <c r="JE5" s="12">
        <f t="shared" si="98"/>
        <v>1</v>
      </c>
      <c r="JF5" s="12">
        <f t="shared" si="99"/>
        <v>64.555891632517714</v>
      </c>
      <c r="JG5" s="4">
        <f t="shared" si="132"/>
        <v>66</v>
      </c>
      <c r="JH5" s="15">
        <f t="shared" si="133"/>
        <v>96.533189033189018</v>
      </c>
      <c r="JI5" s="15">
        <f t="shared" si="134"/>
        <v>0.96533189033189026</v>
      </c>
      <c r="JJ5" s="15">
        <f t="shared" si="135"/>
        <v>7.3772932008654486</v>
      </c>
      <c r="JK5" s="16">
        <f t="shared" si="136"/>
        <v>96.533189033189018</v>
      </c>
      <c r="JL5" s="17" t="s">
        <v>3</v>
      </c>
      <c r="JM5" s="24">
        <f t="shared" si="137"/>
        <v>7.3772932008654486</v>
      </c>
      <c r="JN5" s="4" t="str">
        <f t="shared" si="138"/>
        <v>отлично</v>
      </c>
    </row>
    <row r="6" spans="1:274" ht="30.75" customHeight="1" thickBot="1" x14ac:dyDescent="0.3">
      <c r="A6" s="21">
        <v>4</v>
      </c>
      <c r="B6" s="31" t="s">
        <v>10</v>
      </c>
      <c r="C6" s="3">
        <v>9</v>
      </c>
      <c r="D6" s="3">
        <v>9</v>
      </c>
      <c r="E6" s="8">
        <f t="shared" si="100"/>
        <v>1</v>
      </c>
      <c r="F6" s="12">
        <f t="shared" si="0"/>
        <v>64.459021168395353</v>
      </c>
      <c r="G6" s="3">
        <v>10</v>
      </c>
      <c r="H6" s="5">
        <v>10</v>
      </c>
      <c r="I6" s="12">
        <f t="shared" si="101"/>
        <v>1</v>
      </c>
      <c r="J6" s="12">
        <f t="shared" si="1"/>
        <v>81.51629630067049</v>
      </c>
      <c r="K6" s="3">
        <v>10</v>
      </c>
      <c r="L6" s="5">
        <v>10</v>
      </c>
      <c r="M6" s="12">
        <f t="shared" si="102"/>
        <v>1</v>
      </c>
      <c r="N6" s="12">
        <f t="shared" si="2"/>
        <v>81.51629630067049</v>
      </c>
      <c r="O6" s="3">
        <v>10</v>
      </c>
      <c r="P6" s="3">
        <v>9</v>
      </c>
      <c r="Q6" s="12">
        <f t="shared" si="103"/>
        <v>0.9</v>
      </c>
      <c r="R6" s="12">
        <f t="shared" si="3"/>
        <v>64.459021168395353</v>
      </c>
      <c r="S6" s="3">
        <v>9</v>
      </c>
      <c r="T6" s="3">
        <v>9</v>
      </c>
      <c r="U6" s="12">
        <f t="shared" si="104"/>
        <v>1</v>
      </c>
      <c r="V6" s="12">
        <f t="shared" si="4"/>
        <v>64.459021168395353</v>
      </c>
      <c r="W6" s="3">
        <v>9</v>
      </c>
      <c r="X6" s="3">
        <v>9</v>
      </c>
      <c r="Y6" s="12">
        <f t="shared" si="105"/>
        <v>1</v>
      </c>
      <c r="Z6" s="12">
        <f t="shared" si="5"/>
        <v>64.459021168395353</v>
      </c>
      <c r="AA6" s="3">
        <v>10</v>
      </c>
      <c r="AB6" s="3">
        <v>10</v>
      </c>
      <c r="AC6" s="12">
        <f t="shared" si="106"/>
        <v>1</v>
      </c>
      <c r="AD6" s="12">
        <f t="shared" si="6"/>
        <v>81.51629630067049</v>
      </c>
      <c r="AE6" s="3">
        <v>10</v>
      </c>
      <c r="AF6" s="5">
        <v>10</v>
      </c>
      <c r="AG6" s="12">
        <f t="shared" si="107"/>
        <v>1</v>
      </c>
      <c r="AH6" s="12">
        <f t="shared" si="7"/>
        <v>81.51629630067049</v>
      </c>
      <c r="AI6" s="3">
        <v>10</v>
      </c>
      <c r="AJ6" s="5">
        <v>10</v>
      </c>
      <c r="AK6" s="12">
        <f t="shared" si="108"/>
        <v>1</v>
      </c>
      <c r="AL6" s="12">
        <f t="shared" si="8"/>
        <v>81.51629630067049</v>
      </c>
      <c r="AM6" s="3">
        <v>9</v>
      </c>
      <c r="AN6" s="5">
        <v>9</v>
      </c>
      <c r="AO6" s="12">
        <f t="shared" si="109"/>
        <v>1</v>
      </c>
      <c r="AP6" s="12">
        <f t="shared" si="9"/>
        <v>64.459021168395353</v>
      </c>
      <c r="AQ6" s="3">
        <v>9</v>
      </c>
      <c r="AR6" s="5">
        <v>9</v>
      </c>
      <c r="AS6" s="12">
        <f t="shared" si="110"/>
        <v>1</v>
      </c>
      <c r="AT6" s="12">
        <f t="shared" si="10"/>
        <v>64.459021168395353</v>
      </c>
      <c r="AU6" s="3">
        <v>8</v>
      </c>
      <c r="AV6" s="5">
        <v>8</v>
      </c>
      <c r="AW6" s="12">
        <f t="shared" si="111"/>
        <v>1</v>
      </c>
      <c r="AX6" s="12">
        <f t="shared" si="11"/>
        <v>49.401746036120208</v>
      </c>
      <c r="AY6" s="3">
        <v>9</v>
      </c>
      <c r="AZ6" s="5">
        <v>9</v>
      </c>
      <c r="BA6" s="12">
        <f t="shared" si="112"/>
        <v>1</v>
      </c>
      <c r="BB6" s="12">
        <f t="shared" si="12"/>
        <v>64.459021168395353</v>
      </c>
      <c r="BC6" s="3">
        <v>10</v>
      </c>
      <c r="BD6" s="3">
        <v>10</v>
      </c>
      <c r="BE6" s="12">
        <f t="shared" si="113"/>
        <v>1</v>
      </c>
      <c r="BF6" s="12">
        <f t="shared" si="13"/>
        <v>81.51629630067049</v>
      </c>
      <c r="BG6" s="3">
        <v>9</v>
      </c>
      <c r="BH6" s="5">
        <v>9</v>
      </c>
      <c r="BI6" s="12">
        <f t="shared" si="114"/>
        <v>1</v>
      </c>
      <c r="BJ6" s="12">
        <f t="shared" si="14"/>
        <v>64.459021168395353</v>
      </c>
      <c r="BK6" s="3">
        <v>10</v>
      </c>
      <c r="BL6" s="5">
        <v>10</v>
      </c>
      <c r="BM6" s="12">
        <f t="shared" si="115"/>
        <v>1</v>
      </c>
      <c r="BN6" s="12">
        <f t="shared" si="15"/>
        <v>81.51629630067049</v>
      </c>
      <c r="BO6" s="3">
        <v>10</v>
      </c>
      <c r="BP6" s="5">
        <v>10</v>
      </c>
      <c r="BQ6" s="12">
        <f t="shared" si="116"/>
        <v>1</v>
      </c>
      <c r="BR6" s="12">
        <f t="shared" si="16"/>
        <v>81.51629630067049</v>
      </c>
      <c r="BS6" s="3">
        <v>10</v>
      </c>
      <c r="BT6" s="5">
        <v>10</v>
      </c>
      <c r="BU6" s="12">
        <f t="shared" si="117"/>
        <v>1</v>
      </c>
      <c r="BV6" s="12">
        <f t="shared" si="17"/>
        <v>81.51629630067049</v>
      </c>
      <c r="BW6" s="3">
        <v>10</v>
      </c>
      <c r="BX6" s="5">
        <v>10</v>
      </c>
      <c r="BY6" s="12">
        <f t="shared" si="118"/>
        <v>1</v>
      </c>
      <c r="BZ6" s="12">
        <f t="shared" si="18"/>
        <v>81.51629630067049</v>
      </c>
      <c r="CA6" s="3">
        <v>10</v>
      </c>
      <c r="CB6" s="3">
        <v>10</v>
      </c>
      <c r="CC6" s="12">
        <f t="shared" si="119"/>
        <v>1</v>
      </c>
      <c r="CD6" s="12">
        <f t="shared" si="19"/>
        <v>81.51629630067049</v>
      </c>
      <c r="CE6" s="3">
        <v>8</v>
      </c>
      <c r="CF6" s="5">
        <v>8</v>
      </c>
      <c r="CG6" s="12">
        <f t="shared" si="120"/>
        <v>1</v>
      </c>
      <c r="CH6" s="12">
        <f t="shared" si="20"/>
        <v>49.401746036120208</v>
      </c>
      <c r="CI6" s="3">
        <v>10</v>
      </c>
      <c r="CJ6" s="3">
        <v>10</v>
      </c>
      <c r="CK6" s="12">
        <f t="shared" si="121"/>
        <v>1</v>
      </c>
      <c r="CL6" s="12">
        <f t="shared" si="21"/>
        <v>81.51629630067049</v>
      </c>
      <c r="CM6" s="3">
        <v>10</v>
      </c>
      <c r="CN6" s="5">
        <v>10</v>
      </c>
      <c r="CO6" s="12">
        <f t="shared" si="122"/>
        <v>1</v>
      </c>
      <c r="CP6" s="12">
        <f t="shared" si="22"/>
        <v>81.51629630067049</v>
      </c>
      <c r="CQ6" s="3">
        <v>5</v>
      </c>
      <c r="CR6" s="3">
        <v>5</v>
      </c>
      <c r="CS6" s="12">
        <f t="shared" si="123"/>
        <v>1</v>
      </c>
      <c r="CT6" s="12">
        <f t="shared" si="23"/>
        <v>16.229920639294811</v>
      </c>
      <c r="CU6" s="3">
        <v>1</v>
      </c>
      <c r="CV6" s="3">
        <v>1</v>
      </c>
      <c r="CW6" s="12">
        <f t="shared" si="124"/>
        <v>1</v>
      </c>
      <c r="CX6" s="12">
        <f t="shared" si="24"/>
        <v>8.201101942834837E-4</v>
      </c>
      <c r="CY6" s="3">
        <v>4</v>
      </c>
      <c r="CZ6" s="5">
        <v>3</v>
      </c>
      <c r="DA6" s="12">
        <f t="shared" si="125"/>
        <v>0.75</v>
      </c>
      <c r="DB6" s="12">
        <f t="shared" si="25"/>
        <v>4.1153703747445487</v>
      </c>
      <c r="DC6" s="3">
        <v>9</v>
      </c>
      <c r="DD6" s="3">
        <v>8</v>
      </c>
      <c r="DE6" s="12">
        <f t="shared" si="126"/>
        <v>0.88888888888888884</v>
      </c>
      <c r="DF6" s="12">
        <f t="shared" si="26"/>
        <v>49.401746036120208</v>
      </c>
      <c r="DG6" s="3">
        <v>8</v>
      </c>
      <c r="DH6" s="5">
        <v>8</v>
      </c>
      <c r="DI6" s="12">
        <f t="shared" si="127"/>
        <v>1</v>
      </c>
      <c r="DJ6" s="12">
        <f t="shared" si="27"/>
        <v>49.401746036120208</v>
      </c>
      <c r="DK6" s="3">
        <v>9</v>
      </c>
      <c r="DL6" s="3">
        <v>9</v>
      </c>
      <c r="DM6" s="12">
        <f t="shared" si="128"/>
        <v>1</v>
      </c>
      <c r="DN6" s="12">
        <f t="shared" si="28"/>
        <v>64.459021168395353</v>
      </c>
      <c r="DO6" s="3">
        <v>10</v>
      </c>
      <c r="DP6" s="5">
        <v>10</v>
      </c>
      <c r="DQ6" s="12">
        <f t="shared" si="129"/>
        <v>1</v>
      </c>
      <c r="DR6" s="12">
        <f t="shared" si="29"/>
        <v>81.51629630067049</v>
      </c>
      <c r="DS6" s="3">
        <v>8</v>
      </c>
      <c r="DT6" s="3">
        <v>8</v>
      </c>
      <c r="DU6" s="12">
        <f t="shared" si="130"/>
        <v>1</v>
      </c>
      <c r="DV6" s="12">
        <f t="shared" si="30"/>
        <v>49.401746036120208</v>
      </c>
      <c r="DW6" s="3">
        <v>5</v>
      </c>
      <c r="DX6" s="3">
        <v>5</v>
      </c>
      <c r="DY6" s="12">
        <f t="shared" si="131"/>
        <v>1</v>
      </c>
      <c r="DZ6" s="12">
        <f t="shared" si="31"/>
        <v>16.229920639294811</v>
      </c>
      <c r="EA6" s="3">
        <v>7</v>
      </c>
      <c r="EB6" s="3">
        <v>7</v>
      </c>
      <c r="EC6" s="12">
        <f t="shared" si="32"/>
        <v>1</v>
      </c>
      <c r="ED6" s="12">
        <f t="shared" si="33"/>
        <v>36.344470903845078</v>
      </c>
      <c r="EE6" s="3">
        <v>7</v>
      </c>
      <c r="EF6" s="3">
        <v>7</v>
      </c>
      <c r="EG6" s="12">
        <f t="shared" si="34"/>
        <v>1</v>
      </c>
      <c r="EH6" s="12">
        <f t="shared" si="35"/>
        <v>36.344470903845078</v>
      </c>
      <c r="EI6" s="3">
        <v>10</v>
      </c>
      <c r="EJ6" s="3">
        <v>10</v>
      </c>
      <c r="EK6" s="12">
        <f t="shared" si="36"/>
        <v>1</v>
      </c>
      <c r="EL6" s="12">
        <f t="shared" si="37"/>
        <v>81.51629630067049</v>
      </c>
      <c r="EM6" s="3">
        <v>7</v>
      </c>
      <c r="EN6" s="3">
        <v>7</v>
      </c>
      <c r="EO6" s="12">
        <f t="shared" si="38"/>
        <v>1</v>
      </c>
      <c r="EP6" s="12">
        <f t="shared" si="39"/>
        <v>36.344470903845078</v>
      </c>
      <c r="EQ6" s="3">
        <v>6</v>
      </c>
      <c r="ER6" s="3">
        <v>6</v>
      </c>
      <c r="ES6" s="12">
        <f t="shared" si="40"/>
        <v>1</v>
      </c>
      <c r="ET6" s="12">
        <f t="shared" si="41"/>
        <v>25.287195771569944</v>
      </c>
      <c r="EU6" s="3">
        <v>8</v>
      </c>
      <c r="EV6" s="3">
        <v>8</v>
      </c>
      <c r="EW6" s="12">
        <f t="shared" si="42"/>
        <v>1</v>
      </c>
      <c r="EX6" s="12">
        <f t="shared" si="43"/>
        <v>49.401746036120208</v>
      </c>
      <c r="EY6" s="3">
        <v>8</v>
      </c>
      <c r="EZ6" s="3">
        <v>8</v>
      </c>
      <c r="FA6" s="12">
        <f t="shared" si="44"/>
        <v>1</v>
      </c>
      <c r="FB6" s="12">
        <f t="shared" si="45"/>
        <v>49.401746036120208</v>
      </c>
      <c r="FC6" s="3">
        <v>7</v>
      </c>
      <c r="FD6" s="3">
        <v>7</v>
      </c>
      <c r="FE6" s="12">
        <f t="shared" si="46"/>
        <v>1</v>
      </c>
      <c r="FF6" s="12">
        <f t="shared" si="47"/>
        <v>36.344470903845078</v>
      </c>
      <c r="FG6" s="3">
        <v>6</v>
      </c>
      <c r="FH6" s="3">
        <v>6</v>
      </c>
      <c r="FI6" s="12">
        <f t="shared" si="48"/>
        <v>1</v>
      </c>
      <c r="FJ6" s="12">
        <f t="shared" si="49"/>
        <v>25.287195771569944</v>
      </c>
      <c r="FK6" s="3">
        <v>5</v>
      </c>
      <c r="FL6" s="3">
        <v>4</v>
      </c>
      <c r="FM6" s="12">
        <f t="shared" si="50"/>
        <v>0.8</v>
      </c>
      <c r="FN6" s="12">
        <f t="shared" si="51"/>
        <v>9.1726455070196824</v>
      </c>
      <c r="FO6" s="3">
        <v>9</v>
      </c>
      <c r="FP6" s="3">
        <v>7</v>
      </c>
      <c r="FQ6" s="12">
        <f t="shared" si="52"/>
        <v>0.77777777777777779</v>
      </c>
      <c r="FR6" s="12">
        <f t="shared" si="53"/>
        <v>36.344470903845078</v>
      </c>
      <c r="FS6" s="3">
        <v>9</v>
      </c>
      <c r="FT6" s="3">
        <v>9</v>
      </c>
      <c r="FU6" s="12">
        <f t="shared" si="54"/>
        <v>1</v>
      </c>
      <c r="FV6" s="12">
        <f t="shared" si="55"/>
        <v>64.459021168395353</v>
      </c>
      <c r="FW6" s="3">
        <v>7</v>
      </c>
      <c r="FX6" s="3">
        <v>6</v>
      </c>
      <c r="FY6" s="12">
        <f t="shared" si="56"/>
        <v>0.8571428571428571</v>
      </c>
      <c r="FZ6" s="12">
        <f t="shared" si="57"/>
        <v>25.287195771569944</v>
      </c>
      <c r="GA6" s="3">
        <v>5</v>
      </c>
      <c r="GB6" s="3">
        <v>5</v>
      </c>
      <c r="GC6" s="12">
        <f t="shared" si="58"/>
        <v>1</v>
      </c>
      <c r="GD6" s="12">
        <f t="shared" si="59"/>
        <v>16.229920639294811</v>
      </c>
      <c r="GE6" s="3">
        <v>7</v>
      </c>
      <c r="GF6" s="3">
        <v>7</v>
      </c>
      <c r="GG6" s="12">
        <f t="shared" si="60"/>
        <v>1</v>
      </c>
      <c r="GH6" s="12">
        <f t="shared" si="61"/>
        <v>36.344470903845078</v>
      </c>
      <c r="GI6" s="3">
        <v>8</v>
      </c>
      <c r="GJ6" s="3">
        <v>7</v>
      </c>
      <c r="GK6" s="12">
        <f t="shared" si="62"/>
        <v>0.875</v>
      </c>
      <c r="GL6" s="12">
        <f t="shared" si="63"/>
        <v>36.344470903845078</v>
      </c>
      <c r="GM6" s="3">
        <v>9</v>
      </c>
      <c r="GN6" s="3">
        <v>9</v>
      </c>
      <c r="GO6" s="12">
        <f t="shared" si="64"/>
        <v>1</v>
      </c>
      <c r="GP6" s="12">
        <f t="shared" si="65"/>
        <v>64.459021168395353</v>
      </c>
      <c r="GQ6" s="3">
        <v>9</v>
      </c>
      <c r="GR6" s="3">
        <v>7</v>
      </c>
      <c r="GS6" s="12">
        <f t="shared" si="66"/>
        <v>0.77777777777777779</v>
      </c>
      <c r="GT6" s="12">
        <f t="shared" si="67"/>
        <v>36.344470903845078</v>
      </c>
      <c r="GU6" s="3">
        <v>6</v>
      </c>
      <c r="GV6" s="3">
        <v>6</v>
      </c>
      <c r="GW6" s="12">
        <f t="shared" si="68"/>
        <v>1</v>
      </c>
      <c r="GX6" s="12">
        <f t="shared" si="69"/>
        <v>25.287195771569944</v>
      </c>
      <c r="GY6" s="3">
        <v>9</v>
      </c>
      <c r="GZ6" s="3">
        <v>9</v>
      </c>
      <c r="HA6" s="12">
        <f t="shared" si="70"/>
        <v>1</v>
      </c>
      <c r="HB6" s="12">
        <f t="shared" si="71"/>
        <v>64.459021168395353</v>
      </c>
      <c r="HC6" s="3">
        <v>8</v>
      </c>
      <c r="HD6" s="3">
        <v>7</v>
      </c>
      <c r="HE6" s="12">
        <f t="shared" si="72"/>
        <v>0.875</v>
      </c>
      <c r="HF6" s="12">
        <f t="shared" si="73"/>
        <v>36.344470903845078</v>
      </c>
      <c r="HG6" s="3">
        <v>8</v>
      </c>
      <c r="HH6" s="3">
        <v>8</v>
      </c>
      <c r="HI6" s="12">
        <f t="shared" si="74"/>
        <v>1</v>
      </c>
      <c r="HJ6" s="12">
        <f t="shared" si="75"/>
        <v>49.401746036120208</v>
      </c>
      <c r="HK6" s="3">
        <v>6</v>
      </c>
      <c r="HL6" s="3">
        <v>6</v>
      </c>
      <c r="HM6" s="12">
        <f t="shared" si="76"/>
        <v>1</v>
      </c>
      <c r="HN6" s="12">
        <f t="shared" si="77"/>
        <v>25.287195771569944</v>
      </c>
      <c r="HO6" s="3">
        <v>4</v>
      </c>
      <c r="HP6" s="3">
        <v>4</v>
      </c>
      <c r="HQ6" s="12">
        <f t="shared" si="78"/>
        <v>1</v>
      </c>
      <c r="HR6" s="12">
        <f t="shared" si="79"/>
        <v>9.1726455070196824</v>
      </c>
      <c r="HS6" s="3">
        <v>8</v>
      </c>
      <c r="HT6" s="3">
        <v>7</v>
      </c>
      <c r="HU6" s="12">
        <f t="shared" si="80"/>
        <v>0.875</v>
      </c>
      <c r="HV6" s="12">
        <f t="shared" si="81"/>
        <v>36.344470903845078</v>
      </c>
      <c r="HW6" s="3">
        <v>10</v>
      </c>
      <c r="HX6" s="3">
        <v>9</v>
      </c>
      <c r="HY6" s="12">
        <f t="shared" si="82"/>
        <v>0.9</v>
      </c>
      <c r="HZ6" s="12">
        <f t="shared" si="83"/>
        <v>64.459021168395353</v>
      </c>
      <c r="IA6" s="3">
        <v>5</v>
      </c>
      <c r="IB6" s="3">
        <v>5</v>
      </c>
      <c r="IC6" s="12">
        <f t="shared" si="84"/>
        <v>1</v>
      </c>
      <c r="ID6" s="12">
        <f t="shared" si="85"/>
        <v>16.229920639294811</v>
      </c>
      <c r="IE6" s="3">
        <v>6</v>
      </c>
      <c r="IF6" s="3">
        <v>6</v>
      </c>
      <c r="IG6" s="12">
        <f t="shared" si="86"/>
        <v>1</v>
      </c>
      <c r="IH6" s="12">
        <f t="shared" si="87"/>
        <v>25.287195771569944</v>
      </c>
      <c r="II6" s="3">
        <v>6</v>
      </c>
      <c r="IJ6" s="3">
        <v>5</v>
      </c>
      <c r="IK6" s="12">
        <f t="shared" si="88"/>
        <v>0.83333333333333337</v>
      </c>
      <c r="IL6" s="12">
        <f t="shared" si="89"/>
        <v>16.229920639294811</v>
      </c>
      <c r="IM6" s="3">
        <v>8</v>
      </c>
      <c r="IN6" s="3">
        <v>8</v>
      </c>
      <c r="IO6" s="12">
        <f t="shared" si="90"/>
        <v>1</v>
      </c>
      <c r="IP6" s="12">
        <f t="shared" si="91"/>
        <v>49.401746036120208</v>
      </c>
      <c r="IQ6" s="3">
        <v>5</v>
      </c>
      <c r="IR6" s="3">
        <v>5</v>
      </c>
      <c r="IS6" s="12">
        <f t="shared" si="92"/>
        <v>1</v>
      </c>
      <c r="IT6" s="12">
        <f t="shared" si="93"/>
        <v>16.229920639294811</v>
      </c>
      <c r="IU6" s="3">
        <v>5</v>
      </c>
      <c r="IV6" s="3">
        <v>5</v>
      </c>
      <c r="IW6" s="12">
        <f t="shared" si="94"/>
        <v>1</v>
      </c>
      <c r="IX6" s="12">
        <f t="shared" si="95"/>
        <v>16.229920639294811</v>
      </c>
      <c r="IY6" s="3">
        <v>5</v>
      </c>
      <c r="IZ6" s="3">
        <v>5</v>
      </c>
      <c r="JA6" s="12">
        <f t="shared" si="96"/>
        <v>1</v>
      </c>
      <c r="JB6" s="12">
        <f t="shared" si="97"/>
        <v>16.229920639294811</v>
      </c>
      <c r="JC6" s="3">
        <v>1</v>
      </c>
      <c r="JD6" s="5">
        <v>1</v>
      </c>
      <c r="JE6" s="12">
        <f>JD6/JC6</f>
        <v>1</v>
      </c>
      <c r="JF6" s="12">
        <f t="shared" si="99"/>
        <v>8.201101942834837E-4</v>
      </c>
      <c r="JG6" s="4">
        <f t="shared" si="132"/>
        <v>66</v>
      </c>
      <c r="JH6" s="15">
        <f t="shared" si="133"/>
        <v>97.136243386243379</v>
      </c>
      <c r="JI6" s="15">
        <f t="shared" si="134"/>
        <v>0.97136243386243371</v>
      </c>
      <c r="JJ6" s="15">
        <f t="shared" si="135"/>
        <v>6.9334465875245455</v>
      </c>
      <c r="JK6" s="16">
        <f t="shared" si="136"/>
        <v>97.136243386243379</v>
      </c>
      <c r="JL6" s="17" t="s">
        <v>3</v>
      </c>
      <c r="JM6" s="24">
        <f t="shared" si="137"/>
        <v>6.9334465875245455</v>
      </c>
      <c r="JN6" s="4" t="str">
        <f t="shared" si="138"/>
        <v>отлично</v>
      </c>
    </row>
    <row r="7" spans="1:274" ht="54" customHeight="1" thickBot="1" x14ac:dyDescent="0.3">
      <c r="A7" s="21">
        <v>5</v>
      </c>
      <c r="B7" s="31" t="s">
        <v>11</v>
      </c>
      <c r="C7" s="3">
        <v>9</v>
      </c>
      <c r="D7" s="3">
        <v>9</v>
      </c>
      <c r="E7" s="8">
        <f t="shared" si="100"/>
        <v>1</v>
      </c>
      <c r="F7" s="12">
        <f t="shared" si="0"/>
        <v>64.467903564992397</v>
      </c>
      <c r="G7" s="3">
        <v>10</v>
      </c>
      <c r="H7" s="5">
        <v>10</v>
      </c>
      <c r="I7" s="12">
        <f t="shared" si="101"/>
        <v>1</v>
      </c>
      <c r="J7" s="12">
        <f t="shared" si="1"/>
        <v>81.526284998373825</v>
      </c>
      <c r="K7" s="3">
        <v>10</v>
      </c>
      <c r="L7" s="5">
        <v>10</v>
      </c>
      <c r="M7" s="12">
        <f>L7/K7</f>
        <v>1</v>
      </c>
      <c r="N7" s="12">
        <f t="shared" si="2"/>
        <v>81.526284998373825</v>
      </c>
      <c r="O7" s="3">
        <v>10</v>
      </c>
      <c r="P7" s="3">
        <v>10</v>
      </c>
      <c r="Q7" s="12">
        <f t="shared" si="103"/>
        <v>1</v>
      </c>
      <c r="R7" s="12">
        <f t="shared" si="3"/>
        <v>81.526284998373825</v>
      </c>
      <c r="S7" s="3">
        <v>9</v>
      </c>
      <c r="T7" s="3">
        <v>9</v>
      </c>
      <c r="U7" s="12">
        <f t="shared" si="104"/>
        <v>1</v>
      </c>
      <c r="V7" s="12">
        <f t="shared" si="4"/>
        <v>64.467903564992397</v>
      </c>
      <c r="W7" s="3">
        <v>10</v>
      </c>
      <c r="X7" s="3">
        <v>10</v>
      </c>
      <c r="Y7" s="12">
        <f t="shared" si="105"/>
        <v>1</v>
      </c>
      <c r="Z7" s="12">
        <f t="shared" si="5"/>
        <v>81.526284998373825</v>
      </c>
      <c r="AA7" s="3">
        <v>10</v>
      </c>
      <c r="AB7" s="3">
        <v>10</v>
      </c>
      <c r="AC7" s="12">
        <f t="shared" si="106"/>
        <v>1</v>
      </c>
      <c r="AD7" s="12">
        <f t="shared" si="6"/>
        <v>81.526284998373825</v>
      </c>
      <c r="AE7" s="3">
        <v>10</v>
      </c>
      <c r="AF7" s="5">
        <v>10</v>
      </c>
      <c r="AG7" s="12">
        <f t="shared" si="107"/>
        <v>1</v>
      </c>
      <c r="AH7" s="12">
        <f t="shared" si="7"/>
        <v>81.526284998373825</v>
      </c>
      <c r="AI7" s="3">
        <v>7</v>
      </c>
      <c r="AJ7" s="5">
        <v>7</v>
      </c>
      <c r="AK7" s="12">
        <f t="shared" si="108"/>
        <v>1</v>
      </c>
      <c r="AL7" s="12">
        <f t="shared" si="8"/>
        <v>36.351140698229528</v>
      </c>
      <c r="AM7" s="3">
        <v>9</v>
      </c>
      <c r="AN7" s="5">
        <v>9</v>
      </c>
      <c r="AO7" s="12">
        <f t="shared" si="109"/>
        <v>1</v>
      </c>
      <c r="AP7" s="12">
        <f t="shared" si="9"/>
        <v>64.467903564992397</v>
      </c>
      <c r="AQ7" s="3">
        <v>9</v>
      </c>
      <c r="AR7" s="5">
        <v>9</v>
      </c>
      <c r="AS7" s="12">
        <f t="shared" si="110"/>
        <v>1</v>
      </c>
      <c r="AT7" s="12">
        <f t="shared" si="10"/>
        <v>64.467903564992397</v>
      </c>
      <c r="AU7" s="3">
        <v>9</v>
      </c>
      <c r="AV7" s="5">
        <v>9</v>
      </c>
      <c r="AW7" s="12">
        <f t="shared" si="111"/>
        <v>1</v>
      </c>
      <c r="AX7" s="12">
        <f t="shared" si="11"/>
        <v>64.467903564992397</v>
      </c>
      <c r="AY7" s="3">
        <v>9</v>
      </c>
      <c r="AZ7" s="5">
        <v>9</v>
      </c>
      <c r="BA7" s="12">
        <f t="shared" si="112"/>
        <v>1</v>
      </c>
      <c r="BB7" s="12">
        <f t="shared" si="12"/>
        <v>64.467903564992397</v>
      </c>
      <c r="BC7" s="3">
        <v>10</v>
      </c>
      <c r="BD7" s="3">
        <v>10</v>
      </c>
      <c r="BE7" s="12">
        <f t="shared" si="113"/>
        <v>1</v>
      </c>
      <c r="BF7" s="12">
        <f t="shared" si="13"/>
        <v>81.526284998373825</v>
      </c>
      <c r="BG7" s="3">
        <v>10</v>
      </c>
      <c r="BH7" s="5">
        <v>10</v>
      </c>
      <c r="BI7" s="12">
        <f t="shared" si="114"/>
        <v>1</v>
      </c>
      <c r="BJ7" s="12">
        <f t="shared" si="14"/>
        <v>81.526284998373825</v>
      </c>
      <c r="BK7" s="3">
        <v>10</v>
      </c>
      <c r="BL7" s="5">
        <v>10</v>
      </c>
      <c r="BM7" s="12">
        <f t="shared" si="115"/>
        <v>1</v>
      </c>
      <c r="BN7" s="12">
        <f t="shared" si="15"/>
        <v>81.526284998373825</v>
      </c>
      <c r="BO7" s="3">
        <v>10</v>
      </c>
      <c r="BP7" s="5">
        <v>10</v>
      </c>
      <c r="BQ7" s="12">
        <f t="shared" si="116"/>
        <v>1</v>
      </c>
      <c r="BR7" s="12">
        <f t="shared" si="16"/>
        <v>81.526284998373825</v>
      </c>
      <c r="BS7" s="3">
        <v>10</v>
      </c>
      <c r="BT7" s="5">
        <v>10</v>
      </c>
      <c r="BU7" s="12">
        <f t="shared" si="117"/>
        <v>1</v>
      </c>
      <c r="BV7" s="12">
        <f t="shared" si="17"/>
        <v>81.526284998373825</v>
      </c>
      <c r="BW7" s="3">
        <v>10</v>
      </c>
      <c r="BX7" s="5">
        <v>10</v>
      </c>
      <c r="BY7" s="12">
        <f t="shared" si="118"/>
        <v>1</v>
      </c>
      <c r="BZ7" s="12">
        <f t="shared" si="18"/>
        <v>81.526284998373825</v>
      </c>
      <c r="CA7" s="3">
        <v>10</v>
      </c>
      <c r="CB7" s="3">
        <v>10</v>
      </c>
      <c r="CC7" s="12">
        <f t="shared" si="119"/>
        <v>1</v>
      </c>
      <c r="CD7" s="12">
        <f t="shared" si="19"/>
        <v>81.526284998373825</v>
      </c>
      <c r="CE7" s="3">
        <v>9</v>
      </c>
      <c r="CF7" s="5">
        <v>9</v>
      </c>
      <c r="CG7" s="12">
        <f t="shared" si="120"/>
        <v>1</v>
      </c>
      <c r="CH7" s="12">
        <f t="shared" si="20"/>
        <v>64.467903564992397</v>
      </c>
      <c r="CI7" s="3">
        <v>10</v>
      </c>
      <c r="CJ7" s="3">
        <v>10</v>
      </c>
      <c r="CK7" s="12">
        <f t="shared" si="121"/>
        <v>1</v>
      </c>
      <c r="CL7" s="12">
        <f t="shared" si="21"/>
        <v>81.526284998373825</v>
      </c>
      <c r="CM7" s="3">
        <v>10</v>
      </c>
      <c r="CN7" s="5">
        <v>10</v>
      </c>
      <c r="CO7" s="12">
        <f t="shared" si="122"/>
        <v>1</v>
      </c>
      <c r="CP7" s="12">
        <f t="shared" si="22"/>
        <v>81.526284998373825</v>
      </c>
      <c r="CQ7" s="3">
        <v>7</v>
      </c>
      <c r="CR7" s="3">
        <v>6</v>
      </c>
      <c r="CS7" s="12">
        <f t="shared" si="123"/>
        <v>0.8571428571428571</v>
      </c>
      <c r="CT7" s="12">
        <f t="shared" si="23"/>
        <v>25.29275926484809</v>
      </c>
      <c r="CU7" s="3">
        <v>3</v>
      </c>
      <c r="CV7" s="3">
        <v>3</v>
      </c>
      <c r="CW7" s="12">
        <f t="shared" si="124"/>
        <v>1</v>
      </c>
      <c r="CX7" s="12">
        <f t="shared" si="24"/>
        <v>4.117614964703785</v>
      </c>
      <c r="CY7" s="3">
        <v>2</v>
      </c>
      <c r="CZ7" s="5">
        <v>2</v>
      </c>
      <c r="DA7" s="12">
        <f t="shared" si="125"/>
        <v>1</v>
      </c>
      <c r="DB7" s="12">
        <f t="shared" si="25"/>
        <v>1.0592335313223513</v>
      </c>
      <c r="DC7" s="3">
        <v>8</v>
      </c>
      <c r="DD7" s="3">
        <v>7</v>
      </c>
      <c r="DE7" s="12">
        <f t="shared" si="126"/>
        <v>0.875</v>
      </c>
      <c r="DF7" s="12">
        <f t="shared" si="26"/>
        <v>36.351140698229528</v>
      </c>
      <c r="DG7" s="3">
        <v>8</v>
      </c>
      <c r="DH7" s="5">
        <v>7</v>
      </c>
      <c r="DI7" s="12">
        <f t="shared" si="127"/>
        <v>0.875</v>
      </c>
      <c r="DJ7" s="12">
        <f t="shared" si="27"/>
        <v>36.351140698229528</v>
      </c>
      <c r="DK7" s="3">
        <v>9</v>
      </c>
      <c r="DL7" s="3">
        <v>9</v>
      </c>
      <c r="DM7" s="12">
        <f t="shared" si="128"/>
        <v>1</v>
      </c>
      <c r="DN7" s="12">
        <f t="shared" si="28"/>
        <v>64.467903564992397</v>
      </c>
      <c r="DO7" s="3">
        <v>9</v>
      </c>
      <c r="DP7" s="5">
        <v>9</v>
      </c>
      <c r="DQ7" s="12">
        <f t="shared" si="129"/>
        <v>1</v>
      </c>
      <c r="DR7" s="12">
        <f t="shared" si="29"/>
        <v>64.467903564992397</v>
      </c>
      <c r="DS7" s="3">
        <v>8</v>
      </c>
      <c r="DT7" s="3">
        <v>8</v>
      </c>
      <c r="DU7" s="12">
        <f t="shared" si="130"/>
        <v>1</v>
      </c>
      <c r="DV7" s="12">
        <f t="shared" si="30"/>
        <v>49.409522131610963</v>
      </c>
      <c r="DW7" s="3">
        <v>7</v>
      </c>
      <c r="DX7" s="3">
        <v>7</v>
      </c>
      <c r="DY7" s="12">
        <f t="shared" si="131"/>
        <v>1</v>
      </c>
      <c r="DZ7" s="12">
        <f t="shared" si="31"/>
        <v>36.351140698229528</v>
      </c>
      <c r="EA7" s="3">
        <v>8</v>
      </c>
      <c r="EB7" s="3">
        <v>8</v>
      </c>
      <c r="EC7" s="12">
        <f t="shared" si="32"/>
        <v>1</v>
      </c>
      <c r="ED7" s="12">
        <f t="shared" si="33"/>
        <v>49.409522131610963</v>
      </c>
      <c r="EE7" s="3">
        <v>7</v>
      </c>
      <c r="EF7" s="3">
        <v>7</v>
      </c>
      <c r="EG7" s="12">
        <f t="shared" si="34"/>
        <v>1</v>
      </c>
      <c r="EH7" s="12">
        <f t="shared" si="35"/>
        <v>36.351140698229528</v>
      </c>
      <c r="EI7" s="3">
        <v>10</v>
      </c>
      <c r="EJ7" s="3">
        <v>10</v>
      </c>
      <c r="EK7" s="12">
        <f t="shared" si="36"/>
        <v>1</v>
      </c>
      <c r="EL7" s="12">
        <f t="shared" si="37"/>
        <v>81.526284998373825</v>
      </c>
      <c r="EM7" s="3">
        <v>8</v>
      </c>
      <c r="EN7" s="3">
        <v>8</v>
      </c>
      <c r="EO7" s="12">
        <f t="shared" si="38"/>
        <v>1</v>
      </c>
      <c r="EP7" s="12">
        <f t="shared" si="39"/>
        <v>49.409522131610963</v>
      </c>
      <c r="EQ7" s="3">
        <v>7</v>
      </c>
      <c r="ER7" s="3">
        <v>6</v>
      </c>
      <c r="ES7" s="12">
        <f t="shared" si="40"/>
        <v>0.8571428571428571</v>
      </c>
      <c r="ET7" s="12">
        <f t="shared" si="41"/>
        <v>25.29275926484809</v>
      </c>
      <c r="EU7" s="3">
        <v>9</v>
      </c>
      <c r="EV7" s="3">
        <v>8</v>
      </c>
      <c r="EW7" s="12">
        <f t="shared" si="42"/>
        <v>0.88888888888888884</v>
      </c>
      <c r="EX7" s="12">
        <f t="shared" si="43"/>
        <v>49.409522131610963</v>
      </c>
      <c r="EY7" s="3">
        <v>9</v>
      </c>
      <c r="EZ7" s="3">
        <v>8</v>
      </c>
      <c r="FA7" s="12">
        <f t="shared" si="44"/>
        <v>0.88888888888888884</v>
      </c>
      <c r="FB7" s="12">
        <f t="shared" si="45"/>
        <v>49.409522131610963</v>
      </c>
      <c r="FC7" s="3">
        <v>8</v>
      </c>
      <c r="FD7" s="3">
        <v>8</v>
      </c>
      <c r="FE7" s="12">
        <f t="shared" si="46"/>
        <v>1</v>
      </c>
      <c r="FF7" s="12">
        <f t="shared" si="47"/>
        <v>49.409522131610963</v>
      </c>
      <c r="FG7" s="3">
        <v>9</v>
      </c>
      <c r="FH7" s="3">
        <v>9</v>
      </c>
      <c r="FI7" s="12">
        <f t="shared" si="48"/>
        <v>1</v>
      </c>
      <c r="FJ7" s="12">
        <f t="shared" si="49"/>
        <v>64.467903564992397</v>
      </c>
      <c r="FK7" s="3">
        <v>8</v>
      </c>
      <c r="FL7" s="3">
        <v>7</v>
      </c>
      <c r="FM7" s="12">
        <f t="shared" si="50"/>
        <v>0.875</v>
      </c>
      <c r="FN7" s="12">
        <f t="shared" si="51"/>
        <v>36.351140698229528</v>
      </c>
      <c r="FO7" s="3">
        <v>8</v>
      </c>
      <c r="FP7" s="3">
        <v>7</v>
      </c>
      <c r="FQ7" s="12">
        <f t="shared" si="52"/>
        <v>0.875</v>
      </c>
      <c r="FR7" s="12">
        <f t="shared" si="53"/>
        <v>36.351140698229528</v>
      </c>
      <c r="FS7" s="3">
        <v>7</v>
      </c>
      <c r="FT7" s="3">
        <v>6</v>
      </c>
      <c r="FU7" s="12">
        <f t="shared" si="54"/>
        <v>0.8571428571428571</v>
      </c>
      <c r="FV7" s="12">
        <f t="shared" si="55"/>
        <v>25.29275926484809</v>
      </c>
      <c r="FW7" s="3">
        <v>7</v>
      </c>
      <c r="FX7" s="3">
        <v>7</v>
      </c>
      <c r="FY7" s="12">
        <f t="shared" si="56"/>
        <v>1</v>
      </c>
      <c r="FZ7" s="12">
        <f t="shared" si="57"/>
        <v>36.351140698229528</v>
      </c>
      <c r="GA7" s="3">
        <v>6</v>
      </c>
      <c r="GB7" s="3">
        <v>6</v>
      </c>
      <c r="GC7" s="12">
        <f t="shared" si="58"/>
        <v>1</v>
      </c>
      <c r="GD7" s="12">
        <f t="shared" si="59"/>
        <v>25.29275926484809</v>
      </c>
      <c r="GE7" s="3">
        <v>6</v>
      </c>
      <c r="GF7" s="3">
        <v>6</v>
      </c>
      <c r="GG7" s="12">
        <f t="shared" si="60"/>
        <v>1</v>
      </c>
      <c r="GH7" s="12">
        <f t="shared" si="61"/>
        <v>25.29275926484809</v>
      </c>
      <c r="GI7" s="3">
        <v>9</v>
      </c>
      <c r="GJ7" s="3">
        <v>9</v>
      </c>
      <c r="GK7" s="12">
        <f t="shared" si="62"/>
        <v>1</v>
      </c>
      <c r="GL7" s="12">
        <f t="shared" si="63"/>
        <v>64.467903564992397</v>
      </c>
      <c r="GM7" s="3">
        <v>8</v>
      </c>
      <c r="GN7" s="3">
        <v>7</v>
      </c>
      <c r="GO7" s="12">
        <f t="shared" si="64"/>
        <v>0.875</v>
      </c>
      <c r="GP7" s="12">
        <f t="shared" si="65"/>
        <v>36.351140698229528</v>
      </c>
      <c r="GQ7" s="3">
        <v>6</v>
      </c>
      <c r="GR7" s="3">
        <v>6</v>
      </c>
      <c r="GS7" s="12">
        <f t="shared" si="66"/>
        <v>1</v>
      </c>
      <c r="GT7" s="12">
        <f t="shared" si="67"/>
        <v>25.29275926484809</v>
      </c>
      <c r="GU7" s="3">
        <v>8</v>
      </c>
      <c r="GV7" s="3">
        <v>8</v>
      </c>
      <c r="GW7" s="12">
        <f t="shared" si="68"/>
        <v>1</v>
      </c>
      <c r="GX7" s="12">
        <f t="shared" si="69"/>
        <v>49.409522131610963</v>
      </c>
      <c r="GY7" s="3">
        <v>8</v>
      </c>
      <c r="GZ7" s="3">
        <v>8</v>
      </c>
      <c r="HA7" s="12">
        <f t="shared" si="70"/>
        <v>1</v>
      </c>
      <c r="HB7" s="12">
        <f t="shared" si="71"/>
        <v>49.409522131610963</v>
      </c>
      <c r="HC7" s="3">
        <v>9</v>
      </c>
      <c r="HD7" s="3">
        <v>9</v>
      </c>
      <c r="HE7" s="12">
        <f t="shared" si="72"/>
        <v>1</v>
      </c>
      <c r="HF7" s="12">
        <f t="shared" si="73"/>
        <v>64.467903564992397</v>
      </c>
      <c r="HG7" s="3">
        <v>9</v>
      </c>
      <c r="HH7" s="3">
        <v>9</v>
      </c>
      <c r="HI7" s="12">
        <f t="shared" si="74"/>
        <v>1</v>
      </c>
      <c r="HJ7" s="12">
        <f t="shared" si="75"/>
        <v>64.467903564992397</v>
      </c>
      <c r="HK7" s="3">
        <v>9</v>
      </c>
      <c r="HL7" s="3">
        <v>8</v>
      </c>
      <c r="HM7" s="12">
        <f t="shared" si="76"/>
        <v>0.88888888888888884</v>
      </c>
      <c r="HN7" s="12">
        <f t="shared" si="77"/>
        <v>49.409522131610963</v>
      </c>
      <c r="HO7" s="3">
        <v>6</v>
      </c>
      <c r="HP7" s="3">
        <v>6</v>
      </c>
      <c r="HQ7" s="12">
        <f t="shared" si="78"/>
        <v>1</v>
      </c>
      <c r="HR7" s="12">
        <f t="shared" si="79"/>
        <v>25.29275926484809</v>
      </c>
      <c r="HS7" s="3">
        <v>9</v>
      </c>
      <c r="HT7" s="3">
        <v>8</v>
      </c>
      <c r="HU7" s="12">
        <f t="shared" si="80"/>
        <v>0.88888888888888884</v>
      </c>
      <c r="HV7" s="12">
        <f t="shared" si="81"/>
        <v>49.409522131610963</v>
      </c>
      <c r="HW7" s="3">
        <v>10</v>
      </c>
      <c r="HX7" s="3">
        <v>10</v>
      </c>
      <c r="HY7" s="12">
        <f t="shared" si="82"/>
        <v>1</v>
      </c>
      <c r="HZ7" s="12">
        <f t="shared" si="83"/>
        <v>81.526284998373825</v>
      </c>
      <c r="IA7" s="3">
        <v>7</v>
      </c>
      <c r="IB7" s="3">
        <v>7</v>
      </c>
      <c r="IC7" s="12">
        <f t="shared" si="84"/>
        <v>1</v>
      </c>
      <c r="ID7" s="12">
        <f t="shared" si="85"/>
        <v>36.351140698229528</v>
      </c>
      <c r="IE7" s="3">
        <v>6</v>
      </c>
      <c r="IF7" s="3">
        <v>6</v>
      </c>
      <c r="IG7" s="12">
        <f t="shared" si="86"/>
        <v>1</v>
      </c>
      <c r="IH7" s="12">
        <f t="shared" si="87"/>
        <v>25.29275926484809</v>
      </c>
      <c r="II7" s="3">
        <v>10</v>
      </c>
      <c r="IJ7" s="3">
        <v>10</v>
      </c>
      <c r="IK7" s="12">
        <f t="shared" si="88"/>
        <v>1</v>
      </c>
      <c r="IL7" s="12">
        <f t="shared" si="89"/>
        <v>81.526284998373825</v>
      </c>
      <c r="IM7" s="3">
        <v>8</v>
      </c>
      <c r="IN7" s="3">
        <v>8</v>
      </c>
      <c r="IO7" s="12">
        <f t="shared" si="90"/>
        <v>1</v>
      </c>
      <c r="IP7" s="12">
        <f t="shared" si="91"/>
        <v>49.409522131610963</v>
      </c>
      <c r="IQ7" s="3">
        <v>7</v>
      </c>
      <c r="IR7" s="3">
        <v>4</v>
      </c>
      <c r="IS7" s="12">
        <f t="shared" si="92"/>
        <v>0.5714285714285714</v>
      </c>
      <c r="IT7" s="12">
        <f t="shared" si="93"/>
        <v>9.1759963980852195</v>
      </c>
      <c r="IU7" s="3">
        <v>6</v>
      </c>
      <c r="IV7" s="3">
        <v>6</v>
      </c>
      <c r="IW7" s="12">
        <f t="shared" si="94"/>
        <v>1</v>
      </c>
      <c r="IX7" s="12">
        <f t="shared" si="95"/>
        <v>25.29275926484809</v>
      </c>
      <c r="IY7" s="3">
        <v>7</v>
      </c>
      <c r="IZ7" s="3">
        <v>7</v>
      </c>
      <c r="JA7" s="12">
        <f t="shared" si="96"/>
        <v>1</v>
      </c>
      <c r="JB7" s="12">
        <f t="shared" si="97"/>
        <v>36.351140698229528</v>
      </c>
      <c r="JC7" s="3">
        <v>8</v>
      </c>
      <c r="JD7" s="5">
        <v>8</v>
      </c>
      <c r="JE7" s="12">
        <f t="shared" si="98"/>
        <v>1</v>
      </c>
      <c r="JF7" s="12">
        <f t="shared" si="99"/>
        <v>49.409522131610963</v>
      </c>
      <c r="JG7" s="4">
        <f t="shared" ref="JG7:JG11" si="139">COUNT(C7,G7,K7,O7,S7,W7,AA7,AE7,AI7,AM7,AQ7,AU7,AY7,BC7,BG7,BK7,BO7,BS7,BW7,CA7,CE7,CI7,CM7,CQ7,CU7,CY7,DC7,DG7,DK7,DO7,DS7,DW7,HW7,IA7,IE7,II7,IM7,IQ7,IU7,IY7,JC7,EA7,EE7,EI7,GY7,HC7,HG7,HK7,HO7,HS7,EM7,EQ7,EU7,EY7,FC7,FG7,FK7,FO7,FS7,FW7,GA7,GE7,GI7,GM7,GQ7,GU7)</f>
        <v>66</v>
      </c>
      <c r="JH7" s="15">
        <f t="shared" si="133"/>
        <v>97.080928330928316</v>
      </c>
      <c r="JI7" s="15">
        <f t="shared" si="134"/>
        <v>0.97080928330928307</v>
      </c>
      <c r="JJ7" s="15">
        <f t="shared" si="135"/>
        <v>7.3240165001688746</v>
      </c>
      <c r="JK7" s="16">
        <f t="shared" si="136"/>
        <v>97.080928330928316</v>
      </c>
      <c r="JL7" s="17" t="s">
        <v>3</v>
      </c>
      <c r="JM7" s="24">
        <f t="shared" si="137"/>
        <v>7.3240165001688746</v>
      </c>
      <c r="JN7" s="4" t="str">
        <f t="shared" si="138"/>
        <v>отлично</v>
      </c>
    </row>
    <row r="8" spans="1:274" ht="48.75" customHeight="1" thickBot="1" x14ac:dyDescent="0.3">
      <c r="A8" s="21">
        <v>6</v>
      </c>
      <c r="B8" s="31" t="s">
        <v>12</v>
      </c>
      <c r="C8" s="3">
        <v>10</v>
      </c>
      <c r="D8" s="3">
        <v>10</v>
      </c>
      <c r="E8" s="8">
        <f t="shared" si="100"/>
        <v>1</v>
      </c>
      <c r="F8" s="12">
        <f t="shared" si="0"/>
        <v>81.594050577618489</v>
      </c>
      <c r="G8" s="3">
        <v>10</v>
      </c>
      <c r="H8" s="5">
        <v>10</v>
      </c>
      <c r="I8" s="12">
        <f t="shared" si="101"/>
        <v>1</v>
      </c>
      <c r="J8" s="12">
        <f t="shared" si="1"/>
        <v>81.594050577618489</v>
      </c>
      <c r="K8" s="3">
        <v>10</v>
      </c>
      <c r="L8" s="5">
        <v>9</v>
      </c>
      <c r="M8" s="12">
        <f t="shared" si="102"/>
        <v>0.9</v>
      </c>
      <c r="N8" s="12">
        <f t="shared" si="2"/>
        <v>64.528165536733454</v>
      </c>
      <c r="O8" s="3">
        <v>10</v>
      </c>
      <c r="P8" s="3">
        <v>9</v>
      </c>
      <c r="Q8" s="12">
        <f t="shared" si="103"/>
        <v>0.9</v>
      </c>
      <c r="R8" s="12">
        <f t="shared" si="3"/>
        <v>64.528165536733454</v>
      </c>
      <c r="S8" s="3">
        <v>9</v>
      </c>
      <c r="T8" s="3">
        <v>9</v>
      </c>
      <c r="U8" s="12">
        <f t="shared" si="104"/>
        <v>1</v>
      </c>
      <c r="V8" s="12">
        <f t="shared" si="4"/>
        <v>64.528165536733454</v>
      </c>
      <c r="W8" s="3">
        <v>9</v>
      </c>
      <c r="X8" s="3">
        <v>9</v>
      </c>
      <c r="Y8" s="12">
        <f t="shared" si="105"/>
        <v>1</v>
      </c>
      <c r="Z8" s="12">
        <f t="shared" si="5"/>
        <v>64.528165536733454</v>
      </c>
      <c r="AA8" s="3">
        <v>9</v>
      </c>
      <c r="AB8" s="3">
        <v>9</v>
      </c>
      <c r="AC8" s="12">
        <f t="shared" si="106"/>
        <v>1</v>
      </c>
      <c r="AD8" s="12">
        <f t="shared" si="6"/>
        <v>64.528165536733454</v>
      </c>
      <c r="AE8" s="3">
        <v>10</v>
      </c>
      <c r="AF8" s="5">
        <v>10</v>
      </c>
      <c r="AG8" s="12">
        <f t="shared" si="107"/>
        <v>1</v>
      </c>
      <c r="AH8" s="12">
        <f t="shared" si="7"/>
        <v>81.594050577618489</v>
      </c>
      <c r="AI8" s="3">
        <v>10</v>
      </c>
      <c r="AJ8" s="5">
        <v>10</v>
      </c>
      <c r="AK8" s="12">
        <f t="shared" si="108"/>
        <v>1</v>
      </c>
      <c r="AL8" s="12">
        <f t="shared" si="8"/>
        <v>81.594050577618489</v>
      </c>
      <c r="AM8" s="3">
        <v>10</v>
      </c>
      <c r="AN8" s="5">
        <v>10</v>
      </c>
      <c r="AO8" s="12">
        <f t="shared" si="109"/>
        <v>1</v>
      </c>
      <c r="AP8" s="12">
        <f t="shared" si="9"/>
        <v>81.594050577618489</v>
      </c>
      <c r="AQ8" s="3">
        <v>9</v>
      </c>
      <c r="AR8" s="5">
        <v>9</v>
      </c>
      <c r="AS8" s="12">
        <f t="shared" si="110"/>
        <v>1</v>
      </c>
      <c r="AT8" s="12">
        <f t="shared" si="10"/>
        <v>64.528165536733454</v>
      </c>
      <c r="AU8" s="3">
        <v>8</v>
      </c>
      <c r="AV8" s="5">
        <v>8</v>
      </c>
      <c r="AW8" s="12">
        <f t="shared" si="111"/>
        <v>1</v>
      </c>
      <c r="AX8" s="12">
        <f t="shared" si="11"/>
        <v>49.46228049584839</v>
      </c>
      <c r="AY8" s="3">
        <v>10</v>
      </c>
      <c r="AZ8" s="5">
        <v>10</v>
      </c>
      <c r="BA8" s="12">
        <f t="shared" si="112"/>
        <v>1</v>
      </c>
      <c r="BB8" s="12">
        <f t="shared" si="12"/>
        <v>81.594050577618489</v>
      </c>
      <c r="BC8" s="3">
        <v>10</v>
      </c>
      <c r="BD8" s="3">
        <v>10</v>
      </c>
      <c r="BE8" s="12">
        <f t="shared" si="113"/>
        <v>1</v>
      </c>
      <c r="BF8" s="12">
        <f t="shared" si="13"/>
        <v>81.594050577618489</v>
      </c>
      <c r="BG8" s="3">
        <v>10</v>
      </c>
      <c r="BH8" s="5">
        <v>10</v>
      </c>
      <c r="BI8" s="12">
        <f t="shared" si="114"/>
        <v>1</v>
      </c>
      <c r="BJ8" s="12">
        <f t="shared" si="14"/>
        <v>81.594050577618489</v>
      </c>
      <c r="BK8" s="3">
        <v>10</v>
      </c>
      <c r="BL8" s="5">
        <v>10</v>
      </c>
      <c r="BM8" s="12">
        <f t="shared" si="115"/>
        <v>1</v>
      </c>
      <c r="BN8" s="12">
        <f t="shared" si="15"/>
        <v>81.594050577618489</v>
      </c>
      <c r="BO8" s="3">
        <v>10</v>
      </c>
      <c r="BP8" s="5">
        <v>10</v>
      </c>
      <c r="BQ8" s="12">
        <f t="shared" si="116"/>
        <v>1</v>
      </c>
      <c r="BR8" s="12">
        <f t="shared" si="16"/>
        <v>81.594050577618489</v>
      </c>
      <c r="BS8" s="3">
        <v>10</v>
      </c>
      <c r="BT8" s="5">
        <v>10</v>
      </c>
      <c r="BU8" s="12">
        <f t="shared" si="117"/>
        <v>1</v>
      </c>
      <c r="BV8" s="12">
        <f t="shared" si="17"/>
        <v>81.594050577618489</v>
      </c>
      <c r="BW8" s="3">
        <v>9</v>
      </c>
      <c r="BX8" s="5">
        <v>10</v>
      </c>
      <c r="BY8" s="12">
        <f t="shared" si="118"/>
        <v>1.1111111111111112</v>
      </c>
      <c r="BZ8" s="12">
        <f t="shared" si="18"/>
        <v>81.594050577618489</v>
      </c>
      <c r="CA8" s="3">
        <v>9</v>
      </c>
      <c r="CB8" s="3">
        <v>9</v>
      </c>
      <c r="CC8" s="12">
        <f t="shared" si="119"/>
        <v>1</v>
      </c>
      <c r="CD8" s="12">
        <f t="shared" si="19"/>
        <v>64.528165536733454</v>
      </c>
      <c r="CE8" s="3">
        <v>10</v>
      </c>
      <c r="CF8" s="5">
        <v>10</v>
      </c>
      <c r="CG8" s="12">
        <f t="shared" si="120"/>
        <v>1</v>
      </c>
      <c r="CH8" s="12">
        <f t="shared" si="20"/>
        <v>81.594050577618489</v>
      </c>
      <c r="CI8" s="3">
        <v>10</v>
      </c>
      <c r="CJ8" s="3">
        <v>10</v>
      </c>
      <c r="CK8" s="12">
        <f t="shared" si="121"/>
        <v>1</v>
      </c>
      <c r="CL8" s="12">
        <f t="shared" si="21"/>
        <v>81.594050577618489</v>
      </c>
      <c r="CM8" s="3">
        <v>10</v>
      </c>
      <c r="CN8" s="5">
        <v>10</v>
      </c>
      <c r="CO8" s="12">
        <f t="shared" si="122"/>
        <v>1</v>
      </c>
      <c r="CP8" s="12">
        <f t="shared" si="22"/>
        <v>81.594050577618489</v>
      </c>
      <c r="CQ8" s="3">
        <v>9</v>
      </c>
      <c r="CR8" s="3">
        <v>8</v>
      </c>
      <c r="CS8" s="12">
        <f t="shared" si="123"/>
        <v>0.88888888888888884</v>
      </c>
      <c r="CT8" s="12">
        <f t="shared" si="23"/>
        <v>49.46228049584839</v>
      </c>
      <c r="CU8" s="3">
        <v>7</v>
      </c>
      <c r="CV8" s="3">
        <v>7</v>
      </c>
      <c r="CW8" s="12">
        <f t="shared" si="124"/>
        <v>1</v>
      </c>
      <c r="CX8" s="12">
        <f t="shared" si="24"/>
        <v>36.396395454963354</v>
      </c>
      <c r="CY8" s="3">
        <v>7</v>
      </c>
      <c r="CZ8" s="5">
        <v>6</v>
      </c>
      <c r="DA8" s="12">
        <f t="shared" si="125"/>
        <v>0.8571428571428571</v>
      </c>
      <c r="DB8" s="12">
        <f t="shared" si="25"/>
        <v>25.330510414078311</v>
      </c>
      <c r="DC8" s="3">
        <v>8</v>
      </c>
      <c r="DD8" s="3">
        <v>8</v>
      </c>
      <c r="DE8" s="12">
        <f t="shared" si="126"/>
        <v>1</v>
      </c>
      <c r="DF8" s="12">
        <f t="shared" si="26"/>
        <v>49.46228049584839</v>
      </c>
      <c r="DG8" s="3">
        <v>9</v>
      </c>
      <c r="DH8" s="5">
        <v>9</v>
      </c>
      <c r="DI8" s="12">
        <f t="shared" si="127"/>
        <v>1</v>
      </c>
      <c r="DJ8" s="12">
        <f t="shared" si="27"/>
        <v>64.528165536733454</v>
      </c>
      <c r="DK8" s="3">
        <v>9</v>
      </c>
      <c r="DL8" s="3">
        <v>9</v>
      </c>
      <c r="DM8" s="12">
        <f t="shared" si="128"/>
        <v>1</v>
      </c>
      <c r="DN8" s="12">
        <f t="shared" si="28"/>
        <v>64.528165536733454</v>
      </c>
      <c r="DO8" s="3">
        <v>9</v>
      </c>
      <c r="DP8" s="5">
        <v>7</v>
      </c>
      <c r="DQ8" s="12">
        <f t="shared" si="129"/>
        <v>0.77777777777777779</v>
      </c>
      <c r="DR8" s="12">
        <f t="shared" si="29"/>
        <v>36.396395454963354</v>
      </c>
      <c r="DS8" s="3">
        <v>7</v>
      </c>
      <c r="DT8" s="3">
        <v>7</v>
      </c>
      <c r="DU8" s="12">
        <f t="shared" si="130"/>
        <v>1</v>
      </c>
      <c r="DV8" s="12">
        <f t="shared" si="30"/>
        <v>36.396395454963354</v>
      </c>
      <c r="DW8" s="3">
        <v>9</v>
      </c>
      <c r="DX8" s="3">
        <v>9</v>
      </c>
      <c r="DY8" s="12">
        <f t="shared" si="131"/>
        <v>1</v>
      </c>
      <c r="DZ8" s="12">
        <f t="shared" si="31"/>
        <v>64.528165536733454</v>
      </c>
      <c r="EA8" s="3">
        <v>7</v>
      </c>
      <c r="EB8" s="3">
        <v>7</v>
      </c>
      <c r="EC8" s="12">
        <f t="shared" si="32"/>
        <v>1</v>
      </c>
      <c r="ED8" s="12">
        <f t="shared" si="33"/>
        <v>36.396395454963354</v>
      </c>
      <c r="EE8" s="3">
        <v>8</v>
      </c>
      <c r="EF8" s="3">
        <v>8</v>
      </c>
      <c r="EG8" s="12">
        <f t="shared" si="34"/>
        <v>1</v>
      </c>
      <c r="EH8" s="12">
        <f t="shared" si="35"/>
        <v>49.46228049584839</v>
      </c>
      <c r="EI8" s="3">
        <v>10</v>
      </c>
      <c r="EJ8" s="3">
        <v>10</v>
      </c>
      <c r="EK8" s="12">
        <f t="shared" si="36"/>
        <v>1</v>
      </c>
      <c r="EL8" s="12">
        <f t="shared" si="37"/>
        <v>81.594050577618489</v>
      </c>
      <c r="EM8" s="3">
        <v>9</v>
      </c>
      <c r="EN8" s="3">
        <v>9</v>
      </c>
      <c r="EO8" s="12">
        <f t="shared" si="38"/>
        <v>1</v>
      </c>
      <c r="EP8" s="12">
        <f t="shared" si="39"/>
        <v>64.528165536733454</v>
      </c>
      <c r="EQ8" s="3">
        <v>7</v>
      </c>
      <c r="ER8" s="3">
        <v>7</v>
      </c>
      <c r="ES8" s="12">
        <f t="shared" si="40"/>
        <v>1</v>
      </c>
      <c r="ET8" s="12">
        <f t="shared" si="41"/>
        <v>36.396395454963354</v>
      </c>
      <c r="EU8" s="3">
        <v>8</v>
      </c>
      <c r="EV8" s="3">
        <v>7</v>
      </c>
      <c r="EW8" s="12">
        <f t="shared" si="42"/>
        <v>0.875</v>
      </c>
      <c r="EX8" s="12">
        <f t="shared" si="43"/>
        <v>36.396395454963354</v>
      </c>
      <c r="EY8" s="3">
        <v>8</v>
      </c>
      <c r="EZ8" s="3">
        <v>8</v>
      </c>
      <c r="FA8" s="12">
        <f t="shared" si="44"/>
        <v>1</v>
      </c>
      <c r="FB8" s="12">
        <f t="shared" si="45"/>
        <v>49.46228049584839</v>
      </c>
      <c r="FC8" s="3">
        <v>9</v>
      </c>
      <c r="FD8" s="3">
        <v>8</v>
      </c>
      <c r="FE8" s="12">
        <f t="shared" si="46"/>
        <v>0.88888888888888884</v>
      </c>
      <c r="FF8" s="12">
        <f t="shared" si="47"/>
        <v>49.46228049584839</v>
      </c>
      <c r="FG8" s="3">
        <v>8</v>
      </c>
      <c r="FH8" s="3">
        <v>8</v>
      </c>
      <c r="FI8" s="12">
        <f t="shared" si="48"/>
        <v>1</v>
      </c>
      <c r="FJ8" s="12">
        <f t="shared" si="49"/>
        <v>49.46228049584839</v>
      </c>
      <c r="FK8" s="3">
        <v>9</v>
      </c>
      <c r="FL8" s="3">
        <v>8</v>
      </c>
      <c r="FM8" s="12">
        <f t="shared" si="50"/>
        <v>0.88888888888888884</v>
      </c>
      <c r="FN8" s="12">
        <f t="shared" si="51"/>
        <v>49.46228049584839</v>
      </c>
      <c r="FO8" s="3">
        <v>7</v>
      </c>
      <c r="FP8" s="3">
        <v>6</v>
      </c>
      <c r="FQ8" s="12">
        <f t="shared" si="52"/>
        <v>0.8571428571428571</v>
      </c>
      <c r="FR8" s="12">
        <f t="shared" si="53"/>
        <v>25.330510414078311</v>
      </c>
      <c r="FS8" s="3">
        <v>8</v>
      </c>
      <c r="FT8" s="3">
        <v>8</v>
      </c>
      <c r="FU8" s="12">
        <f t="shared" si="54"/>
        <v>1</v>
      </c>
      <c r="FV8" s="12">
        <f t="shared" si="55"/>
        <v>49.46228049584839</v>
      </c>
      <c r="FW8" s="3">
        <v>8</v>
      </c>
      <c r="FX8" s="3">
        <v>8</v>
      </c>
      <c r="FY8" s="12">
        <f t="shared" si="56"/>
        <v>1</v>
      </c>
      <c r="FZ8" s="12">
        <f t="shared" si="57"/>
        <v>49.46228049584839</v>
      </c>
      <c r="GA8" s="3">
        <v>6</v>
      </c>
      <c r="GB8" s="3">
        <v>4</v>
      </c>
      <c r="GC8" s="12">
        <f t="shared" si="58"/>
        <v>0.66666666666666663</v>
      </c>
      <c r="GD8" s="12">
        <f t="shared" si="59"/>
        <v>9.198740332308228</v>
      </c>
      <c r="GE8" s="3">
        <v>7</v>
      </c>
      <c r="GF8" s="3">
        <v>7</v>
      </c>
      <c r="GG8" s="12">
        <f t="shared" si="60"/>
        <v>1</v>
      </c>
      <c r="GH8" s="12">
        <f t="shared" si="61"/>
        <v>36.396395454963354</v>
      </c>
      <c r="GI8" s="3">
        <v>9</v>
      </c>
      <c r="GJ8" s="3">
        <v>9</v>
      </c>
      <c r="GK8" s="12">
        <f t="shared" si="62"/>
        <v>1</v>
      </c>
      <c r="GL8" s="12">
        <f t="shared" si="63"/>
        <v>64.528165536733454</v>
      </c>
      <c r="GM8" s="3">
        <v>8</v>
      </c>
      <c r="GN8" s="3">
        <v>8</v>
      </c>
      <c r="GO8" s="12">
        <f t="shared" si="64"/>
        <v>1</v>
      </c>
      <c r="GP8" s="12">
        <f t="shared" si="65"/>
        <v>49.46228049584839</v>
      </c>
      <c r="GQ8" s="3">
        <v>9</v>
      </c>
      <c r="GR8" s="3">
        <v>9</v>
      </c>
      <c r="GS8" s="12">
        <f t="shared" si="66"/>
        <v>1</v>
      </c>
      <c r="GT8" s="12">
        <f t="shared" si="67"/>
        <v>64.528165536733454</v>
      </c>
      <c r="GU8" s="3">
        <v>6</v>
      </c>
      <c r="GV8" s="3">
        <v>6</v>
      </c>
      <c r="GW8" s="12">
        <f t="shared" si="68"/>
        <v>1</v>
      </c>
      <c r="GX8" s="12">
        <f t="shared" si="69"/>
        <v>25.330510414078311</v>
      </c>
      <c r="GY8" s="3">
        <v>9</v>
      </c>
      <c r="GZ8" s="3">
        <v>9</v>
      </c>
      <c r="HA8" s="12">
        <f t="shared" si="70"/>
        <v>1</v>
      </c>
      <c r="HB8" s="12">
        <f t="shared" si="71"/>
        <v>64.528165536733454</v>
      </c>
      <c r="HC8" s="3">
        <v>10</v>
      </c>
      <c r="HD8" s="3">
        <v>10</v>
      </c>
      <c r="HE8" s="12">
        <f t="shared" si="72"/>
        <v>1</v>
      </c>
      <c r="HF8" s="12">
        <f t="shared" si="73"/>
        <v>81.594050577618489</v>
      </c>
      <c r="HG8" s="3">
        <v>9</v>
      </c>
      <c r="HH8" s="3">
        <v>9</v>
      </c>
      <c r="HI8" s="12">
        <f t="shared" si="74"/>
        <v>1</v>
      </c>
      <c r="HJ8" s="12">
        <f t="shared" si="75"/>
        <v>64.528165536733454</v>
      </c>
      <c r="HK8" s="3">
        <v>7</v>
      </c>
      <c r="HL8" s="3">
        <v>7</v>
      </c>
      <c r="HM8" s="12">
        <f t="shared" si="76"/>
        <v>1</v>
      </c>
      <c r="HN8" s="12">
        <f t="shared" si="77"/>
        <v>36.396395454963354</v>
      </c>
      <c r="HO8" s="3">
        <v>7</v>
      </c>
      <c r="HP8" s="3">
        <v>7</v>
      </c>
      <c r="HQ8" s="12">
        <f t="shared" si="78"/>
        <v>1</v>
      </c>
      <c r="HR8" s="12">
        <f t="shared" si="79"/>
        <v>36.396395454963354</v>
      </c>
      <c r="HS8" s="3">
        <v>8</v>
      </c>
      <c r="HT8" s="3">
        <v>4</v>
      </c>
      <c r="HU8" s="12">
        <f t="shared" si="80"/>
        <v>0.5</v>
      </c>
      <c r="HV8" s="12">
        <f t="shared" si="81"/>
        <v>9.198740332308228</v>
      </c>
      <c r="HW8" s="3">
        <v>10</v>
      </c>
      <c r="HX8" s="3">
        <v>10</v>
      </c>
      <c r="HY8" s="12">
        <f t="shared" si="82"/>
        <v>1</v>
      </c>
      <c r="HZ8" s="12">
        <f t="shared" si="83"/>
        <v>81.594050577618489</v>
      </c>
      <c r="IA8" s="3">
        <v>9</v>
      </c>
      <c r="IB8" s="3">
        <v>9</v>
      </c>
      <c r="IC8" s="12">
        <f t="shared" si="84"/>
        <v>1</v>
      </c>
      <c r="ID8" s="12">
        <f t="shared" si="85"/>
        <v>64.528165536733454</v>
      </c>
      <c r="IE8" s="3">
        <v>7</v>
      </c>
      <c r="IF8" s="3">
        <v>5</v>
      </c>
      <c r="IG8" s="12">
        <f t="shared" si="86"/>
        <v>0.7142857142857143</v>
      </c>
      <c r="IH8" s="12">
        <f t="shared" si="87"/>
        <v>16.264625373193269</v>
      </c>
      <c r="II8" s="3">
        <v>10</v>
      </c>
      <c r="IJ8" s="3">
        <v>10</v>
      </c>
      <c r="IK8" s="12">
        <f t="shared" si="88"/>
        <v>1</v>
      </c>
      <c r="IL8" s="12">
        <f t="shared" si="89"/>
        <v>81.594050577618489</v>
      </c>
      <c r="IM8" s="3">
        <v>8</v>
      </c>
      <c r="IN8" s="3">
        <v>8</v>
      </c>
      <c r="IO8" s="12">
        <f t="shared" si="90"/>
        <v>1</v>
      </c>
      <c r="IP8" s="12">
        <f t="shared" si="91"/>
        <v>49.46228049584839</v>
      </c>
      <c r="IQ8" s="3">
        <v>8</v>
      </c>
      <c r="IR8" s="3">
        <v>8</v>
      </c>
      <c r="IS8" s="12">
        <f t="shared" si="92"/>
        <v>1</v>
      </c>
      <c r="IT8" s="12">
        <f t="shared" si="93"/>
        <v>49.46228049584839</v>
      </c>
      <c r="IU8" s="3">
        <v>7</v>
      </c>
      <c r="IV8" s="3">
        <v>7</v>
      </c>
      <c r="IW8" s="12">
        <f t="shared" si="94"/>
        <v>1</v>
      </c>
      <c r="IX8" s="12">
        <f t="shared" si="95"/>
        <v>36.396395454963354</v>
      </c>
      <c r="IY8" s="3">
        <v>7</v>
      </c>
      <c r="IZ8" s="3">
        <v>7</v>
      </c>
      <c r="JA8" s="12">
        <f t="shared" si="96"/>
        <v>1</v>
      </c>
      <c r="JB8" s="12">
        <f t="shared" si="97"/>
        <v>36.396395454963354</v>
      </c>
      <c r="JC8" s="3">
        <v>7</v>
      </c>
      <c r="JD8" s="5">
        <v>7</v>
      </c>
      <c r="JE8" s="12">
        <f t="shared" si="98"/>
        <v>1</v>
      </c>
      <c r="JF8" s="12">
        <f t="shared" si="99"/>
        <v>36.396395454963354</v>
      </c>
      <c r="JG8" s="4">
        <f t="shared" si="139"/>
        <v>66</v>
      </c>
      <c r="JH8" s="15">
        <f t="shared" si="133"/>
        <v>96.705747955747938</v>
      </c>
      <c r="JI8" s="15">
        <f t="shared" si="134"/>
        <v>0.96705747955747945</v>
      </c>
      <c r="JJ8" s="15">
        <f t="shared" si="135"/>
        <v>7.561022095758438</v>
      </c>
      <c r="JK8" s="16">
        <f t="shared" si="136"/>
        <v>96.705747955747938</v>
      </c>
      <c r="JL8" s="17" t="s">
        <v>3</v>
      </c>
      <c r="JM8" s="24">
        <f t="shared" si="137"/>
        <v>7.561022095758438</v>
      </c>
      <c r="JN8" s="4" t="str">
        <f t="shared" si="138"/>
        <v>отлично</v>
      </c>
    </row>
    <row r="9" spans="1:274" ht="77.25" customHeight="1" thickBot="1" x14ac:dyDescent="0.3">
      <c r="A9" s="21">
        <v>7</v>
      </c>
      <c r="B9" s="31" t="s">
        <v>16</v>
      </c>
      <c r="C9" s="3">
        <v>10</v>
      </c>
      <c r="D9" s="3">
        <v>10</v>
      </c>
      <c r="E9" s="8">
        <f t="shared" si="100"/>
        <v>1</v>
      </c>
      <c r="F9" s="12">
        <f t="shared" si="0"/>
        <v>81.942117584373477</v>
      </c>
      <c r="G9" s="3">
        <v>10</v>
      </c>
      <c r="H9" s="5">
        <v>6</v>
      </c>
      <c r="I9" s="12">
        <f t="shared" si="101"/>
        <v>0.6</v>
      </c>
      <c r="J9" s="12">
        <f t="shared" si="1"/>
        <v>25.524609166865055</v>
      </c>
      <c r="K9" s="3">
        <v>7</v>
      </c>
      <c r="L9" s="5">
        <v>6</v>
      </c>
      <c r="M9" s="12">
        <f t="shared" si="102"/>
        <v>0.8571428571428571</v>
      </c>
      <c r="N9" s="12">
        <f t="shared" si="2"/>
        <v>25.524609166865055</v>
      </c>
      <c r="O9" s="3">
        <v>10</v>
      </c>
      <c r="P9" s="3">
        <v>5</v>
      </c>
      <c r="Q9" s="12">
        <f t="shared" si="103"/>
        <v>0.5</v>
      </c>
      <c r="R9" s="12">
        <f t="shared" si="3"/>
        <v>16.420232062487951</v>
      </c>
      <c r="S9" s="3">
        <v>9</v>
      </c>
      <c r="T9" s="3">
        <v>9</v>
      </c>
      <c r="U9" s="12">
        <f t="shared" si="104"/>
        <v>1</v>
      </c>
      <c r="V9" s="12">
        <f t="shared" si="4"/>
        <v>64.83774047999637</v>
      </c>
      <c r="W9" s="3">
        <v>8</v>
      </c>
      <c r="X9" s="3">
        <v>8</v>
      </c>
      <c r="Y9" s="12">
        <f t="shared" si="105"/>
        <v>1</v>
      </c>
      <c r="Z9" s="12">
        <f t="shared" si="5"/>
        <v>49.733363375619263</v>
      </c>
      <c r="AA9" s="3">
        <v>8</v>
      </c>
      <c r="AB9" s="3">
        <v>8</v>
      </c>
      <c r="AC9" s="12">
        <f t="shared" si="106"/>
        <v>1</v>
      </c>
      <c r="AD9" s="12">
        <f t="shared" si="6"/>
        <v>49.733363375619263</v>
      </c>
      <c r="AE9" s="3">
        <v>10</v>
      </c>
      <c r="AF9" s="5">
        <v>7</v>
      </c>
      <c r="AG9" s="12">
        <f t="shared" si="107"/>
        <v>0.7</v>
      </c>
      <c r="AH9" s="12">
        <f t="shared" si="7"/>
        <v>36.628986271242162</v>
      </c>
      <c r="AI9" s="3">
        <v>10</v>
      </c>
      <c r="AJ9" s="5">
        <v>10</v>
      </c>
      <c r="AK9" s="12">
        <f t="shared" si="108"/>
        <v>1</v>
      </c>
      <c r="AL9" s="12">
        <f t="shared" si="8"/>
        <v>81.942117584373477</v>
      </c>
      <c r="AM9" s="3">
        <v>10</v>
      </c>
      <c r="AN9" s="5">
        <v>10</v>
      </c>
      <c r="AO9" s="12">
        <f t="shared" si="109"/>
        <v>1</v>
      </c>
      <c r="AP9" s="12">
        <f t="shared" si="9"/>
        <v>81.942117584373477</v>
      </c>
      <c r="AQ9" s="3">
        <v>8</v>
      </c>
      <c r="AR9" s="5">
        <v>8</v>
      </c>
      <c r="AS9" s="12">
        <f t="shared" si="110"/>
        <v>1</v>
      </c>
      <c r="AT9" s="12">
        <f t="shared" si="10"/>
        <v>49.733363375619263</v>
      </c>
      <c r="AU9" s="3">
        <v>7</v>
      </c>
      <c r="AV9" s="5">
        <v>7</v>
      </c>
      <c r="AW9" s="12">
        <f t="shared" si="111"/>
        <v>1</v>
      </c>
      <c r="AX9" s="12">
        <f t="shared" si="11"/>
        <v>36.628986271242162</v>
      </c>
      <c r="AY9" s="3">
        <v>10</v>
      </c>
      <c r="AZ9" s="5">
        <v>10</v>
      </c>
      <c r="BA9" s="12">
        <f t="shared" si="112"/>
        <v>1</v>
      </c>
      <c r="BB9" s="12">
        <f t="shared" si="12"/>
        <v>81.942117584373477</v>
      </c>
      <c r="BC9" s="3">
        <v>10</v>
      </c>
      <c r="BD9" s="3">
        <v>10</v>
      </c>
      <c r="BE9" s="12">
        <f t="shared" si="113"/>
        <v>1</v>
      </c>
      <c r="BF9" s="12">
        <f t="shared" si="13"/>
        <v>81.942117584373477</v>
      </c>
      <c r="BG9" s="3">
        <v>9</v>
      </c>
      <c r="BH9" s="5">
        <v>9</v>
      </c>
      <c r="BI9" s="12">
        <f t="shared" si="114"/>
        <v>1</v>
      </c>
      <c r="BJ9" s="12">
        <f t="shared" si="14"/>
        <v>64.83774047999637</v>
      </c>
      <c r="BK9" s="3">
        <v>9</v>
      </c>
      <c r="BL9" s="5">
        <v>9</v>
      </c>
      <c r="BM9" s="12">
        <f t="shared" si="115"/>
        <v>1</v>
      </c>
      <c r="BN9" s="12">
        <f t="shared" si="15"/>
        <v>64.83774047999637</v>
      </c>
      <c r="BO9" s="3">
        <v>10</v>
      </c>
      <c r="BP9" s="5">
        <v>10</v>
      </c>
      <c r="BQ9" s="12">
        <f t="shared" si="116"/>
        <v>1</v>
      </c>
      <c r="BR9" s="12">
        <f t="shared" si="16"/>
        <v>81.942117584373477</v>
      </c>
      <c r="BS9" s="3">
        <v>10</v>
      </c>
      <c r="BT9" s="5">
        <v>10</v>
      </c>
      <c r="BU9" s="12">
        <f t="shared" si="117"/>
        <v>1</v>
      </c>
      <c r="BV9" s="12">
        <f t="shared" si="17"/>
        <v>81.942117584373477</v>
      </c>
      <c r="BW9" s="3">
        <v>9</v>
      </c>
      <c r="BX9" s="5">
        <v>10</v>
      </c>
      <c r="BY9" s="12">
        <f t="shared" si="118"/>
        <v>1.1111111111111112</v>
      </c>
      <c r="BZ9" s="12">
        <f t="shared" si="18"/>
        <v>81.942117584373477</v>
      </c>
      <c r="CA9" s="3">
        <v>10</v>
      </c>
      <c r="CB9" s="3">
        <v>6</v>
      </c>
      <c r="CC9" s="12">
        <f t="shared" si="119"/>
        <v>0.6</v>
      </c>
      <c r="CD9" s="12">
        <f t="shared" si="19"/>
        <v>25.524609166865055</v>
      </c>
      <c r="CE9" s="3">
        <v>10</v>
      </c>
      <c r="CF9" s="5">
        <v>7</v>
      </c>
      <c r="CG9" s="12">
        <f t="shared" si="120"/>
        <v>0.7</v>
      </c>
      <c r="CH9" s="12">
        <f t="shared" si="20"/>
        <v>36.628986271242162</v>
      </c>
      <c r="CI9" s="3">
        <v>9</v>
      </c>
      <c r="CJ9" s="3">
        <v>10</v>
      </c>
      <c r="CK9" s="12">
        <f t="shared" si="121"/>
        <v>1.1111111111111112</v>
      </c>
      <c r="CL9" s="12">
        <f t="shared" si="21"/>
        <v>81.942117584373477</v>
      </c>
      <c r="CM9" s="3">
        <v>8</v>
      </c>
      <c r="CN9" s="5">
        <v>9</v>
      </c>
      <c r="CO9" s="12">
        <f t="shared" si="122"/>
        <v>1.125</v>
      </c>
      <c r="CP9" s="12">
        <f t="shared" si="22"/>
        <v>64.83774047999637</v>
      </c>
      <c r="CQ9" s="3">
        <v>9</v>
      </c>
      <c r="CR9" s="3">
        <v>9</v>
      </c>
      <c r="CS9" s="12">
        <f t="shared" si="123"/>
        <v>1</v>
      </c>
      <c r="CT9" s="12">
        <f t="shared" si="23"/>
        <v>64.83774047999637</v>
      </c>
      <c r="CU9" s="3">
        <v>6</v>
      </c>
      <c r="CV9" s="3">
        <v>6</v>
      </c>
      <c r="CW9" s="12">
        <f t="shared" si="124"/>
        <v>1</v>
      </c>
      <c r="CX9" s="12">
        <f t="shared" si="24"/>
        <v>25.524609166865055</v>
      </c>
      <c r="CY9" s="3">
        <v>6</v>
      </c>
      <c r="CZ9" s="5">
        <v>5</v>
      </c>
      <c r="DA9" s="12">
        <f t="shared" si="125"/>
        <v>0.83333333333333337</v>
      </c>
      <c r="DB9" s="12">
        <f t="shared" si="25"/>
        <v>16.420232062487951</v>
      </c>
      <c r="DC9" s="3">
        <v>9</v>
      </c>
      <c r="DD9" s="3">
        <v>9</v>
      </c>
      <c r="DE9" s="12">
        <f t="shared" si="126"/>
        <v>1</v>
      </c>
      <c r="DF9" s="12">
        <f t="shared" si="26"/>
        <v>64.83774047999637</v>
      </c>
      <c r="DG9" s="3">
        <v>10</v>
      </c>
      <c r="DH9" s="5">
        <v>10</v>
      </c>
      <c r="DI9" s="12">
        <f t="shared" si="127"/>
        <v>1</v>
      </c>
      <c r="DJ9" s="12">
        <f t="shared" si="27"/>
        <v>81.942117584373477</v>
      </c>
      <c r="DK9" s="3">
        <v>9</v>
      </c>
      <c r="DL9" s="3">
        <v>9</v>
      </c>
      <c r="DM9" s="12">
        <f t="shared" si="128"/>
        <v>1</v>
      </c>
      <c r="DN9" s="12">
        <f t="shared" si="28"/>
        <v>64.83774047999637</v>
      </c>
      <c r="DO9" s="3">
        <v>9</v>
      </c>
      <c r="DP9" s="5">
        <v>8</v>
      </c>
      <c r="DQ9" s="12">
        <f t="shared" si="129"/>
        <v>0.88888888888888884</v>
      </c>
      <c r="DR9" s="12">
        <f t="shared" si="29"/>
        <v>49.733363375619263</v>
      </c>
      <c r="DS9" s="3">
        <v>8</v>
      </c>
      <c r="DT9" s="3">
        <v>8</v>
      </c>
      <c r="DU9" s="12">
        <f t="shared" si="130"/>
        <v>1</v>
      </c>
      <c r="DV9" s="12">
        <f t="shared" si="30"/>
        <v>49.733363375619263</v>
      </c>
      <c r="DW9" s="3">
        <v>7</v>
      </c>
      <c r="DX9" s="3">
        <v>7</v>
      </c>
      <c r="DY9" s="12">
        <f t="shared" si="131"/>
        <v>1</v>
      </c>
      <c r="DZ9" s="12">
        <f t="shared" si="31"/>
        <v>36.628986271242162</v>
      </c>
      <c r="EA9" s="3">
        <v>7</v>
      </c>
      <c r="EB9" s="3">
        <v>7</v>
      </c>
      <c r="EC9" s="12">
        <f t="shared" si="32"/>
        <v>1</v>
      </c>
      <c r="ED9" s="12">
        <f t="shared" si="33"/>
        <v>36.628986271242162</v>
      </c>
      <c r="EE9" s="3">
        <v>8</v>
      </c>
      <c r="EF9" s="3">
        <v>8</v>
      </c>
      <c r="EG9" s="12">
        <f t="shared" si="34"/>
        <v>1</v>
      </c>
      <c r="EH9" s="12">
        <f t="shared" si="35"/>
        <v>49.733363375619263</v>
      </c>
      <c r="EI9" s="3">
        <v>10</v>
      </c>
      <c r="EJ9" s="3">
        <v>10</v>
      </c>
      <c r="EK9" s="12">
        <f t="shared" si="36"/>
        <v>1</v>
      </c>
      <c r="EL9" s="12">
        <f t="shared" si="37"/>
        <v>81.942117584373477</v>
      </c>
      <c r="EM9" s="3">
        <v>9</v>
      </c>
      <c r="EN9" s="3">
        <v>9</v>
      </c>
      <c r="EO9" s="12">
        <f t="shared" si="38"/>
        <v>1</v>
      </c>
      <c r="EP9" s="12">
        <f t="shared" si="39"/>
        <v>64.83774047999637</v>
      </c>
      <c r="EQ9" s="3">
        <v>8</v>
      </c>
      <c r="ER9" s="3">
        <v>7</v>
      </c>
      <c r="ES9" s="12">
        <f t="shared" si="40"/>
        <v>0.875</v>
      </c>
      <c r="ET9" s="12">
        <f t="shared" si="41"/>
        <v>36.628986271242162</v>
      </c>
      <c r="EU9" s="3">
        <v>10</v>
      </c>
      <c r="EV9" s="3">
        <v>10</v>
      </c>
      <c r="EW9" s="12">
        <f t="shared" si="42"/>
        <v>1</v>
      </c>
      <c r="EX9" s="12">
        <f t="shared" si="43"/>
        <v>81.942117584373477</v>
      </c>
      <c r="EY9" s="3">
        <v>8</v>
      </c>
      <c r="EZ9" s="3">
        <v>8</v>
      </c>
      <c r="FA9" s="12">
        <f t="shared" si="44"/>
        <v>1</v>
      </c>
      <c r="FB9" s="12">
        <f t="shared" si="45"/>
        <v>49.733363375619263</v>
      </c>
      <c r="FC9" s="3">
        <v>8</v>
      </c>
      <c r="FD9" s="3">
        <v>7</v>
      </c>
      <c r="FE9" s="12">
        <f t="shared" si="46"/>
        <v>0.875</v>
      </c>
      <c r="FF9" s="12">
        <f t="shared" si="47"/>
        <v>36.628986271242162</v>
      </c>
      <c r="FG9" s="3">
        <v>8</v>
      </c>
      <c r="FH9" s="3">
        <v>8</v>
      </c>
      <c r="FI9" s="12">
        <f t="shared" si="48"/>
        <v>1</v>
      </c>
      <c r="FJ9" s="12">
        <f t="shared" si="49"/>
        <v>49.733363375619263</v>
      </c>
      <c r="FK9" s="3">
        <v>7</v>
      </c>
      <c r="FL9" s="3">
        <v>8</v>
      </c>
      <c r="FM9" s="12">
        <f t="shared" si="50"/>
        <v>1.1428571428571428</v>
      </c>
      <c r="FN9" s="12">
        <f t="shared" si="51"/>
        <v>49.733363375619263</v>
      </c>
      <c r="FO9" s="3">
        <v>8</v>
      </c>
      <c r="FP9" s="3">
        <v>7</v>
      </c>
      <c r="FQ9" s="12">
        <f t="shared" si="52"/>
        <v>0.875</v>
      </c>
      <c r="FR9" s="12">
        <f t="shared" si="53"/>
        <v>36.628986271242162</v>
      </c>
      <c r="FS9" s="3">
        <v>9</v>
      </c>
      <c r="FT9" s="3">
        <v>9</v>
      </c>
      <c r="FU9" s="12">
        <f t="shared" si="54"/>
        <v>1</v>
      </c>
      <c r="FV9" s="12">
        <f t="shared" si="55"/>
        <v>64.83774047999637</v>
      </c>
      <c r="FW9" s="3">
        <v>7</v>
      </c>
      <c r="FX9" s="3">
        <v>7</v>
      </c>
      <c r="FY9" s="12">
        <f t="shared" si="56"/>
        <v>1</v>
      </c>
      <c r="FZ9" s="12">
        <f t="shared" si="57"/>
        <v>36.628986271242162</v>
      </c>
      <c r="GA9" s="3">
        <v>6</v>
      </c>
      <c r="GB9" s="3">
        <v>5</v>
      </c>
      <c r="GC9" s="12">
        <f t="shared" si="58"/>
        <v>0.83333333333333337</v>
      </c>
      <c r="GD9" s="12">
        <f t="shared" si="59"/>
        <v>16.420232062487951</v>
      </c>
      <c r="GE9" s="3">
        <v>7</v>
      </c>
      <c r="GF9" s="3">
        <v>7</v>
      </c>
      <c r="GG9" s="12">
        <f t="shared" si="60"/>
        <v>1</v>
      </c>
      <c r="GH9" s="12">
        <f t="shared" si="61"/>
        <v>36.628986271242162</v>
      </c>
      <c r="GI9" s="3">
        <v>10</v>
      </c>
      <c r="GJ9" s="3">
        <v>10</v>
      </c>
      <c r="GK9" s="12">
        <f t="shared" si="62"/>
        <v>1</v>
      </c>
      <c r="GL9" s="12">
        <f t="shared" si="63"/>
        <v>81.942117584373477</v>
      </c>
      <c r="GM9" s="3">
        <v>8</v>
      </c>
      <c r="GN9" s="3">
        <v>8</v>
      </c>
      <c r="GO9" s="12">
        <f t="shared" si="64"/>
        <v>1</v>
      </c>
      <c r="GP9" s="12">
        <f t="shared" si="65"/>
        <v>49.733363375619263</v>
      </c>
      <c r="GQ9" s="3">
        <v>10</v>
      </c>
      <c r="GR9" s="3">
        <v>8</v>
      </c>
      <c r="GS9" s="12">
        <f t="shared" si="66"/>
        <v>0.8</v>
      </c>
      <c r="GT9" s="12">
        <f t="shared" si="67"/>
        <v>49.733363375619263</v>
      </c>
      <c r="GU9" s="3">
        <v>7</v>
      </c>
      <c r="GV9" s="3">
        <v>7</v>
      </c>
      <c r="GW9" s="12">
        <f t="shared" si="68"/>
        <v>1</v>
      </c>
      <c r="GX9" s="12">
        <f t="shared" si="69"/>
        <v>36.628986271242162</v>
      </c>
      <c r="GY9" s="3">
        <v>9</v>
      </c>
      <c r="GZ9" s="3">
        <v>9</v>
      </c>
      <c r="HA9" s="12">
        <f t="shared" si="70"/>
        <v>1</v>
      </c>
      <c r="HB9" s="12">
        <f t="shared" si="71"/>
        <v>64.83774047999637</v>
      </c>
      <c r="HC9" s="3">
        <v>10</v>
      </c>
      <c r="HD9" s="3">
        <v>10</v>
      </c>
      <c r="HE9" s="12">
        <f t="shared" si="72"/>
        <v>1</v>
      </c>
      <c r="HF9" s="12">
        <f t="shared" si="73"/>
        <v>81.942117584373477</v>
      </c>
      <c r="HG9" s="3">
        <v>10</v>
      </c>
      <c r="HH9" s="3">
        <v>10</v>
      </c>
      <c r="HI9" s="12">
        <f t="shared" si="74"/>
        <v>1</v>
      </c>
      <c r="HJ9" s="12">
        <f t="shared" si="75"/>
        <v>81.942117584373477</v>
      </c>
      <c r="HK9" s="3">
        <v>8</v>
      </c>
      <c r="HL9" s="3">
        <v>6</v>
      </c>
      <c r="HM9" s="12">
        <f t="shared" si="76"/>
        <v>0.75</v>
      </c>
      <c r="HN9" s="12">
        <f t="shared" si="77"/>
        <v>25.524609166865055</v>
      </c>
      <c r="HO9" s="3">
        <v>6</v>
      </c>
      <c r="HP9" s="3">
        <v>6</v>
      </c>
      <c r="HQ9" s="12">
        <f t="shared" si="78"/>
        <v>1</v>
      </c>
      <c r="HR9" s="12">
        <f t="shared" si="79"/>
        <v>25.524609166865055</v>
      </c>
      <c r="HS9" s="3">
        <v>9</v>
      </c>
      <c r="HT9" s="3">
        <v>7</v>
      </c>
      <c r="HU9" s="12">
        <f t="shared" si="80"/>
        <v>0.77777777777777779</v>
      </c>
      <c r="HV9" s="12">
        <f t="shared" si="81"/>
        <v>36.628986271242162</v>
      </c>
      <c r="HW9" s="3">
        <v>10</v>
      </c>
      <c r="HX9" s="3">
        <v>8</v>
      </c>
      <c r="HY9" s="12">
        <f t="shared" si="82"/>
        <v>0.8</v>
      </c>
      <c r="HZ9" s="12">
        <f t="shared" si="83"/>
        <v>49.733363375619263</v>
      </c>
      <c r="IA9" s="3">
        <v>8</v>
      </c>
      <c r="IB9" s="3">
        <v>8</v>
      </c>
      <c r="IC9" s="12">
        <f t="shared" si="84"/>
        <v>1</v>
      </c>
      <c r="ID9" s="12">
        <f t="shared" si="85"/>
        <v>49.733363375619263</v>
      </c>
      <c r="IE9" s="3">
        <v>7</v>
      </c>
      <c r="IF9" s="3">
        <v>7</v>
      </c>
      <c r="IG9" s="12">
        <f t="shared" si="86"/>
        <v>1</v>
      </c>
      <c r="IH9" s="12">
        <f t="shared" si="87"/>
        <v>36.628986271242162</v>
      </c>
      <c r="II9" s="3">
        <v>10</v>
      </c>
      <c r="IJ9" s="3">
        <v>10</v>
      </c>
      <c r="IK9" s="12">
        <f t="shared" si="88"/>
        <v>1</v>
      </c>
      <c r="IL9" s="12">
        <f t="shared" si="89"/>
        <v>81.942117584373477</v>
      </c>
      <c r="IM9" s="3">
        <v>7</v>
      </c>
      <c r="IN9" s="3">
        <v>7</v>
      </c>
      <c r="IO9" s="12">
        <f t="shared" si="90"/>
        <v>1</v>
      </c>
      <c r="IP9" s="12">
        <f t="shared" si="91"/>
        <v>36.628986271242162</v>
      </c>
      <c r="IQ9" s="3">
        <v>10</v>
      </c>
      <c r="IR9" s="3">
        <v>8</v>
      </c>
      <c r="IS9" s="12">
        <f t="shared" si="92"/>
        <v>0.8</v>
      </c>
      <c r="IT9" s="12">
        <f t="shared" si="93"/>
        <v>49.733363375619263</v>
      </c>
      <c r="IU9" s="3">
        <v>8</v>
      </c>
      <c r="IV9" s="3">
        <v>8</v>
      </c>
      <c r="IW9" s="12">
        <f t="shared" si="94"/>
        <v>1</v>
      </c>
      <c r="IX9" s="12">
        <f t="shared" si="95"/>
        <v>49.733363375619263</v>
      </c>
      <c r="IY9" s="3">
        <v>7</v>
      </c>
      <c r="IZ9" s="3">
        <v>7</v>
      </c>
      <c r="JA9" s="12">
        <f t="shared" si="96"/>
        <v>1</v>
      </c>
      <c r="JB9" s="12">
        <f t="shared" si="97"/>
        <v>36.628986271242162</v>
      </c>
      <c r="JC9" s="3">
        <v>10</v>
      </c>
      <c r="JD9" s="5">
        <v>10</v>
      </c>
      <c r="JE9" s="12">
        <f t="shared" si="98"/>
        <v>1</v>
      </c>
      <c r="JF9" s="12">
        <f t="shared" si="99"/>
        <v>81.942117584373477</v>
      </c>
      <c r="JG9" s="4">
        <f t="shared" si="139"/>
        <v>66</v>
      </c>
      <c r="JH9" s="15">
        <f t="shared" si="133"/>
        <v>94.781144781144789</v>
      </c>
      <c r="JI9" s="15">
        <f t="shared" si="134"/>
        <v>0.94781144781144777</v>
      </c>
      <c r="JJ9" s="15">
        <f t="shared" si="135"/>
        <v>7.3228958086698634</v>
      </c>
      <c r="JK9" s="16">
        <f t="shared" si="136"/>
        <v>94.781144781144789</v>
      </c>
      <c r="JL9" s="17" t="s">
        <v>3</v>
      </c>
      <c r="JM9" s="24">
        <f t="shared" si="137"/>
        <v>7.3228958086698634</v>
      </c>
      <c r="JN9" s="4" t="str">
        <f t="shared" si="138"/>
        <v>отлично</v>
      </c>
    </row>
    <row r="10" spans="1:274" ht="85.5" customHeight="1" thickBot="1" x14ac:dyDescent="0.3">
      <c r="A10" s="21">
        <v>8</v>
      </c>
      <c r="B10" s="31" t="s">
        <v>17</v>
      </c>
      <c r="C10" s="3">
        <v>10</v>
      </c>
      <c r="D10" s="3">
        <v>10</v>
      </c>
      <c r="E10" s="8">
        <f t="shared" si="100"/>
        <v>1</v>
      </c>
      <c r="F10" s="12">
        <f t="shared" si="0"/>
        <v>81.66293097612008</v>
      </c>
      <c r="G10" s="3">
        <v>10</v>
      </c>
      <c r="H10" s="5">
        <v>10</v>
      </c>
      <c r="I10" s="12">
        <f t="shared" si="101"/>
        <v>1</v>
      </c>
      <c r="J10" s="12">
        <f t="shared" si="1"/>
        <v>81.66293097612008</v>
      </c>
      <c r="K10" s="3">
        <v>5</v>
      </c>
      <c r="L10" s="5">
        <v>5</v>
      </c>
      <c r="M10" s="12">
        <f t="shared" si="102"/>
        <v>1</v>
      </c>
      <c r="N10" s="12">
        <f t="shared" si="2"/>
        <v>16.295386483575598</v>
      </c>
      <c r="O10" s="3">
        <v>10</v>
      </c>
      <c r="P10" s="3">
        <v>8</v>
      </c>
      <c r="Q10" s="12">
        <f t="shared" si="103"/>
        <v>0.8</v>
      </c>
      <c r="R10" s="12">
        <f t="shared" si="3"/>
        <v>49.515913179102299</v>
      </c>
      <c r="S10" s="3">
        <v>9</v>
      </c>
      <c r="T10" s="3">
        <v>9</v>
      </c>
      <c r="U10" s="12">
        <f t="shared" si="104"/>
        <v>1</v>
      </c>
      <c r="V10" s="12">
        <f t="shared" si="4"/>
        <v>64.589422077611175</v>
      </c>
      <c r="W10" s="3">
        <v>8</v>
      </c>
      <c r="X10" s="3">
        <v>8</v>
      </c>
      <c r="Y10" s="12">
        <f t="shared" si="105"/>
        <v>1</v>
      </c>
      <c r="Z10" s="12">
        <f t="shared" si="5"/>
        <v>49.515913179102299</v>
      </c>
      <c r="AA10" s="3">
        <v>9</v>
      </c>
      <c r="AB10" s="3">
        <v>9</v>
      </c>
      <c r="AC10" s="12">
        <f t="shared" si="106"/>
        <v>1</v>
      </c>
      <c r="AD10" s="12">
        <f t="shared" si="6"/>
        <v>64.589422077611175</v>
      </c>
      <c r="AE10" s="3">
        <v>10</v>
      </c>
      <c r="AF10" s="5">
        <v>10</v>
      </c>
      <c r="AG10" s="12">
        <f t="shared" si="107"/>
        <v>1</v>
      </c>
      <c r="AH10" s="12">
        <f t="shared" si="7"/>
        <v>81.66293097612008</v>
      </c>
      <c r="AI10" s="3">
        <v>10</v>
      </c>
      <c r="AJ10" s="5">
        <v>10</v>
      </c>
      <c r="AK10" s="12">
        <f t="shared" si="108"/>
        <v>1</v>
      </c>
      <c r="AL10" s="12">
        <f t="shared" si="8"/>
        <v>81.66293097612008</v>
      </c>
      <c r="AM10" s="3">
        <v>10</v>
      </c>
      <c r="AN10" s="5">
        <v>10</v>
      </c>
      <c r="AO10" s="12">
        <f t="shared" si="109"/>
        <v>1</v>
      </c>
      <c r="AP10" s="12">
        <f t="shared" si="9"/>
        <v>81.66293097612008</v>
      </c>
      <c r="AQ10" s="3">
        <v>9</v>
      </c>
      <c r="AR10" s="5">
        <v>9</v>
      </c>
      <c r="AS10" s="12">
        <f t="shared" si="110"/>
        <v>1</v>
      </c>
      <c r="AT10" s="12">
        <f t="shared" si="10"/>
        <v>64.589422077611175</v>
      </c>
      <c r="AU10" s="3">
        <v>9</v>
      </c>
      <c r="AV10" s="5">
        <v>9</v>
      </c>
      <c r="AW10" s="12">
        <f t="shared" si="111"/>
        <v>1</v>
      </c>
      <c r="AX10" s="12">
        <f t="shared" si="11"/>
        <v>64.589422077611175</v>
      </c>
      <c r="AY10" s="3">
        <v>10</v>
      </c>
      <c r="AZ10" s="5">
        <v>10</v>
      </c>
      <c r="BA10" s="12">
        <f t="shared" si="112"/>
        <v>1</v>
      </c>
      <c r="BB10" s="12">
        <f t="shared" si="12"/>
        <v>81.66293097612008</v>
      </c>
      <c r="BC10" s="3">
        <v>10</v>
      </c>
      <c r="BD10" s="3">
        <v>10</v>
      </c>
      <c r="BE10" s="12">
        <f t="shared" si="113"/>
        <v>1</v>
      </c>
      <c r="BF10" s="12">
        <f t="shared" si="13"/>
        <v>81.66293097612008</v>
      </c>
      <c r="BG10" s="3">
        <v>10</v>
      </c>
      <c r="BH10" s="5">
        <v>9</v>
      </c>
      <c r="BI10" s="12">
        <f t="shared" si="114"/>
        <v>0.9</v>
      </c>
      <c r="BJ10" s="12">
        <f t="shared" si="14"/>
        <v>64.589422077611175</v>
      </c>
      <c r="BK10" s="3">
        <v>6</v>
      </c>
      <c r="BL10" s="5">
        <v>7</v>
      </c>
      <c r="BM10" s="12">
        <f t="shared" si="115"/>
        <v>1.1666666666666667</v>
      </c>
      <c r="BN10" s="12">
        <f t="shared" si="15"/>
        <v>36.442404280593394</v>
      </c>
      <c r="BO10" s="3">
        <v>10</v>
      </c>
      <c r="BP10" s="5">
        <v>10</v>
      </c>
      <c r="BQ10" s="12">
        <f t="shared" si="116"/>
        <v>1</v>
      </c>
      <c r="BR10" s="12">
        <f t="shared" si="16"/>
        <v>81.66293097612008</v>
      </c>
      <c r="BS10" s="3">
        <v>10</v>
      </c>
      <c r="BT10" s="5">
        <v>10</v>
      </c>
      <c r="BU10" s="12">
        <f t="shared" si="117"/>
        <v>1</v>
      </c>
      <c r="BV10" s="12">
        <f t="shared" si="17"/>
        <v>81.66293097612008</v>
      </c>
      <c r="BW10" s="3">
        <v>8</v>
      </c>
      <c r="BX10" s="5">
        <v>9</v>
      </c>
      <c r="BY10" s="12">
        <f t="shared" si="118"/>
        <v>1.125</v>
      </c>
      <c r="BZ10" s="12">
        <f t="shared" si="18"/>
        <v>64.589422077611175</v>
      </c>
      <c r="CA10" s="3">
        <v>10</v>
      </c>
      <c r="CB10" s="3">
        <v>6</v>
      </c>
      <c r="CC10" s="12">
        <f t="shared" si="119"/>
        <v>0.6</v>
      </c>
      <c r="CD10" s="12">
        <f t="shared" si="19"/>
        <v>25.368895382084496</v>
      </c>
      <c r="CE10" s="3">
        <v>10</v>
      </c>
      <c r="CF10" s="5">
        <v>7</v>
      </c>
      <c r="CG10" s="12">
        <f t="shared" si="120"/>
        <v>0.7</v>
      </c>
      <c r="CH10" s="12">
        <f t="shared" si="20"/>
        <v>36.442404280593394</v>
      </c>
      <c r="CI10" s="3">
        <v>8</v>
      </c>
      <c r="CJ10" s="5">
        <v>8</v>
      </c>
      <c r="CK10" s="12">
        <f t="shared" si="121"/>
        <v>1</v>
      </c>
      <c r="CL10" s="12">
        <f t="shared" si="21"/>
        <v>49.515913179102299</v>
      </c>
      <c r="CM10" s="3">
        <v>8</v>
      </c>
      <c r="CN10" s="5">
        <v>9</v>
      </c>
      <c r="CO10" s="12">
        <f t="shared" si="122"/>
        <v>1.125</v>
      </c>
      <c r="CP10" s="12">
        <f t="shared" si="22"/>
        <v>64.589422077611175</v>
      </c>
      <c r="CQ10" s="3">
        <v>8</v>
      </c>
      <c r="CR10" s="3">
        <v>8</v>
      </c>
      <c r="CS10" s="12">
        <f t="shared" si="123"/>
        <v>1</v>
      </c>
      <c r="CT10" s="12">
        <f t="shared" si="23"/>
        <v>49.515913179102299</v>
      </c>
      <c r="CU10" s="3">
        <v>10</v>
      </c>
      <c r="CV10" s="3">
        <v>6</v>
      </c>
      <c r="CW10" s="12">
        <f t="shared" si="124"/>
        <v>0.6</v>
      </c>
      <c r="CX10" s="12">
        <f t="shared" si="24"/>
        <v>25.368895382084496</v>
      </c>
      <c r="CY10" s="3">
        <v>7</v>
      </c>
      <c r="CZ10" s="5">
        <v>7</v>
      </c>
      <c r="DA10" s="12">
        <f t="shared" si="125"/>
        <v>1</v>
      </c>
      <c r="DB10" s="12">
        <f t="shared" si="25"/>
        <v>36.442404280593394</v>
      </c>
      <c r="DC10" s="3">
        <v>8</v>
      </c>
      <c r="DD10" s="3">
        <v>8</v>
      </c>
      <c r="DE10" s="12">
        <f t="shared" si="126"/>
        <v>1</v>
      </c>
      <c r="DF10" s="12">
        <f t="shared" si="26"/>
        <v>49.515913179102299</v>
      </c>
      <c r="DG10" s="3">
        <v>10</v>
      </c>
      <c r="DH10" s="5">
        <v>10</v>
      </c>
      <c r="DI10" s="12">
        <f t="shared" si="127"/>
        <v>1</v>
      </c>
      <c r="DJ10" s="12">
        <f t="shared" si="27"/>
        <v>81.66293097612008</v>
      </c>
      <c r="DK10" s="3">
        <v>9</v>
      </c>
      <c r="DL10" s="3">
        <v>9</v>
      </c>
      <c r="DM10" s="12">
        <f t="shared" si="128"/>
        <v>1</v>
      </c>
      <c r="DN10" s="12">
        <f t="shared" si="28"/>
        <v>64.589422077611175</v>
      </c>
      <c r="DO10" s="3">
        <v>10</v>
      </c>
      <c r="DP10" s="5">
        <v>10</v>
      </c>
      <c r="DQ10" s="12">
        <f t="shared" si="129"/>
        <v>1</v>
      </c>
      <c r="DR10" s="12">
        <f t="shared" si="29"/>
        <v>81.66293097612008</v>
      </c>
      <c r="DS10" s="3">
        <v>8</v>
      </c>
      <c r="DT10" s="3">
        <v>8</v>
      </c>
      <c r="DU10" s="12">
        <f t="shared" si="130"/>
        <v>1</v>
      </c>
      <c r="DV10" s="12">
        <f t="shared" si="30"/>
        <v>49.515913179102299</v>
      </c>
      <c r="DW10" s="3">
        <v>8</v>
      </c>
      <c r="DX10" s="3">
        <v>8</v>
      </c>
      <c r="DY10" s="12">
        <f t="shared" si="131"/>
        <v>1</v>
      </c>
      <c r="DZ10" s="12">
        <f t="shared" si="31"/>
        <v>49.515913179102299</v>
      </c>
      <c r="EA10" s="3">
        <v>7</v>
      </c>
      <c r="EB10" s="3">
        <v>7</v>
      </c>
      <c r="EC10" s="12">
        <f t="shared" si="32"/>
        <v>1</v>
      </c>
      <c r="ED10" s="12">
        <f t="shared" si="33"/>
        <v>36.442404280593394</v>
      </c>
      <c r="EE10" s="3">
        <v>8</v>
      </c>
      <c r="EF10" s="3">
        <v>8</v>
      </c>
      <c r="EG10" s="12">
        <f t="shared" si="34"/>
        <v>1</v>
      </c>
      <c r="EH10" s="12">
        <f t="shared" si="35"/>
        <v>49.515913179102299</v>
      </c>
      <c r="EI10" s="3">
        <v>10</v>
      </c>
      <c r="EJ10" s="3">
        <v>10</v>
      </c>
      <c r="EK10" s="12">
        <f t="shared" si="36"/>
        <v>1</v>
      </c>
      <c r="EL10" s="12">
        <f t="shared" si="37"/>
        <v>81.66293097612008</v>
      </c>
      <c r="EM10" s="3">
        <v>9</v>
      </c>
      <c r="EN10" s="3">
        <v>8</v>
      </c>
      <c r="EO10" s="12">
        <f t="shared" si="38"/>
        <v>0.88888888888888884</v>
      </c>
      <c r="EP10" s="12">
        <f t="shared" si="39"/>
        <v>49.515913179102299</v>
      </c>
      <c r="EQ10" s="3">
        <v>9</v>
      </c>
      <c r="ER10" s="3">
        <v>8</v>
      </c>
      <c r="ES10" s="12">
        <f t="shared" si="40"/>
        <v>0.88888888888888884</v>
      </c>
      <c r="ET10" s="12">
        <f t="shared" si="41"/>
        <v>49.515913179102299</v>
      </c>
      <c r="EU10" s="3">
        <v>8</v>
      </c>
      <c r="EV10" s="3">
        <v>8</v>
      </c>
      <c r="EW10" s="12">
        <f t="shared" si="42"/>
        <v>1</v>
      </c>
      <c r="EX10" s="12">
        <f t="shared" si="43"/>
        <v>49.515913179102299</v>
      </c>
      <c r="EY10" s="3">
        <v>9</v>
      </c>
      <c r="EZ10" s="3">
        <v>9</v>
      </c>
      <c r="FA10" s="12">
        <f t="shared" si="44"/>
        <v>1</v>
      </c>
      <c r="FB10" s="12">
        <f t="shared" si="45"/>
        <v>64.589422077611175</v>
      </c>
      <c r="FC10" s="3">
        <v>6</v>
      </c>
      <c r="FD10" s="3">
        <v>6</v>
      </c>
      <c r="FE10" s="12">
        <f t="shared" si="46"/>
        <v>1</v>
      </c>
      <c r="FF10" s="12">
        <f t="shared" si="47"/>
        <v>25.368895382084496</v>
      </c>
      <c r="FG10" s="3">
        <v>9</v>
      </c>
      <c r="FH10" s="3">
        <v>9</v>
      </c>
      <c r="FI10" s="12">
        <f t="shared" si="48"/>
        <v>1</v>
      </c>
      <c r="FJ10" s="12">
        <f t="shared" si="49"/>
        <v>64.589422077611175</v>
      </c>
      <c r="FK10" s="3">
        <v>8</v>
      </c>
      <c r="FL10" s="3">
        <v>7</v>
      </c>
      <c r="FM10" s="12">
        <f t="shared" si="50"/>
        <v>0.875</v>
      </c>
      <c r="FN10" s="12">
        <f t="shared" si="51"/>
        <v>36.442404280593394</v>
      </c>
      <c r="FO10" s="3">
        <v>9</v>
      </c>
      <c r="FP10" s="3">
        <v>8</v>
      </c>
      <c r="FQ10" s="12">
        <f t="shared" si="52"/>
        <v>0.88888888888888884</v>
      </c>
      <c r="FR10" s="12">
        <f t="shared" si="53"/>
        <v>49.515913179102299</v>
      </c>
      <c r="FS10" s="3">
        <v>9</v>
      </c>
      <c r="FT10" s="3">
        <v>9</v>
      </c>
      <c r="FU10" s="12">
        <f t="shared" si="54"/>
        <v>1</v>
      </c>
      <c r="FV10" s="12">
        <f t="shared" si="55"/>
        <v>64.589422077611175</v>
      </c>
      <c r="FW10" s="3">
        <v>7</v>
      </c>
      <c r="FX10" s="3">
        <v>6</v>
      </c>
      <c r="FY10" s="12">
        <f t="shared" si="56"/>
        <v>0.8571428571428571</v>
      </c>
      <c r="FZ10" s="12">
        <f t="shared" si="57"/>
        <v>25.368895382084496</v>
      </c>
      <c r="GA10" s="3">
        <v>7</v>
      </c>
      <c r="GB10" s="3">
        <v>6</v>
      </c>
      <c r="GC10" s="12">
        <f t="shared" si="58"/>
        <v>0.8571428571428571</v>
      </c>
      <c r="GD10" s="12">
        <f t="shared" si="59"/>
        <v>25.368895382084496</v>
      </c>
      <c r="GE10" s="3">
        <v>8</v>
      </c>
      <c r="GF10" s="3">
        <v>8</v>
      </c>
      <c r="GG10" s="12">
        <f t="shared" si="60"/>
        <v>1</v>
      </c>
      <c r="GH10" s="12">
        <f t="shared" si="61"/>
        <v>49.515913179102299</v>
      </c>
      <c r="GI10" s="3">
        <v>9</v>
      </c>
      <c r="GJ10" s="3">
        <v>9</v>
      </c>
      <c r="GK10" s="12">
        <f t="shared" si="62"/>
        <v>1</v>
      </c>
      <c r="GL10" s="12">
        <f t="shared" si="63"/>
        <v>64.589422077611175</v>
      </c>
      <c r="GM10" s="3">
        <v>8</v>
      </c>
      <c r="GN10" s="3">
        <v>8</v>
      </c>
      <c r="GO10" s="12">
        <f t="shared" si="64"/>
        <v>1</v>
      </c>
      <c r="GP10" s="12">
        <f t="shared" si="65"/>
        <v>49.515913179102299</v>
      </c>
      <c r="GQ10" s="3">
        <v>10</v>
      </c>
      <c r="GR10" s="3">
        <v>10</v>
      </c>
      <c r="GS10" s="12">
        <f t="shared" si="66"/>
        <v>1</v>
      </c>
      <c r="GT10" s="12">
        <f t="shared" si="67"/>
        <v>81.66293097612008</v>
      </c>
      <c r="GU10" s="3">
        <v>8</v>
      </c>
      <c r="GV10" s="3">
        <v>8</v>
      </c>
      <c r="GW10" s="12">
        <f t="shared" si="68"/>
        <v>1</v>
      </c>
      <c r="GX10" s="12">
        <f t="shared" si="69"/>
        <v>49.515913179102299</v>
      </c>
      <c r="GY10" s="3">
        <v>9</v>
      </c>
      <c r="GZ10" s="3">
        <v>9</v>
      </c>
      <c r="HA10" s="12">
        <f t="shared" si="70"/>
        <v>1</v>
      </c>
      <c r="HB10" s="12">
        <f t="shared" si="71"/>
        <v>64.589422077611175</v>
      </c>
      <c r="HC10" s="3">
        <v>10</v>
      </c>
      <c r="HD10" s="3">
        <v>10</v>
      </c>
      <c r="HE10" s="12">
        <f t="shared" si="72"/>
        <v>1</v>
      </c>
      <c r="HF10" s="12">
        <f t="shared" si="73"/>
        <v>81.66293097612008</v>
      </c>
      <c r="HG10" s="3">
        <v>10</v>
      </c>
      <c r="HH10" s="3">
        <v>10</v>
      </c>
      <c r="HI10" s="12">
        <f t="shared" si="74"/>
        <v>1</v>
      </c>
      <c r="HJ10" s="12">
        <f t="shared" si="75"/>
        <v>81.66293097612008</v>
      </c>
      <c r="HK10" s="3">
        <v>9</v>
      </c>
      <c r="HL10" s="3">
        <v>7</v>
      </c>
      <c r="HM10" s="12">
        <f t="shared" si="76"/>
        <v>0.77777777777777779</v>
      </c>
      <c r="HN10" s="12">
        <f t="shared" si="77"/>
        <v>36.442404280593394</v>
      </c>
      <c r="HO10" s="3">
        <v>7</v>
      </c>
      <c r="HP10" s="3">
        <v>7</v>
      </c>
      <c r="HQ10" s="12">
        <f t="shared" si="78"/>
        <v>1</v>
      </c>
      <c r="HR10" s="12">
        <f t="shared" si="79"/>
        <v>36.442404280593394</v>
      </c>
      <c r="HS10" s="3">
        <v>7</v>
      </c>
      <c r="HT10" s="3">
        <v>6</v>
      </c>
      <c r="HU10" s="12">
        <f t="shared" si="80"/>
        <v>0.8571428571428571</v>
      </c>
      <c r="HV10" s="12">
        <f t="shared" si="81"/>
        <v>25.368895382084496</v>
      </c>
      <c r="HW10" s="3">
        <v>10</v>
      </c>
      <c r="HX10" s="3">
        <v>10</v>
      </c>
      <c r="HY10" s="12">
        <f t="shared" si="82"/>
        <v>1</v>
      </c>
      <c r="HZ10" s="12">
        <f t="shared" si="83"/>
        <v>81.66293097612008</v>
      </c>
      <c r="IA10" s="3">
        <v>9</v>
      </c>
      <c r="IB10" s="3">
        <v>9</v>
      </c>
      <c r="IC10" s="12">
        <f t="shared" si="84"/>
        <v>1</v>
      </c>
      <c r="ID10" s="12">
        <f t="shared" si="85"/>
        <v>64.589422077611175</v>
      </c>
      <c r="IE10" s="3">
        <v>9</v>
      </c>
      <c r="IF10" s="3">
        <v>9</v>
      </c>
      <c r="IG10" s="12">
        <f t="shared" si="86"/>
        <v>1</v>
      </c>
      <c r="IH10" s="12">
        <f t="shared" si="87"/>
        <v>64.589422077611175</v>
      </c>
      <c r="II10" s="3">
        <v>10</v>
      </c>
      <c r="IJ10" s="3">
        <v>10</v>
      </c>
      <c r="IK10" s="12">
        <f t="shared" si="88"/>
        <v>1</v>
      </c>
      <c r="IL10" s="12">
        <f t="shared" si="89"/>
        <v>81.66293097612008</v>
      </c>
      <c r="IM10" s="3">
        <v>9</v>
      </c>
      <c r="IN10" s="3">
        <v>9</v>
      </c>
      <c r="IO10" s="12">
        <f t="shared" si="90"/>
        <v>1</v>
      </c>
      <c r="IP10" s="12">
        <f t="shared" si="91"/>
        <v>64.589422077611175</v>
      </c>
      <c r="IQ10" s="3">
        <v>6</v>
      </c>
      <c r="IR10" s="3">
        <v>4</v>
      </c>
      <c r="IS10" s="12">
        <f t="shared" si="92"/>
        <v>0.66666666666666663</v>
      </c>
      <c r="IT10" s="12">
        <f t="shared" si="93"/>
        <v>9.2218775850666965</v>
      </c>
      <c r="IU10" s="3">
        <v>6</v>
      </c>
      <c r="IV10" s="3">
        <v>6</v>
      </c>
      <c r="IW10" s="12">
        <f t="shared" si="94"/>
        <v>1</v>
      </c>
      <c r="IX10" s="12">
        <f t="shared" si="95"/>
        <v>25.368895382084496</v>
      </c>
      <c r="IY10" s="3">
        <v>7</v>
      </c>
      <c r="IZ10" s="3">
        <v>7</v>
      </c>
      <c r="JA10" s="12">
        <f t="shared" si="96"/>
        <v>1</v>
      </c>
      <c r="JB10" s="12">
        <f t="shared" si="97"/>
        <v>36.442404280593394</v>
      </c>
      <c r="JC10" s="3">
        <v>10</v>
      </c>
      <c r="JD10" s="5">
        <v>10</v>
      </c>
      <c r="JE10" s="12">
        <f t="shared" si="98"/>
        <v>1</v>
      </c>
      <c r="JF10" s="12">
        <f t="shared" si="99"/>
        <v>81.66293097612008</v>
      </c>
      <c r="JG10" s="4">
        <f t="shared" si="139"/>
        <v>66</v>
      </c>
      <c r="JH10" s="15">
        <f t="shared" si="133"/>
        <v>96.324555074555036</v>
      </c>
      <c r="JI10" s="15">
        <f t="shared" si="134"/>
        <v>0.96324555074555041</v>
      </c>
      <c r="JJ10" s="15">
        <f t="shared" si="135"/>
        <v>7.5284721924720648</v>
      </c>
      <c r="JK10" s="16">
        <f t="shared" si="136"/>
        <v>96.324555074555036</v>
      </c>
      <c r="JL10" s="17" t="s">
        <v>3</v>
      </c>
      <c r="JM10" s="24">
        <f t="shared" si="137"/>
        <v>7.5284721924720648</v>
      </c>
      <c r="JN10" s="4" t="str">
        <f t="shared" si="138"/>
        <v>отлично</v>
      </c>
    </row>
    <row r="11" spans="1:274" ht="48" customHeight="1" thickBot="1" x14ac:dyDescent="0.3">
      <c r="A11" s="21">
        <v>9</v>
      </c>
      <c r="B11" s="31" t="s">
        <v>18</v>
      </c>
      <c r="C11" s="3">
        <v>10</v>
      </c>
      <c r="D11" s="3">
        <v>10</v>
      </c>
      <c r="E11" s="8">
        <f t="shared" si="100"/>
        <v>1</v>
      </c>
      <c r="F11" s="12">
        <f t="shared" si="0"/>
        <v>81.428487254788664</v>
      </c>
      <c r="G11" s="3">
        <v>10</v>
      </c>
      <c r="H11" s="5">
        <v>10</v>
      </c>
      <c r="I11" s="12">
        <f t="shared" si="101"/>
        <v>1</v>
      </c>
      <c r="J11" s="12">
        <f t="shared" si="1"/>
        <v>81.428487254788664</v>
      </c>
      <c r="K11" s="3">
        <v>10</v>
      </c>
      <c r="L11" s="5">
        <v>10</v>
      </c>
      <c r="M11" s="12">
        <f t="shared" si="102"/>
        <v>1</v>
      </c>
      <c r="N11" s="12">
        <f t="shared" si="2"/>
        <v>81.428487254788664</v>
      </c>
      <c r="O11" s="3">
        <v>10</v>
      </c>
      <c r="P11" s="3">
        <v>10</v>
      </c>
      <c r="Q11" s="12">
        <f t="shared" si="103"/>
        <v>1</v>
      </c>
      <c r="R11" s="12">
        <f t="shared" si="3"/>
        <v>81.428487254788664</v>
      </c>
      <c r="S11" s="3">
        <v>10</v>
      </c>
      <c r="T11" s="3">
        <v>10</v>
      </c>
      <c r="U11" s="12">
        <f t="shared" si="104"/>
        <v>1</v>
      </c>
      <c r="V11" s="12">
        <f t="shared" si="4"/>
        <v>81.428487254788664</v>
      </c>
      <c r="W11" s="3">
        <v>9</v>
      </c>
      <c r="X11" s="3">
        <v>9</v>
      </c>
      <c r="Y11" s="12">
        <f t="shared" si="105"/>
        <v>1</v>
      </c>
      <c r="Z11" s="12">
        <f t="shared" si="5"/>
        <v>64.380940357241769</v>
      </c>
      <c r="AA11" s="3">
        <v>9</v>
      </c>
      <c r="AB11" s="3">
        <v>9</v>
      </c>
      <c r="AC11" s="12">
        <f t="shared" si="106"/>
        <v>1</v>
      </c>
      <c r="AD11" s="12">
        <f t="shared" si="6"/>
        <v>64.380940357241769</v>
      </c>
      <c r="AE11" s="3">
        <v>10</v>
      </c>
      <c r="AF11" s="5">
        <v>10</v>
      </c>
      <c r="AG11" s="12">
        <f t="shared" si="107"/>
        <v>1</v>
      </c>
      <c r="AH11" s="12">
        <f t="shared" si="7"/>
        <v>81.428487254788664</v>
      </c>
      <c r="AI11" s="3">
        <v>10</v>
      </c>
      <c r="AJ11" s="5">
        <v>10</v>
      </c>
      <c r="AK11" s="12">
        <f t="shared" si="108"/>
        <v>1</v>
      </c>
      <c r="AL11" s="12">
        <f t="shared" si="8"/>
        <v>81.428487254788664</v>
      </c>
      <c r="AM11" s="3">
        <v>10</v>
      </c>
      <c r="AN11" s="5">
        <v>10</v>
      </c>
      <c r="AO11" s="12">
        <f t="shared" si="109"/>
        <v>1</v>
      </c>
      <c r="AP11" s="12">
        <f t="shared" si="9"/>
        <v>81.428487254788664</v>
      </c>
      <c r="AQ11" s="3">
        <v>9</v>
      </c>
      <c r="AR11" s="5">
        <v>9</v>
      </c>
      <c r="AS11" s="12">
        <f t="shared" si="110"/>
        <v>1</v>
      </c>
      <c r="AT11" s="12">
        <f t="shared" si="10"/>
        <v>64.380940357241769</v>
      </c>
      <c r="AU11" s="3">
        <v>9</v>
      </c>
      <c r="AV11" s="5">
        <v>9</v>
      </c>
      <c r="AW11" s="12">
        <f t="shared" si="111"/>
        <v>1</v>
      </c>
      <c r="AX11" s="12">
        <f t="shared" si="11"/>
        <v>64.380940357241769</v>
      </c>
      <c r="AY11" s="3">
        <v>10</v>
      </c>
      <c r="AZ11" s="5">
        <v>10</v>
      </c>
      <c r="BA11" s="12">
        <f t="shared" si="112"/>
        <v>1</v>
      </c>
      <c r="BB11" s="12">
        <f t="shared" si="12"/>
        <v>81.428487254788664</v>
      </c>
      <c r="BC11" s="3">
        <v>10</v>
      </c>
      <c r="BD11" s="3">
        <v>10</v>
      </c>
      <c r="BE11" s="12">
        <f t="shared" si="113"/>
        <v>1</v>
      </c>
      <c r="BF11" s="12">
        <f t="shared" si="13"/>
        <v>81.428487254788664</v>
      </c>
      <c r="BG11" s="3">
        <v>9</v>
      </c>
      <c r="BH11" s="5">
        <v>9</v>
      </c>
      <c r="BI11" s="12">
        <f t="shared" si="114"/>
        <v>1</v>
      </c>
      <c r="BJ11" s="12">
        <f t="shared" si="14"/>
        <v>64.380940357241769</v>
      </c>
      <c r="BK11" s="3">
        <v>5</v>
      </c>
      <c r="BL11" s="5">
        <v>6</v>
      </c>
      <c r="BM11" s="12">
        <f t="shared" si="115"/>
        <v>1.2</v>
      </c>
      <c r="BN11" s="12">
        <f t="shared" si="15"/>
        <v>25.238299664601072</v>
      </c>
      <c r="BO11" s="3">
        <v>10</v>
      </c>
      <c r="BP11" s="5">
        <v>10</v>
      </c>
      <c r="BQ11" s="12">
        <f t="shared" si="116"/>
        <v>1</v>
      </c>
      <c r="BR11" s="12">
        <f t="shared" si="16"/>
        <v>81.428487254788664</v>
      </c>
      <c r="BS11" s="3">
        <v>10</v>
      </c>
      <c r="BT11" s="5">
        <v>10</v>
      </c>
      <c r="BU11" s="12">
        <f t="shared" si="117"/>
        <v>1</v>
      </c>
      <c r="BV11" s="12">
        <f t="shared" si="17"/>
        <v>81.428487254788664</v>
      </c>
      <c r="BW11" s="3">
        <v>9</v>
      </c>
      <c r="BX11" s="5">
        <v>9</v>
      </c>
      <c r="BY11" s="12">
        <f t="shared" si="118"/>
        <v>1</v>
      </c>
      <c r="BZ11" s="12">
        <f t="shared" si="18"/>
        <v>64.380940357241769</v>
      </c>
      <c r="CA11" s="3">
        <v>10</v>
      </c>
      <c r="CB11" s="3">
        <v>10</v>
      </c>
      <c r="CC11" s="12">
        <f t="shared" si="119"/>
        <v>1</v>
      </c>
      <c r="CD11" s="12">
        <f t="shared" si="19"/>
        <v>81.428487254788664</v>
      </c>
      <c r="CE11" s="3">
        <v>10</v>
      </c>
      <c r="CF11" s="5">
        <v>9</v>
      </c>
      <c r="CG11" s="12">
        <f t="shared" si="120"/>
        <v>0.9</v>
      </c>
      <c r="CH11" s="12">
        <f t="shared" si="20"/>
        <v>64.380940357241769</v>
      </c>
      <c r="CI11" s="3">
        <v>10</v>
      </c>
      <c r="CJ11" s="5">
        <v>10</v>
      </c>
      <c r="CK11" s="12">
        <f t="shared" si="121"/>
        <v>1</v>
      </c>
      <c r="CL11" s="12">
        <f t="shared" si="21"/>
        <v>81.428487254788664</v>
      </c>
      <c r="CM11" s="3">
        <v>10</v>
      </c>
      <c r="CN11" s="5">
        <v>10</v>
      </c>
      <c r="CO11" s="12">
        <f t="shared" si="122"/>
        <v>1</v>
      </c>
      <c r="CP11" s="12">
        <f t="shared" si="22"/>
        <v>81.428487254788664</v>
      </c>
      <c r="CQ11" s="3">
        <v>9</v>
      </c>
      <c r="CR11" s="3">
        <v>8</v>
      </c>
      <c r="CS11" s="12">
        <f t="shared" si="123"/>
        <v>0.88888888888888884</v>
      </c>
      <c r="CT11" s="12">
        <f t="shared" si="23"/>
        <v>49.333393459694868</v>
      </c>
      <c r="CU11" s="3">
        <v>8</v>
      </c>
      <c r="CV11" s="3">
        <v>8</v>
      </c>
      <c r="CW11" s="12">
        <f t="shared" si="124"/>
        <v>1</v>
      </c>
      <c r="CX11" s="12">
        <f t="shared" si="24"/>
        <v>49.333393459694868</v>
      </c>
      <c r="CY11" s="3">
        <v>9</v>
      </c>
      <c r="CZ11" s="5">
        <v>9</v>
      </c>
      <c r="DA11" s="12">
        <f t="shared" si="125"/>
        <v>1</v>
      </c>
      <c r="DB11" s="12">
        <f t="shared" si="25"/>
        <v>64.380940357241769</v>
      </c>
      <c r="DC11" s="3">
        <v>9</v>
      </c>
      <c r="DD11" s="3">
        <v>9</v>
      </c>
      <c r="DE11" s="12">
        <f t="shared" si="126"/>
        <v>1</v>
      </c>
      <c r="DF11" s="12">
        <f t="shared" si="26"/>
        <v>64.380940357241769</v>
      </c>
      <c r="DG11" s="3">
        <v>9</v>
      </c>
      <c r="DH11" s="5">
        <v>9</v>
      </c>
      <c r="DI11" s="12">
        <f t="shared" si="127"/>
        <v>1</v>
      </c>
      <c r="DJ11" s="12">
        <f t="shared" si="27"/>
        <v>64.380940357241769</v>
      </c>
      <c r="DK11" s="3">
        <v>9</v>
      </c>
      <c r="DL11" s="3">
        <v>9</v>
      </c>
      <c r="DM11" s="12">
        <f t="shared" si="128"/>
        <v>1</v>
      </c>
      <c r="DN11" s="12">
        <f t="shared" si="28"/>
        <v>64.380940357241769</v>
      </c>
      <c r="DO11" s="3">
        <v>9</v>
      </c>
      <c r="DP11" s="5">
        <v>9</v>
      </c>
      <c r="DQ11" s="12">
        <f t="shared" si="129"/>
        <v>1</v>
      </c>
      <c r="DR11" s="12">
        <f t="shared" si="29"/>
        <v>64.380940357241769</v>
      </c>
      <c r="DS11" s="3">
        <v>8</v>
      </c>
      <c r="DT11" s="3">
        <v>8</v>
      </c>
      <c r="DU11" s="12">
        <f t="shared" si="130"/>
        <v>1</v>
      </c>
      <c r="DV11" s="12">
        <f t="shared" si="30"/>
        <v>49.333393459694868</v>
      </c>
      <c r="DW11" s="3">
        <v>7</v>
      </c>
      <c r="DX11" s="3">
        <v>5</v>
      </c>
      <c r="DY11" s="12">
        <f t="shared" si="131"/>
        <v>0.7142857142857143</v>
      </c>
      <c r="DZ11" s="12">
        <f t="shared" si="31"/>
        <v>16.190752767054175</v>
      </c>
      <c r="EA11" s="3">
        <v>8</v>
      </c>
      <c r="EB11" s="3">
        <v>8</v>
      </c>
      <c r="EC11" s="12">
        <f t="shared" si="32"/>
        <v>1</v>
      </c>
      <c r="ED11" s="12">
        <f t="shared" si="33"/>
        <v>49.333393459694868</v>
      </c>
      <c r="EE11" s="3">
        <v>8</v>
      </c>
      <c r="EF11" s="3">
        <v>8</v>
      </c>
      <c r="EG11" s="12">
        <f t="shared" si="34"/>
        <v>1</v>
      </c>
      <c r="EH11" s="12">
        <f t="shared" si="35"/>
        <v>49.333393459694868</v>
      </c>
      <c r="EI11" s="3">
        <v>10</v>
      </c>
      <c r="EJ11" s="3">
        <v>10</v>
      </c>
      <c r="EK11" s="12">
        <f t="shared" si="36"/>
        <v>1</v>
      </c>
      <c r="EL11" s="12">
        <f t="shared" si="37"/>
        <v>81.428487254788664</v>
      </c>
      <c r="EM11" s="3">
        <v>8</v>
      </c>
      <c r="EN11" s="3">
        <v>8</v>
      </c>
      <c r="EO11" s="12">
        <f t="shared" si="38"/>
        <v>1</v>
      </c>
      <c r="EP11" s="12">
        <f t="shared" si="39"/>
        <v>49.333393459694868</v>
      </c>
      <c r="EQ11" s="3">
        <v>8</v>
      </c>
      <c r="ER11" s="3">
        <v>8</v>
      </c>
      <c r="ES11" s="12">
        <f t="shared" si="40"/>
        <v>1</v>
      </c>
      <c r="ET11" s="12">
        <f t="shared" si="41"/>
        <v>49.333393459694868</v>
      </c>
      <c r="EU11" s="3">
        <v>8</v>
      </c>
      <c r="EV11" s="3">
        <v>7</v>
      </c>
      <c r="EW11" s="12">
        <f t="shared" si="42"/>
        <v>0.875</v>
      </c>
      <c r="EX11" s="12">
        <f t="shared" si="43"/>
        <v>36.285846562147974</v>
      </c>
      <c r="EY11" s="3">
        <v>8</v>
      </c>
      <c r="EZ11" s="3">
        <v>8</v>
      </c>
      <c r="FA11" s="12">
        <f t="shared" si="44"/>
        <v>1</v>
      </c>
      <c r="FB11" s="12">
        <f t="shared" si="45"/>
        <v>49.333393459694868</v>
      </c>
      <c r="FC11" s="3">
        <v>8</v>
      </c>
      <c r="FD11" s="3">
        <v>8</v>
      </c>
      <c r="FE11" s="12">
        <f t="shared" si="46"/>
        <v>1</v>
      </c>
      <c r="FF11" s="12">
        <f t="shared" si="47"/>
        <v>49.333393459694868</v>
      </c>
      <c r="FG11" s="3">
        <v>9</v>
      </c>
      <c r="FH11" s="3">
        <v>9</v>
      </c>
      <c r="FI11" s="12">
        <f t="shared" si="48"/>
        <v>1</v>
      </c>
      <c r="FJ11" s="12">
        <f t="shared" si="49"/>
        <v>64.380940357241769</v>
      </c>
      <c r="FK11" s="3">
        <v>9</v>
      </c>
      <c r="FL11" s="3">
        <v>8</v>
      </c>
      <c r="FM11" s="12">
        <f t="shared" si="50"/>
        <v>0.88888888888888884</v>
      </c>
      <c r="FN11" s="12">
        <f t="shared" si="51"/>
        <v>49.333393459694868</v>
      </c>
      <c r="FO11" s="3">
        <v>9</v>
      </c>
      <c r="FP11" s="3">
        <v>8</v>
      </c>
      <c r="FQ11" s="12">
        <f t="shared" si="52"/>
        <v>0.88888888888888884</v>
      </c>
      <c r="FR11" s="12">
        <f t="shared" si="53"/>
        <v>49.333393459694868</v>
      </c>
      <c r="FS11" s="3">
        <v>8</v>
      </c>
      <c r="FT11" s="3">
        <v>8</v>
      </c>
      <c r="FU11" s="12">
        <f t="shared" si="54"/>
        <v>1</v>
      </c>
      <c r="FV11" s="12">
        <f t="shared" si="55"/>
        <v>49.333393459694868</v>
      </c>
      <c r="FW11" s="3">
        <v>8</v>
      </c>
      <c r="FX11" s="3">
        <v>8</v>
      </c>
      <c r="FY11" s="12">
        <f t="shared" si="56"/>
        <v>1</v>
      </c>
      <c r="FZ11" s="12">
        <f t="shared" si="57"/>
        <v>49.333393459694868</v>
      </c>
      <c r="GA11" s="3">
        <v>10</v>
      </c>
      <c r="GB11" s="3">
        <v>5</v>
      </c>
      <c r="GC11" s="12">
        <f t="shared" si="58"/>
        <v>0.5</v>
      </c>
      <c r="GD11" s="12">
        <f t="shared" si="59"/>
        <v>16.190752767054175</v>
      </c>
      <c r="GE11" s="3">
        <v>9</v>
      </c>
      <c r="GF11" s="3">
        <v>9</v>
      </c>
      <c r="GG11" s="12">
        <f t="shared" si="60"/>
        <v>1</v>
      </c>
      <c r="GH11" s="12">
        <f t="shared" si="61"/>
        <v>64.380940357241769</v>
      </c>
      <c r="GI11" s="3">
        <v>10</v>
      </c>
      <c r="GJ11" s="3">
        <v>10</v>
      </c>
      <c r="GK11" s="12">
        <f t="shared" si="62"/>
        <v>1</v>
      </c>
      <c r="GL11" s="12">
        <f t="shared" si="63"/>
        <v>81.428487254788664</v>
      </c>
      <c r="GM11" s="3">
        <v>9</v>
      </c>
      <c r="GN11" s="3">
        <v>9</v>
      </c>
      <c r="GO11" s="12">
        <f t="shared" si="64"/>
        <v>1</v>
      </c>
      <c r="GP11" s="12">
        <f t="shared" si="65"/>
        <v>64.380940357241769</v>
      </c>
      <c r="GQ11" s="3">
        <v>10</v>
      </c>
      <c r="GR11" s="3">
        <v>10</v>
      </c>
      <c r="GS11" s="12">
        <f t="shared" si="66"/>
        <v>1</v>
      </c>
      <c r="GT11" s="12">
        <f t="shared" si="67"/>
        <v>81.428487254788664</v>
      </c>
      <c r="GU11" s="3">
        <v>9</v>
      </c>
      <c r="GV11" s="3">
        <v>9</v>
      </c>
      <c r="GW11" s="12">
        <f t="shared" si="68"/>
        <v>1</v>
      </c>
      <c r="GX11" s="12">
        <f t="shared" si="69"/>
        <v>64.380940357241769</v>
      </c>
      <c r="GY11" s="3">
        <v>9</v>
      </c>
      <c r="GZ11" s="3">
        <v>9</v>
      </c>
      <c r="HA11" s="12">
        <f t="shared" si="70"/>
        <v>1</v>
      </c>
      <c r="HB11" s="12">
        <f t="shared" si="71"/>
        <v>64.380940357241769</v>
      </c>
      <c r="HC11" s="3">
        <v>10</v>
      </c>
      <c r="HD11" s="3">
        <v>10</v>
      </c>
      <c r="HE11" s="12">
        <f t="shared" si="72"/>
        <v>1</v>
      </c>
      <c r="HF11" s="12">
        <f t="shared" si="73"/>
        <v>81.428487254788664</v>
      </c>
      <c r="HG11" s="3">
        <v>10</v>
      </c>
      <c r="HH11" s="3">
        <v>9</v>
      </c>
      <c r="HI11" s="12">
        <f t="shared" si="74"/>
        <v>0.9</v>
      </c>
      <c r="HJ11" s="12">
        <f t="shared" si="75"/>
        <v>64.380940357241769</v>
      </c>
      <c r="HK11" s="3">
        <v>8</v>
      </c>
      <c r="HL11" s="3">
        <v>8</v>
      </c>
      <c r="HM11" s="12">
        <f t="shared" si="76"/>
        <v>1</v>
      </c>
      <c r="HN11" s="12">
        <f t="shared" si="77"/>
        <v>49.333393459694868</v>
      </c>
      <c r="HO11" s="3">
        <v>6</v>
      </c>
      <c r="HP11" s="3">
        <v>6</v>
      </c>
      <c r="HQ11" s="12">
        <f t="shared" si="78"/>
        <v>1</v>
      </c>
      <c r="HR11" s="12">
        <f t="shared" si="79"/>
        <v>25.238299664601072</v>
      </c>
      <c r="HS11" s="3">
        <v>5</v>
      </c>
      <c r="HT11" s="3">
        <v>4</v>
      </c>
      <c r="HU11" s="12">
        <f t="shared" si="80"/>
        <v>0.8</v>
      </c>
      <c r="HV11" s="12">
        <f t="shared" si="81"/>
        <v>9.1432058695072769</v>
      </c>
      <c r="HW11" s="3">
        <v>10</v>
      </c>
      <c r="HX11" s="3">
        <v>10</v>
      </c>
      <c r="HY11" s="12">
        <f t="shared" si="82"/>
        <v>1</v>
      </c>
      <c r="HZ11" s="12">
        <f t="shared" si="83"/>
        <v>81.428487254788664</v>
      </c>
      <c r="IA11" s="3">
        <v>9</v>
      </c>
      <c r="IB11" s="3">
        <v>9</v>
      </c>
      <c r="IC11" s="12">
        <f t="shared" si="84"/>
        <v>1</v>
      </c>
      <c r="ID11" s="12">
        <f t="shared" si="85"/>
        <v>64.380940357241769</v>
      </c>
      <c r="IE11" s="3">
        <v>8</v>
      </c>
      <c r="IF11" s="3">
        <v>8</v>
      </c>
      <c r="IG11" s="12">
        <f t="shared" si="86"/>
        <v>1</v>
      </c>
      <c r="IH11" s="12">
        <f t="shared" si="87"/>
        <v>49.333393459694868</v>
      </c>
      <c r="II11" s="3">
        <v>8</v>
      </c>
      <c r="IJ11" s="3">
        <v>8</v>
      </c>
      <c r="IK11" s="12">
        <f t="shared" si="88"/>
        <v>1</v>
      </c>
      <c r="IL11" s="12">
        <f t="shared" si="89"/>
        <v>49.333393459694868</v>
      </c>
      <c r="IM11" s="3">
        <v>8</v>
      </c>
      <c r="IN11" s="3">
        <v>8</v>
      </c>
      <c r="IO11" s="12">
        <f t="shared" si="90"/>
        <v>1</v>
      </c>
      <c r="IP11" s="12">
        <f t="shared" si="91"/>
        <v>49.333393459694868</v>
      </c>
      <c r="IQ11" s="3">
        <v>10</v>
      </c>
      <c r="IR11" s="3">
        <v>10</v>
      </c>
      <c r="IS11" s="12">
        <f t="shared" si="92"/>
        <v>1</v>
      </c>
      <c r="IT11" s="12">
        <f t="shared" si="93"/>
        <v>81.428487254788664</v>
      </c>
      <c r="IU11" s="3">
        <v>8</v>
      </c>
      <c r="IV11" s="3">
        <v>7</v>
      </c>
      <c r="IW11" s="12">
        <f t="shared" si="94"/>
        <v>0.875</v>
      </c>
      <c r="IX11" s="12">
        <f t="shared" si="95"/>
        <v>36.285846562147974</v>
      </c>
      <c r="IY11" s="3">
        <v>7</v>
      </c>
      <c r="IZ11" s="3">
        <v>7</v>
      </c>
      <c r="JA11" s="12">
        <f t="shared" si="96"/>
        <v>1</v>
      </c>
      <c r="JB11" s="12">
        <f t="shared" si="97"/>
        <v>36.285846562147974</v>
      </c>
      <c r="JC11" s="3">
        <v>8</v>
      </c>
      <c r="JD11" s="5">
        <v>8</v>
      </c>
      <c r="JE11" s="12">
        <f t="shared" si="98"/>
        <v>1</v>
      </c>
      <c r="JF11" s="12">
        <f t="shared" si="99"/>
        <v>49.333393459694868</v>
      </c>
      <c r="JG11" s="4">
        <f t="shared" si="139"/>
        <v>66</v>
      </c>
      <c r="JH11" s="15">
        <f t="shared" si="133"/>
        <v>97.622655122655104</v>
      </c>
      <c r="JI11" s="15">
        <f t="shared" si="134"/>
        <v>0.976226551226551</v>
      </c>
      <c r="JJ11" s="15">
        <f t="shared" si="135"/>
        <v>7.80646200062169</v>
      </c>
      <c r="JK11" s="19">
        <f t="shared" si="136"/>
        <v>97.622655122655104</v>
      </c>
      <c r="JL11" s="20" t="s">
        <v>3</v>
      </c>
      <c r="JM11" s="25">
        <f t="shared" si="137"/>
        <v>7.80646200062169</v>
      </c>
      <c r="JN11" s="4" t="str">
        <f t="shared" si="138"/>
        <v>отлично</v>
      </c>
    </row>
    <row r="12" spans="1:274" ht="15" hidden="1" customHeight="1" x14ac:dyDescent="0.25">
      <c r="B12" s="27" t="s">
        <v>7</v>
      </c>
      <c r="C12" s="13">
        <f>SUM(C3:C11)</f>
        <v>85</v>
      </c>
      <c r="D12" s="13">
        <f>SUM(D3:D11)</f>
        <v>85</v>
      </c>
      <c r="E12" s="8">
        <f t="shared" si="100"/>
        <v>1</v>
      </c>
      <c r="F12" s="12">
        <f>POWER(D12-JA12,2)</f>
        <v>641.77777777777794</v>
      </c>
      <c r="G12" s="13">
        <f>SUM(G3:G11)</f>
        <v>86</v>
      </c>
      <c r="H12" s="13">
        <f>SUM(H3:H11)</f>
        <v>84</v>
      </c>
      <c r="I12" s="12">
        <f t="shared" si="101"/>
        <v>0.97674418604651159</v>
      </c>
      <c r="J12" s="12">
        <f>POWER(H12-$JA12,2)</f>
        <v>592.1111111111112</v>
      </c>
      <c r="K12" s="13"/>
      <c r="L12" s="13"/>
      <c r="M12" s="12" t="e">
        <f t="shared" si="102"/>
        <v>#DIV/0!</v>
      </c>
      <c r="N12" s="12">
        <f>POWER(L12-$JA12,2)</f>
        <v>3560.1111111111109</v>
      </c>
      <c r="O12" s="13"/>
      <c r="P12" s="13"/>
      <c r="Q12" s="12" t="e">
        <f t="shared" si="103"/>
        <v>#DIV/0!</v>
      </c>
      <c r="R12" s="12">
        <f>POWER(P12-$JA12,2)</f>
        <v>3560.1111111111109</v>
      </c>
      <c r="S12" s="3"/>
      <c r="T12" s="13"/>
      <c r="U12" s="12" t="e">
        <f t="shared" si="104"/>
        <v>#DIV/0!</v>
      </c>
      <c r="V12" s="12">
        <f>POWER(T12-$JA12,2)</f>
        <v>3560.1111111111109</v>
      </c>
      <c r="W12" s="3"/>
      <c r="Y12" s="12" t="e">
        <f t="shared" si="105"/>
        <v>#DIV/0!</v>
      </c>
      <c r="Z12" s="12">
        <f>POWER(X12-$JA12,2)</f>
        <v>3560.1111111111109</v>
      </c>
      <c r="AC12" s="12" t="e">
        <f t="shared" si="106"/>
        <v>#DIV/0!</v>
      </c>
      <c r="AD12" s="12">
        <f>POWER(AB12-$JA12,2)</f>
        <v>3560.1111111111109</v>
      </c>
      <c r="AE12" s="3"/>
      <c r="AG12" s="12" t="e">
        <f t="shared" si="107"/>
        <v>#DIV/0!</v>
      </c>
      <c r="AH12" s="12">
        <f>POWER(AF12-$JA12,2)</f>
        <v>3560.1111111111109</v>
      </c>
      <c r="AK12" s="12"/>
      <c r="AL12" s="12">
        <f>POWER(AJ12-$JA12,2)</f>
        <v>3560.1111111111109</v>
      </c>
      <c r="AO12" s="12" t="e">
        <f t="shared" si="109"/>
        <v>#DIV/0!</v>
      </c>
      <c r="AP12" s="12">
        <f>POWER(AN12-$JA12,2)</f>
        <v>3560.1111111111109</v>
      </c>
      <c r="AS12" s="12" t="e">
        <f t="shared" si="110"/>
        <v>#DIV/0!</v>
      </c>
      <c r="AT12" s="12">
        <f>POWER(AR12-$JA12,2)</f>
        <v>3560.1111111111109</v>
      </c>
      <c r="BD12" s="3">
        <v>10</v>
      </c>
      <c r="BJ12" s="12" t="e">
        <f t="shared" si="14"/>
        <v>#DIV/0!</v>
      </c>
      <c r="BO12" s="3">
        <v>10</v>
      </c>
      <c r="CT12" s="12" t="e">
        <f t="shared" si="23"/>
        <v>#DIV/0!</v>
      </c>
      <c r="DA12" s="12" t="e">
        <f t="shared" si="125"/>
        <v>#DIV/0!</v>
      </c>
      <c r="DB12" s="12" t="e">
        <f t="shared" si="25"/>
        <v>#DIV/0!</v>
      </c>
      <c r="DN12" s="12">
        <f t="shared" ref="DN12:DN14" si="140">POWER(DL12-$JA12,2)</f>
        <v>3560.1111111111109</v>
      </c>
      <c r="IY12" s="4"/>
      <c r="IZ12" s="15"/>
      <c r="JA12" s="15">
        <f t="shared" ref="JA12:JA14" si="141">AVERAGE(D12,H12,L12,P12,T12,X12,AB12,AF12,AJ12,AN12,AR12,AV12,AZ12,BD12,BH12,BL12,BP12,BT12,BX12,CB12,CF12,CJ12,CN12,CR12,CV12,CZ12,DD12,DH12,DL12,DP12,DT12,DX12,HX12,IB12,IF12,IJ12,IN12,IR12,IV12)</f>
        <v>59.666666666666664</v>
      </c>
      <c r="JB12" s="15" t="e">
        <f t="shared" ref="JB12:JB14" si="142">SQRT((F12+J12+N12+R12+V12+Z12+AD12+AH12+AL12+AP12+AT12+AX12+BB12+BF12+BJ12++BN12+BR12+BV12+BZ12+CD12+CH12+CL12+CP12+CT12+CX12+DB12+DF12+DJ12+DN12+DR12+DV12+DZ12+HZ12+ID12+IH12+IL12+IP12+IT12+IX12)/IY12)</f>
        <v>#DIV/0!</v>
      </c>
      <c r="JC12" s="19"/>
      <c r="JD12" s="17"/>
      <c r="JE12" s="25" t="e">
        <f t="shared" ref="JE12:JE14" si="143">JB12</f>
        <v>#DIV/0!</v>
      </c>
      <c r="JF12" s="4" t="str">
        <f t="shared" ref="JF12:JF14" si="144">IF(IZ12&lt;40,"неудовлетворительно",IF((IZ12&gt;=40)*AND(IZ12&lt;60),"удовлетворительно",IF((IZ12&gt;=60)*AND(IZ12&lt;80),"хорошо","отлично")))</f>
        <v>неудовлетворительно</v>
      </c>
      <c r="JG12" s="18"/>
      <c r="JH12" s="15" t="e">
        <f t="shared" ref="JH12:JH14" si="145">(E12+I12+M12+Q12+U12+Y12+AC12+AG12+AK12+AO12+AS12+AW12+BA12+BE12+BI12+BM12+BQ12+BU12+BY12+CC12+CG12+CK12+CO12+CS12+CW12+DA12+DE12+DI12+DM12+DQ12+DU12+DY12+HY12+IC12+IG12+IK12+IO12+IS12+IW12+JA12+JE12)*100/JG12</f>
        <v>#DIV/0!</v>
      </c>
      <c r="JI12" s="15" t="e">
        <f t="shared" si="134"/>
        <v>#DIV/0!</v>
      </c>
      <c r="JJ12" s="18"/>
      <c r="JK12" s="18"/>
      <c r="JL12" s="18"/>
      <c r="JM12" s="18"/>
    </row>
    <row r="13" spans="1:274" ht="15" hidden="1" customHeight="1" x14ac:dyDescent="0.25">
      <c r="B13" s="27" t="s">
        <v>8</v>
      </c>
      <c r="C13" s="14">
        <f>AVERAGE(C3:C11)</f>
        <v>9.4444444444444446</v>
      </c>
      <c r="D13" s="14">
        <f>AVERAGE(D3:D11)</f>
        <v>9.4444444444444446</v>
      </c>
      <c r="E13" s="8">
        <f t="shared" si="100"/>
        <v>1</v>
      </c>
      <c r="F13" s="12">
        <f>POWER(D13-JA13,2)</f>
        <v>7.7160493827159948E-2</v>
      </c>
      <c r="G13" s="14"/>
      <c r="H13" s="14"/>
      <c r="I13" s="12" t="e">
        <f t="shared" si="101"/>
        <v>#DIV/0!</v>
      </c>
      <c r="J13" s="12">
        <f>POWER(H13-$JA13,2)</f>
        <v>94.521604938271594</v>
      </c>
      <c r="K13" s="14"/>
      <c r="L13" s="14"/>
      <c r="M13" s="12" t="e">
        <f t="shared" si="102"/>
        <v>#DIV/0!</v>
      </c>
      <c r="N13" s="12">
        <f>POWER(L13-$JA13,2)</f>
        <v>94.521604938271594</v>
      </c>
      <c r="O13" s="14"/>
      <c r="P13" s="14"/>
      <c r="Q13" s="12" t="e">
        <f t="shared" si="103"/>
        <v>#DIV/0!</v>
      </c>
      <c r="R13" s="12">
        <f>POWER(P13-$JA13,2)</f>
        <v>94.521604938271594</v>
      </c>
      <c r="S13" s="3"/>
      <c r="T13" s="14"/>
      <c r="U13" s="12" t="e">
        <f t="shared" si="104"/>
        <v>#DIV/0!</v>
      </c>
      <c r="V13" s="12">
        <f>POWER(T13-$JA13,2)</f>
        <v>94.521604938271594</v>
      </c>
      <c r="W13" s="3"/>
      <c r="Y13" s="12" t="e">
        <f t="shared" si="105"/>
        <v>#DIV/0!</v>
      </c>
      <c r="Z13" s="12">
        <f>POWER(X13-$JA13,2)</f>
        <v>94.521604938271594</v>
      </c>
      <c r="AC13" s="12" t="e">
        <f t="shared" si="106"/>
        <v>#DIV/0!</v>
      </c>
      <c r="AD13" s="12">
        <f>POWER(AB13-$JA13,2)</f>
        <v>94.521604938271594</v>
      </c>
      <c r="AE13" s="3"/>
      <c r="AG13" s="12" t="e">
        <f t="shared" si="107"/>
        <v>#DIV/0!</v>
      </c>
      <c r="AH13" s="12">
        <f>POWER(AF13-$JA13,2)</f>
        <v>94.521604938271594</v>
      </c>
      <c r="AK13" s="12"/>
      <c r="AL13" s="12">
        <f>POWER(AJ13-$JA13,2)</f>
        <v>94.521604938271594</v>
      </c>
      <c r="AO13" s="12" t="e">
        <f t="shared" si="109"/>
        <v>#DIV/0!</v>
      </c>
      <c r="AP13" s="12">
        <f>POWER(AN13-$JA13,2)</f>
        <v>94.521604938271594</v>
      </c>
      <c r="AS13" s="12" t="e">
        <f t="shared" si="110"/>
        <v>#DIV/0!</v>
      </c>
      <c r="AT13" s="12">
        <f>POWER(AR13-$JA13,2)</f>
        <v>94.521604938271594</v>
      </c>
      <c r="BD13" s="3">
        <v>10</v>
      </c>
      <c r="BJ13" s="12" t="e">
        <f t="shared" si="14"/>
        <v>#DIV/0!</v>
      </c>
      <c r="BO13" s="3">
        <v>10</v>
      </c>
      <c r="CT13" s="12" t="e">
        <f t="shared" si="23"/>
        <v>#DIV/0!</v>
      </c>
      <c r="DA13" s="12" t="e">
        <f t="shared" si="125"/>
        <v>#DIV/0!</v>
      </c>
      <c r="DB13" s="12" t="e">
        <f t="shared" si="25"/>
        <v>#DIV/0!</v>
      </c>
      <c r="DN13" s="12">
        <f t="shared" si="140"/>
        <v>94.521604938271594</v>
      </c>
      <c r="IY13" s="4"/>
      <c r="IZ13" s="15"/>
      <c r="JA13" s="15">
        <f t="shared" si="141"/>
        <v>9.7222222222222214</v>
      </c>
      <c r="JB13" s="15" t="e">
        <f t="shared" si="142"/>
        <v>#DIV/0!</v>
      </c>
      <c r="JC13" s="19"/>
      <c r="JD13" s="17"/>
      <c r="JE13" s="25" t="e">
        <f t="shared" si="143"/>
        <v>#DIV/0!</v>
      </c>
      <c r="JF13" s="4" t="str">
        <f t="shared" si="144"/>
        <v>неудовлетворительно</v>
      </c>
      <c r="JG13" s="18"/>
      <c r="JH13" s="15" t="e">
        <f t="shared" si="145"/>
        <v>#DIV/0!</v>
      </c>
      <c r="JI13" s="15" t="e">
        <f t="shared" si="134"/>
        <v>#DIV/0!</v>
      </c>
      <c r="JJ13" s="18"/>
      <c r="JK13" s="18"/>
      <c r="JL13" s="18"/>
      <c r="JM13" s="18"/>
    </row>
    <row r="14" spans="1:274" ht="15" hidden="1" customHeight="1" x14ac:dyDescent="0.25">
      <c r="B14" s="28" t="s">
        <v>9</v>
      </c>
      <c r="E14" s="8" t="e">
        <f t="shared" si="100"/>
        <v>#DIV/0!</v>
      </c>
      <c r="F14" s="12">
        <f>POWER(D14-JA14,2)</f>
        <v>100</v>
      </c>
      <c r="I14" s="12" t="e">
        <f t="shared" si="101"/>
        <v>#DIV/0!</v>
      </c>
      <c r="J14" s="12">
        <f>POWER(H14-$JA14,2)</f>
        <v>100</v>
      </c>
      <c r="M14" s="12" t="e">
        <f t="shared" si="102"/>
        <v>#DIV/0!</v>
      </c>
      <c r="N14" s="12">
        <f>POWER(L14-$JA14,2)</f>
        <v>100</v>
      </c>
      <c r="Q14" s="12" t="e">
        <f t="shared" si="103"/>
        <v>#DIV/0!</v>
      </c>
      <c r="R14" s="12">
        <f>POWER(P14-$JA14,2)</f>
        <v>100</v>
      </c>
      <c r="S14" s="3"/>
      <c r="U14" s="12" t="e">
        <f t="shared" si="104"/>
        <v>#DIV/0!</v>
      </c>
      <c r="V14" s="12">
        <f>POWER(T14-$JA14,2)</f>
        <v>100</v>
      </c>
      <c r="W14" s="47"/>
      <c r="Y14" s="29" t="e">
        <f t="shared" si="105"/>
        <v>#DIV/0!</v>
      </c>
      <c r="Z14" s="29">
        <f>POWER(X14-$JA14,2)</f>
        <v>100</v>
      </c>
      <c r="AC14" s="29" t="e">
        <f t="shared" si="106"/>
        <v>#DIV/0!</v>
      </c>
      <c r="AD14" s="12">
        <f>POWER(AB14-$JA14,2)</f>
        <v>100</v>
      </c>
      <c r="AE14" s="3"/>
      <c r="AG14" s="12" t="e">
        <f t="shared" si="107"/>
        <v>#DIV/0!</v>
      </c>
      <c r="AH14" s="12">
        <f>POWER(AF14-$JA14,2)</f>
        <v>100</v>
      </c>
      <c r="AK14" s="12"/>
      <c r="AL14" s="12">
        <f>POWER(AJ14-$JA14,2)</f>
        <v>100</v>
      </c>
      <c r="AO14" s="12" t="e">
        <f t="shared" si="109"/>
        <v>#DIV/0!</v>
      </c>
      <c r="AP14" s="12">
        <f>POWER(AN14-$JA14,2)</f>
        <v>100</v>
      </c>
      <c r="AS14" s="12" t="e">
        <f t="shared" si="110"/>
        <v>#DIV/0!</v>
      </c>
      <c r="AT14" s="12">
        <f>POWER(AR14-$JA14,2)</f>
        <v>100</v>
      </c>
      <c r="BD14" s="3">
        <v>10</v>
      </c>
      <c r="BJ14" s="12" t="e">
        <f t="shared" si="14"/>
        <v>#DIV/0!</v>
      </c>
      <c r="BO14" s="3">
        <v>10</v>
      </c>
      <c r="CT14" s="12" t="e">
        <f t="shared" si="23"/>
        <v>#DIV/0!</v>
      </c>
      <c r="DA14" s="12" t="e">
        <f t="shared" si="125"/>
        <v>#DIV/0!</v>
      </c>
      <c r="DB14" s="12" t="e">
        <f t="shared" si="25"/>
        <v>#DIV/0!</v>
      </c>
      <c r="DN14" s="29">
        <f t="shared" si="140"/>
        <v>100</v>
      </c>
      <c r="IY14" s="4"/>
      <c r="IZ14" s="15"/>
      <c r="JA14" s="15">
        <f t="shared" si="141"/>
        <v>10</v>
      </c>
      <c r="JB14" s="15" t="e">
        <f t="shared" si="142"/>
        <v>#DIV/0!</v>
      </c>
      <c r="JC14" s="19"/>
      <c r="JD14" s="17"/>
      <c r="JE14" s="25" t="e">
        <f t="shared" si="143"/>
        <v>#DIV/0!</v>
      </c>
      <c r="JF14" s="4" t="str">
        <f t="shared" si="144"/>
        <v>неудовлетворительно</v>
      </c>
      <c r="JG14" s="18"/>
      <c r="JH14" s="15" t="e">
        <f t="shared" si="145"/>
        <v>#DIV/0!</v>
      </c>
      <c r="JI14" s="15" t="e">
        <f t="shared" si="134"/>
        <v>#DIV/0!</v>
      </c>
      <c r="JJ14" s="18"/>
      <c r="JK14" s="18"/>
      <c r="JL14" s="18"/>
      <c r="JM14" s="18"/>
    </row>
    <row r="15" spans="1:274" ht="43.5" customHeight="1" x14ac:dyDescent="0.25">
      <c r="W15" s="32"/>
      <c r="X15" s="32"/>
      <c r="Y15" s="32"/>
      <c r="Z15" s="32"/>
      <c r="AA15" s="32"/>
      <c r="AB15" s="32"/>
      <c r="AC15" s="32"/>
      <c r="BJ15" s="76">
        <f t="shared" si="14"/>
        <v>0.92666861425219604</v>
      </c>
      <c r="CT15" s="76">
        <f t="shared" si="23"/>
        <v>0.92666861425219604</v>
      </c>
      <c r="DB15" s="76">
        <f t="shared" si="25"/>
        <v>0.92666861425219604</v>
      </c>
      <c r="JC15" s="2"/>
      <c r="JE15" s="2"/>
      <c r="JF15" s="2"/>
      <c r="JG15" s="2"/>
      <c r="JH15" s="2"/>
      <c r="JI15" s="75">
        <f>+AVERAGE(JI3:JI11)</f>
        <v>0.9626362834696166</v>
      </c>
      <c r="JJ15" s="2"/>
      <c r="JK15" s="2"/>
      <c r="JL15" s="2"/>
      <c r="JM15" s="2"/>
    </row>
    <row r="16" spans="1:274" x14ac:dyDescent="0.25">
      <c r="W16" s="32"/>
      <c r="X16" s="32"/>
      <c r="Y16" s="32"/>
      <c r="Z16" s="32"/>
      <c r="AA16" s="32"/>
      <c r="AB16" s="32"/>
      <c r="AC16" s="32"/>
      <c r="JK16" s="38">
        <f>AVERAGE(JK3:JK11)</f>
        <v>96.263628346961667</v>
      </c>
      <c r="JL16" s="39" t="s">
        <v>3</v>
      </c>
      <c r="JM16" s="40">
        <f>AVERAGE(JM3:JM11)</f>
        <v>7.3166377463128844</v>
      </c>
      <c r="JN16" s="41" t="str">
        <f>IF(JK16&lt;40,"неудовлетворительно",IF((JK16&gt;=40)*AND(JK16&lt;60),"удовлетворительно",IF((JK16&gt;=60)*AND(JK16&lt;80),"хорошо","отлично")))</f>
        <v>отлично</v>
      </c>
    </row>
    <row r="17" spans="1:273" x14ac:dyDescent="0.25"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pans="1:273" ht="15.75" x14ac:dyDescent="0.25">
      <c r="V18" s="32"/>
      <c r="W18" s="32"/>
      <c r="X18" s="48"/>
      <c r="Y18" s="48"/>
      <c r="Z18" s="48"/>
      <c r="AA18" s="82"/>
      <c r="AB18" s="82"/>
      <c r="AC18" s="82"/>
      <c r="AD18" s="70"/>
      <c r="AE18" s="32"/>
    </row>
    <row r="19" spans="1:273" x14ac:dyDescent="0.25">
      <c r="V19" s="32"/>
      <c r="W19" s="32"/>
      <c r="X19" s="33"/>
      <c r="Y19" s="32"/>
      <c r="Z19" s="32"/>
      <c r="AA19" s="34"/>
      <c r="AB19" s="35"/>
      <c r="AC19" s="36"/>
      <c r="AD19" s="32"/>
      <c r="AE19" s="32"/>
    </row>
    <row r="20" spans="1:273" x14ac:dyDescent="0.25">
      <c r="V20" s="32"/>
      <c r="W20" s="32"/>
      <c r="X20" s="33"/>
      <c r="Y20" s="32"/>
      <c r="Z20" s="32"/>
      <c r="AA20" s="34"/>
      <c r="AB20" s="35"/>
      <c r="AC20" s="36"/>
      <c r="AD20" s="32"/>
      <c r="AE20" s="32"/>
    </row>
    <row r="21" spans="1:273" x14ac:dyDescent="0.25">
      <c r="V21" s="32"/>
      <c r="W21" s="32"/>
      <c r="X21" s="33"/>
      <c r="Y21" s="32"/>
      <c r="Z21" s="32"/>
      <c r="AA21" s="34"/>
      <c r="AB21" s="35"/>
      <c r="AC21" s="36"/>
      <c r="AD21" s="32"/>
      <c r="AE21" s="32"/>
      <c r="IY21" s="32"/>
      <c r="IZ21" s="34"/>
      <c r="JA21" s="32"/>
      <c r="JB21" s="32"/>
      <c r="JC21" s="32"/>
      <c r="JD21" s="32"/>
      <c r="JE21" s="32"/>
      <c r="JF21" s="32"/>
    </row>
    <row r="22" spans="1:273" x14ac:dyDescent="0.25">
      <c r="V22" s="32"/>
      <c r="W22" s="32"/>
      <c r="X22" s="33"/>
      <c r="Y22" s="32"/>
      <c r="Z22" s="32"/>
      <c r="AA22" s="34"/>
      <c r="AB22" s="35"/>
      <c r="AC22" s="36"/>
      <c r="AD22" s="32"/>
      <c r="AE22" s="32"/>
      <c r="IY22" s="32"/>
      <c r="IZ22" s="34"/>
      <c r="JA22" s="32"/>
      <c r="JB22" s="32"/>
      <c r="JC22" s="32"/>
      <c r="JD22" s="32"/>
      <c r="JE22" s="32"/>
      <c r="JF22" s="32"/>
    </row>
    <row r="23" spans="1:273" x14ac:dyDescent="0.25">
      <c r="V23" s="32"/>
      <c r="W23" s="32"/>
      <c r="X23" s="33"/>
      <c r="Y23" s="32"/>
      <c r="Z23" s="32"/>
      <c r="AA23" s="34"/>
      <c r="AB23" s="35"/>
      <c r="AC23" s="36"/>
      <c r="AD23" s="32"/>
      <c r="AE23" s="32"/>
      <c r="IY23" s="32"/>
      <c r="IZ23" s="34"/>
      <c r="JA23" s="32"/>
      <c r="JB23" s="32"/>
      <c r="JC23" s="32"/>
      <c r="JD23" s="32"/>
      <c r="JE23" s="32"/>
      <c r="JF23" s="32"/>
    </row>
    <row r="24" spans="1:273" x14ac:dyDescent="0.25">
      <c r="V24" s="32"/>
      <c r="W24" s="32"/>
      <c r="X24" s="33"/>
      <c r="Y24" s="32"/>
      <c r="Z24" s="32"/>
      <c r="AA24" s="34"/>
      <c r="AB24" s="35"/>
      <c r="AC24" s="36"/>
      <c r="AD24" s="32"/>
      <c r="AE24" s="32"/>
      <c r="IY24" s="32"/>
      <c r="IZ24" s="34"/>
      <c r="JA24" s="32"/>
      <c r="JB24" s="32"/>
      <c r="JC24" s="32"/>
      <c r="JD24" s="32"/>
      <c r="JE24" s="32"/>
      <c r="JF24" s="32"/>
    </row>
    <row r="25" spans="1:273" x14ac:dyDescent="0.25">
      <c r="V25" s="32"/>
      <c r="W25" s="32"/>
      <c r="X25" s="33"/>
      <c r="Y25" s="32"/>
      <c r="Z25" s="32"/>
      <c r="AA25" s="34"/>
      <c r="AB25" s="35"/>
      <c r="AC25" s="36"/>
      <c r="AD25" s="32"/>
      <c r="AE25" s="32"/>
      <c r="IY25" s="32"/>
      <c r="IZ25" s="34"/>
      <c r="JA25" s="32"/>
      <c r="JB25" s="32"/>
      <c r="JC25" s="32"/>
      <c r="JD25" s="32"/>
      <c r="JE25" s="32"/>
      <c r="JF25" s="32"/>
    </row>
    <row r="26" spans="1:273" x14ac:dyDescent="0.25">
      <c r="V26" s="32"/>
      <c r="W26" s="32"/>
      <c r="X26" s="33"/>
      <c r="Y26" s="32"/>
      <c r="Z26" s="32"/>
      <c r="AA26" s="34"/>
      <c r="AB26" s="35"/>
      <c r="AC26" s="36"/>
      <c r="AD26" s="32"/>
      <c r="AE26" s="32"/>
      <c r="IY26" s="32"/>
      <c r="IZ26" s="34"/>
      <c r="JA26" s="32"/>
      <c r="JB26" s="32"/>
      <c r="JC26" s="32"/>
      <c r="JD26" s="32"/>
      <c r="JE26" s="32"/>
      <c r="JF26" s="32"/>
    </row>
    <row r="27" spans="1:273" x14ac:dyDescent="0.25">
      <c r="V27" s="32"/>
      <c r="W27" s="32"/>
      <c r="X27" s="33"/>
      <c r="Y27" s="32"/>
      <c r="Z27" s="32"/>
      <c r="AA27" s="34"/>
      <c r="AB27" s="35"/>
      <c r="AC27" s="36"/>
      <c r="AD27" s="32"/>
      <c r="AE27" s="32"/>
      <c r="IY27" s="79"/>
      <c r="IZ27" s="79"/>
      <c r="JA27" s="79"/>
      <c r="JB27" s="42"/>
      <c r="JC27" s="32"/>
      <c r="JD27" s="32"/>
      <c r="JE27" s="32"/>
      <c r="JF27" s="32"/>
    </row>
    <row r="28" spans="1:273" ht="19.5" x14ac:dyDescent="0.35">
      <c r="A28" s="83"/>
      <c r="B28" s="84"/>
      <c r="V28" s="32"/>
      <c r="W28" s="32"/>
      <c r="X28" s="33"/>
      <c r="Y28" s="32"/>
      <c r="Z28" s="32"/>
      <c r="AA28" s="34"/>
      <c r="AB28" s="35"/>
      <c r="AC28" s="36"/>
      <c r="AD28" s="32"/>
      <c r="AE28" s="32"/>
      <c r="IY28" s="79"/>
      <c r="IZ28" s="79"/>
      <c r="JA28" s="79"/>
      <c r="JB28" s="79"/>
      <c r="JC28" s="43"/>
      <c r="JD28" s="44"/>
      <c r="JE28" s="45"/>
      <c r="JF28" s="46"/>
      <c r="JG28" s="51"/>
      <c r="JH28" s="51"/>
      <c r="JI28" s="51"/>
      <c r="JJ28" s="51"/>
      <c r="JK28" s="51"/>
      <c r="JL28" s="51"/>
      <c r="JM28" s="51"/>
    </row>
    <row r="29" spans="1:273" x14ac:dyDescent="0.25">
      <c r="V29" s="32"/>
      <c r="W29" s="32"/>
      <c r="X29" s="34"/>
      <c r="Y29" s="32"/>
      <c r="Z29" s="32"/>
      <c r="AA29" s="32"/>
      <c r="AB29" s="32"/>
      <c r="AC29" s="32"/>
      <c r="AD29" s="32"/>
      <c r="AE29" s="32"/>
      <c r="IY29" s="32"/>
      <c r="IZ29" s="32"/>
      <c r="JA29" s="32"/>
      <c r="JB29" s="32"/>
      <c r="JC29" s="32"/>
      <c r="JD29" s="32"/>
      <c r="JE29" s="32"/>
      <c r="JF29" s="32"/>
    </row>
    <row r="30" spans="1:273" x14ac:dyDescent="0.25">
      <c r="V30" s="32"/>
      <c r="W30" s="32"/>
      <c r="X30" s="34"/>
      <c r="Y30" s="32"/>
      <c r="Z30" s="32"/>
      <c r="AA30" s="32"/>
      <c r="AB30" s="32"/>
      <c r="AC30" s="32"/>
      <c r="AD30" s="32"/>
      <c r="AE30" s="32"/>
    </row>
    <row r="31" spans="1:273" x14ac:dyDescent="0.25">
      <c r="V31" s="32"/>
      <c r="W31" s="79"/>
      <c r="X31" s="79"/>
      <c r="Y31" s="79"/>
      <c r="Z31" s="34"/>
      <c r="AA31" s="32"/>
      <c r="AB31" s="32"/>
      <c r="AC31" s="32"/>
      <c r="AD31" s="32"/>
      <c r="AE31" s="32"/>
    </row>
    <row r="32" spans="1:273" x14ac:dyDescent="0.25">
      <c r="V32" s="32"/>
      <c r="W32" s="79"/>
      <c r="X32" s="79"/>
      <c r="Y32" s="79"/>
      <c r="Z32" s="79"/>
      <c r="AA32" s="43"/>
      <c r="AB32" s="44"/>
      <c r="AC32" s="45"/>
      <c r="AD32" s="46"/>
      <c r="AE32" s="32"/>
    </row>
    <row r="33" spans="23:29" customFormat="1" x14ac:dyDescent="0.25">
      <c r="W33" s="32"/>
      <c r="X33" s="32"/>
      <c r="Y33" s="32"/>
      <c r="Z33" s="32"/>
      <c r="AA33" s="32"/>
      <c r="AB33" s="32"/>
      <c r="AC33" s="32"/>
    </row>
    <row r="34" spans="23:29" customFormat="1" x14ac:dyDescent="0.25">
      <c r="W34" s="32"/>
      <c r="X34" s="32"/>
      <c r="Y34" s="32"/>
      <c r="Z34" s="32"/>
      <c r="AA34" s="32"/>
      <c r="AB34" s="32"/>
      <c r="AC34" s="32"/>
    </row>
    <row r="35" spans="23:29" customFormat="1" x14ac:dyDescent="0.25">
      <c r="W35" s="32"/>
      <c r="X35" s="32"/>
      <c r="Y35" s="32"/>
      <c r="Z35" s="32"/>
      <c r="AA35" s="32"/>
      <c r="AB35" s="32"/>
      <c r="AC35" s="32"/>
    </row>
    <row r="36" spans="23:29" customFormat="1" x14ac:dyDescent="0.25">
      <c r="W36" s="32"/>
      <c r="X36" s="32"/>
      <c r="Y36" s="32"/>
      <c r="Z36" s="32"/>
      <c r="AA36" s="32"/>
      <c r="AB36" s="32"/>
      <c r="AC36" s="32"/>
    </row>
    <row r="37" spans="23:29" customFormat="1" x14ac:dyDescent="0.25">
      <c r="W37" s="37"/>
      <c r="X37" s="52"/>
      <c r="Y37" s="52"/>
      <c r="Z37" s="37"/>
      <c r="AA37" s="18"/>
      <c r="AB37" s="18"/>
      <c r="AC37" s="18"/>
    </row>
    <row r="38" spans="23:29" customFormat="1" x14ac:dyDescent="0.25">
      <c r="W38" s="37"/>
      <c r="X38" s="52"/>
      <c r="Y38" s="52"/>
      <c r="Z38" s="37"/>
      <c r="AA38" s="18"/>
      <c r="AB38" s="18"/>
      <c r="AC38" s="18"/>
    </row>
    <row r="39" spans="23:29" customFormat="1" x14ac:dyDescent="0.25">
      <c r="W39" s="37"/>
      <c r="X39" s="52"/>
      <c r="Y39" s="52"/>
      <c r="Z39" s="37"/>
      <c r="AA39" s="18"/>
      <c r="AB39" s="18"/>
      <c r="AC39" s="18"/>
    </row>
    <row r="40" spans="23:29" customFormat="1" x14ac:dyDescent="0.25">
      <c r="W40" s="37"/>
      <c r="X40" s="52"/>
      <c r="Y40" s="52"/>
      <c r="Z40" s="37"/>
      <c r="AA40" s="18"/>
      <c r="AB40" s="18"/>
      <c r="AC40" s="18"/>
    </row>
    <row r="41" spans="23:29" customFormat="1" x14ac:dyDescent="0.25">
      <c r="W41" s="37"/>
      <c r="X41" s="52"/>
      <c r="Y41" s="52"/>
      <c r="Z41" s="37"/>
      <c r="AA41" s="18"/>
      <c r="AB41" s="18"/>
      <c r="AC41" s="18"/>
    </row>
    <row r="42" spans="23:29" customFormat="1" x14ac:dyDescent="0.25">
      <c r="W42" s="37"/>
      <c r="X42" s="52"/>
      <c r="Y42" s="52"/>
      <c r="Z42" s="37"/>
      <c r="AA42" s="18"/>
      <c r="AB42" s="18"/>
      <c r="AC42" s="18"/>
    </row>
    <row r="43" spans="23:29" customFormat="1" x14ac:dyDescent="0.25">
      <c r="W43" s="37"/>
      <c r="X43" s="52"/>
      <c r="Y43" s="52"/>
      <c r="Z43" s="37"/>
      <c r="AA43" s="18"/>
      <c r="AB43" s="18"/>
      <c r="AC43" s="18"/>
    </row>
    <row r="44" spans="23:29" customFormat="1" x14ac:dyDescent="0.25">
      <c r="W44" s="37"/>
      <c r="X44" s="52"/>
      <c r="Y44" s="52"/>
      <c r="Z44" s="37"/>
      <c r="AA44" s="18"/>
      <c r="AB44" s="18"/>
      <c r="AC44" s="18"/>
    </row>
    <row r="45" spans="23:29" customFormat="1" x14ac:dyDescent="0.25">
      <c r="W45" s="37"/>
      <c r="X45" s="52"/>
      <c r="Y45" s="52"/>
      <c r="Z45" s="37"/>
      <c r="AA45" s="18"/>
      <c r="AB45" s="18"/>
      <c r="AC45" s="18"/>
    </row>
    <row r="46" spans="23:29" customFormat="1" x14ac:dyDescent="0.25">
      <c r="W46" s="37"/>
      <c r="X46" s="52"/>
      <c r="Y46" s="52"/>
      <c r="Z46" s="37"/>
      <c r="AA46" s="18"/>
      <c r="AB46" s="18"/>
      <c r="AC46" s="18"/>
    </row>
    <row r="47" spans="23:29" customFormat="1" x14ac:dyDescent="0.25">
      <c r="W47" s="37"/>
      <c r="X47" s="52"/>
      <c r="Y47" s="52"/>
      <c r="Z47" s="37"/>
      <c r="AA47" s="18"/>
      <c r="AB47" s="18"/>
      <c r="AC47" s="18"/>
    </row>
    <row r="48" spans="23:29" customFormat="1" x14ac:dyDescent="0.25">
      <c r="W48" s="37"/>
      <c r="X48" s="52"/>
      <c r="Y48" s="52"/>
      <c r="Z48" s="37"/>
      <c r="AA48" s="18"/>
      <c r="AB48" s="18"/>
      <c r="AC48" s="18"/>
    </row>
    <row r="49" spans="23:29" customFormat="1" x14ac:dyDescent="0.25">
      <c r="W49" s="37"/>
      <c r="X49" s="52"/>
      <c r="Y49" s="52"/>
      <c r="Z49" s="37"/>
      <c r="AA49" s="18"/>
      <c r="AB49" s="18"/>
      <c r="AC49" s="18"/>
    </row>
    <row r="50" spans="23:29" customFormat="1" x14ac:dyDescent="0.25">
      <c r="W50" s="37"/>
      <c r="X50" s="52"/>
      <c r="Y50" s="52"/>
      <c r="Z50" s="37"/>
      <c r="AA50" s="18"/>
      <c r="AB50" s="18"/>
      <c r="AC50" s="18"/>
    </row>
    <row r="51" spans="23:29" customFormat="1" x14ac:dyDescent="0.25">
      <c r="W51" s="37"/>
      <c r="X51" s="52"/>
      <c r="Y51" s="52"/>
      <c r="Z51" s="37"/>
      <c r="AA51" s="18"/>
      <c r="AB51" s="18"/>
      <c r="AC51" s="18"/>
    </row>
    <row r="52" spans="23:29" customFormat="1" x14ac:dyDescent="0.25">
      <c r="W52" s="37"/>
      <c r="X52" s="52"/>
      <c r="Y52" s="52"/>
      <c r="Z52" s="37"/>
      <c r="AA52" s="18"/>
      <c r="AB52" s="18"/>
      <c r="AC52" s="18"/>
    </row>
    <row r="53" spans="23:29" customFormat="1" x14ac:dyDescent="0.25">
      <c r="W53" s="37"/>
      <c r="X53" s="52"/>
      <c r="Y53" s="52"/>
      <c r="Z53" s="37"/>
      <c r="AA53" s="18"/>
      <c r="AB53" s="18"/>
      <c r="AC53" s="18"/>
    </row>
    <row r="54" spans="23:29" customFormat="1" x14ac:dyDescent="0.25">
      <c r="W54" s="37"/>
      <c r="X54" s="52"/>
      <c r="Y54" s="52"/>
      <c r="Z54" s="37"/>
      <c r="AA54" s="18"/>
      <c r="AB54" s="18"/>
      <c r="AC54" s="18"/>
    </row>
    <row r="55" spans="23:29" customFormat="1" x14ac:dyDescent="0.25">
      <c r="W55" s="37"/>
      <c r="X55" s="52"/>
      <c r="Y55" s="52"/>
      <c r="Z55" s="37"/>
      <c r="AA55" s="18"/>
      <c r="AB55" s="18"/>
      <c r="AC55" s="18"/>
    </row>
    <row r="56" spans="23:29" customFormat="1" x14ac:dyDescent="0.25">
      <c r="W56" s="37"/>
      <c r="X56" s="52"/>
      <c r="Y56" s="52"/>
      <c r="Z56" s="37"/>
      <c r="AA56" s="18"/>
      <c r="AB56" s="18"/>
      <c r="AC56" s="18"/>
    </row>
    <row r="57" spans="23:29" customFormat="1" x14ac:dyDescent="0.25">
      <c r="W57" s="37"/>
      <c r="X57" s="52"/>
      <c r="Y57" s="52"/>
      <c r="Z57" s="37"/>
      <c r="AA57" s="18"/>
      <c r="AB57" s="18"/>
      <c r="AC57" s="18"/>
    </row>
    <row r="58" spans="23:29" customFormat="1" x14ac:dyDescent="0.25">
      <c r="W58" s="37"/>
      <c r="X58" s="52"/>
      <c r="Y58" s="52"/>
      <c r="Z58" s="37"/>
      <c r="AA58" s="18"/>
      <c r="AB58" s="18"/>
      <c r="AC58" s="18"/>
    </row>
    <row r="59" spans="23:29" customFormat="1" x14ac:dyDescent="0.25">
      <c r="W59" s="37"/>
      <c r="X59" s="52"/>
      <c r="Y59" s="52"/>
      <c r="Z59" s="37"/>
      <c r="AA59" s="18"/>
      <c r="AB59" s="18"/>
      <c r="AC59" s="18"/>
    </row>
    <row r="60" spans="23:29" customFormat="1" x14ac:dyDescent="0.25">
      <c r="W60" s="37"/>
      <c r="X60" s="52"/>
      <c r="Y60" s="52"/>
      <c r="Z60" s="37"/>
      <c r="AA60" s="18"/>
      <c r="AB60" s="18"/>
      <c r="AC60" s="18"/>
    </row>
    <row r="61" spans="23:29" customFormat="1" x14ac:dyDescent="0.25">
      <c r="W61" s="37"/>
      <c r="X61" s="52"/>
      <c r="Y61" s="52"/>
      <c r="Z61" s="37"/>
      <c r="AA61" s="18"/>
      <c r="AB61" s="18"/>
      <c r="AC61" s="18"/>
    </row>
    <row r="62" spans="23:29" customFormat="1" x14ac:dyDescent="0.25">
      <c r="W62" s="37"/>
      <c r="X62" s="52"/>
      <c r="Y62" s="52"/>
      <c r="Z62" s="37"/>
      <c r="AA62" s="18"/>
      <c r="AB62" s="18"/>
      <c r="AC62" s="18"/>
    </row>
    <row r="63" spans="23:29" customFormat="1" x14ac:dyDescent="0.25">
      <c r="W63" s="37"/>
      <c r="X63" s="52"/>
      <c r="Y63" s="52"/>
      <c r="Z63" s="37"/>
      <c r="AA63" s="18"/>
      <c r="AB63" s="18"/>
      <c r="AC63" s="18"/>
    </row>
    <row r="64" spans="23:29" customFormat="1" x14ac:dyDescent="0.25">
      <c r="W64" s="37"/>
      <c r="X64" s="52"/>
      <c r="Y64" s="52"/>
      <c r="Z64" s="37"/>
      <c r="AA64" s="18"/>
      <c r="AB64" s="18"/>
      <c r="AC64" s="18"/>
    </row>
    <row r="65" spans="23:29" customFormat="1" x14ac:dyDescent="0.25">
      <c r="W65" s="37"/>
      <c r="X65" s="52"/>
      <c r="Y65" s="52"/>
      <c r="Z65" s="37"/>
      <c r="AA65" s="18"/>
      <c r="AB65" s="18"/>
      <c r="AC65" s="18"/>
    </row>
    <row r="66" spans="23:29" customFormat="1" x14ac:dyDescent="0.25">
      <c r="W66" s="37"/>
      <c r="X66" s="52"/>
      <c r="Y66" s="52"/>
      <c r="Z66" s="37"/>
      <c r="AA66" s="18"/>
      <c r="AB66" s="18"/>
      <c r="AC66" s="18"/>
    </row>
    <row r="67" spans="23:29" customFormat="1" x14ac:dyDescent="0.25">
      <c r="W67" s="37"/>
      <c r="X67" s="52"/>
      <c r="Y67" s="52"/>
      <c r="Z67" s="37"/>
      <c r="AA67" s="18"/>
      <c r="AB67" s="18"/>
      <c r="AC67" s="18"/>
    </row>
    <row r="68" spans="23:29" customFormat="1" x14ac:dyDescent="0.25">
      <c r="W68" s="37"/>
      <c r="X68" s="52"/>
      <c r="Y68" s="52"/>
      <c r="Z68" s="37"/>
      <c r="AA68" s="18"/>
      <c r="AB68" s="18"/>
      <c r="AC68" s="18"/>
    </row>
    <row r="69" spans="23:29" customFormat="1" x14ac:dyDescent="0.25">
      <c r="W69" s="37"/>
      <c r="X69" s="52"/>
      <c r="Y69" s="52"/>
      <c r="Z69" s="37"/>
      <c r="AA69" s="18"/>
      <c r="AB69" s="18"/>
      <c r="AC69" s="18"/>
    </row>
    <row r="70" spans="23:29" customFormat="1" x14ac:dyDescent="0.25">
      <c r="W70" s="37"/>
      <c r="X70" s="52"/>
      <c r="Y70" s="52"/>
      <c r="Z70" s="37"/>
      <c r="AA70" s="18"/>
      <c r="AB70" s="18"/>
      <c r="AC70" s="18"/>
    </row>
    <row r="71" spans="23:29" customFormat="1" x14ac:dyDescent="0.25">
      <c r="W71" s="37"/>
      <c r="X71" s="52"/>
      <c r="Y71" s="52"/>
      <c r="Z71" s="37"/>
      <c r="AA71" s="18"/>
      <c r="AB71" s="18"/>
      <c r="AC71" s="18"/>
    </row>
    <row r="72" spans="23:29" customFormat="1" x14ac:dyDescent="0.25">
      <c r="W72" s="37"/>
      <c r="X72" s="52"/>
      <c r="Y72" s="52"/>
      <c r="Z72" s="37"/>
      <c r="AA72" s="18"/>
      <c r="AB72" s="18"/>
      <c r="AC72" s="18"/>
    </row>
    <row r="73" spans="23:29" customFormat="1" x14ac:dyDescent="0.25">
      <c r="W73" s="37"/>
      <c r="X73" s="52"/>
      <c r="Y73" s="52"/>
      <c r="Z73" s="37"/>
      <c r="AA73" s="18"/>
      <c r="AB73" s="18"/>
      <c r="AC73" s="18"/>
    </row>
    <row r="74" spans="23:29" customFormat="1" x14ac:dyDescent="0.25">
      <c r="W74" s="37"/>
      <c r="X74" s="52"/>
      <c r="Y74" s="52"/>
      <c r="Z74" s="37"/>
      <c r="AA74" s="18"/>
      <c r="AB74" s="18"/>
      <c r="AC74" s="18"/>
    </row>
    <row r="75" spans="23:29" customFormat="1" x14ac:dyDescent="0.25">
      <c r="W75" s="37"/>
      <c r="X75" s="52"/>
      <c r="Y75" s="52"/>
      <c r="Z75" s="37"/>
      <c r="AA75" s="18"/>
      <c r="AB75" s="18"/>
      <c r="AC75" s="18"/>
    </row>
    <row r="76" spans="23:29" customFormat="1" x14ac:dyDescent="0.25">
      <c r="W76" s="37"/>
      <c r="X76" s="52"/>
      <c r="Y76" s="52"/>
      <c r="Z76" s="37"/>
      <c r="AA76" s="18"/>
      <c r="AB76" s="18"/>
      <c r="AC76" s="18"/>
    </row>
    <row r="77" spans="23:29" customFormat="1" x14ac:dyDescent="0.25">
      <c r="W77" s="37"/>
      <c r="X77" s="52"/>
      <c r="Y77" s="52"/>
      <c r="Z77" s="37"/>
      <c r="AA77" s="18"/>
      <c r="AB77" s="18"/>
      <c r="AC77" s="18"/>
    </row>
    <row r="78" spans="23:29" customFormat="1" x14ac:dyDescent="0.25">
      <c r="W78" s="37"/>
      <c r="X78" s="52"/>
      <c r="Y78" s="52"/>
      <c r="Z78" s="37"/>
      <c r="AA78" s="18"/>
      <c r="AB78" s="18"/>
      <c r="AC78" s="18"/>
    </row>
    <row r="79" spans="23:29" customFormat="1" x14ac:dyDescent="0.25">
      <c r="W79" s="37"/>
      <c r="X79" s="52"/>
      <c r="Y79" s="52"/>
      <c r="Z79" s="37"/>
      <c r="AA79" s="18"/>
      <c r="AB79" s="18"/>
      <c r="AC79" s="18"/>
    </row>
    <row r="80" spans="23:29" customFormat="1" x14ac:dyDescent="0.25">
      <c r="W80" s="37"/>
      <c r="X80" s="52"/>
      <c r="Y80" s="52"/>
      <c r="Z80" s="37"/>
      <c r="AA80" s="18"/>
      <c r="AB80" s="18"/>
      <c r="AC80" s="18"/>
    </row>
    <row r="81" spans="23:29" customFormat="1" x14ac:dyDescent="0.25">
      <c r="W81" s="37"/>
      <c r="X81" s="52"/>
      <c r="Y81" s="52"/>
      <c r="Z81" s="37"/>
      <c r="AA81" s="18"/>
      <c r="AB81" s="18"/>
      <c r="AC81" s="18"/>
    </row>
    <row r="82" spans="23:29" customFormat="1" x14ac:dyDescent="0.25">
      <c r="W82" s="37"/>
      <c r="X82" s="52"/>
      <c r="Y82" s="52"/>
      <c r="Z82" s="37"/>
      <c r="AA82" s="18"/>
      <c r="AB82" s="18"/>
      <c r="AC82" s="18"/>
    </row>
    <row r="83" spans="23:29" customFormat="1" x14ac:dyDescent="0.25">
      <c r="W83" s="37"/>
      <c r="X83" s="52"/>
      <c r="Y83" s="52"/>
      <c r="Z83" s="37"/>
      <c r="AA83" s="18"/>
      <c r="AB83" s="18"/>
      <c r="AC83" s="18"/>
    </row>
    <row r="84" spans="23:29" customFormat="1" x14ac:dyDescent="0.25">
      <c r="W84" s="37"/>
      <c r="X84" s="52"/>
      <c r="Y84" s="52"/>
      <c r="Z84" s="37"/>
      <c r="AA84" s="18"/>
      <c r="AB84" s="18"/>
      <c r="AC84" s="18"/>
    </row>
    <row r="85" spans="23:29" customFormat="1" x14ac:dyDescent="0.25">
      <c r="W85" s="37"/>
      <c r="X85" s="52"/>
      <c r="Y85" s="52"/>
      <c r="Z85" s="37"/>
      <c r="AA85" s="18"/>
      <c r="AB85" s="18"/>
      <c r="AC85" s="18"/>
    </row>
    <row r="86" spans="23:29" customFormat="1" x14ac:dyDescent="0.25">
      <c r="W86" s="37"/>
      <c r="X86" s="52"/>
      <c r="Y86" s="52"/>
      <c r="Z86" s="37"/>
      <c r="AA86" s="18"/>
      <c r="AB86" s="18"/>
      <c r="AC86" s="18"/>
    </row>
    <row r="87" spans="23:29" customFormat="1" x14ac:dyDescent="0.25">
      <c r="W87" s="37"/>
      <c r="X87" s="52"/>
      <c r="Y87" s="52"/>
      <c r="Z87" s="37"/>
      <c r="AA87" s="18"/>
      <c r="AB87" s="18"/>
      <c r="AC87" s="18"/>
    </row>
    <row r="88" spans="23:29" customFormat="1" x14ac:dyDescent="0.25">
      <c r="W88" s="37"/>
      <c r="X88" s="52"/>
      <c r="Y88" s="52"/>
      <c r="Z88" s="37"/>
      <c r="AA88" s="18"/>
      <c r="AB88" s="18"/>
      <c r="AC88" s="18"/>
    </row>
    <row r="89" spans="23:29" customFormat="1" x14ac:dyDescent="0.25">
      <c r="W89" s="37"/>
      <c r="X89" s="52"/>
      <c r="Y89" s="52"/>
      <c r="Z89" s="37"/>
      <c r="AA89" s="18"/>
      <c r="AB89" s="18"/>
      <c r="AC89" s="18"/>
    </row>
    <row r="90" spans="23:29" customFormat="1" x14ac:dyDescent="0.25">
      <c r="W90" s="37"/>
      <c r="X90" s="52"/>
      <c r="Y90" s="52"/>
      <c r="Z90" s="37"/>
      <c r="AA90" s="18"/>
      <c r="AB90" s="18"/>
      <c r="AC90" s="18"/>
    </row>
    <row r="91" spans="23:29" customFormat="1" x14ac:dyDescent="0.25">
      <c r="W91" s="37"/>
      <c r="X91" s="52"/>
      <c r="Y91" s="52"/>
      <c r="Z91" s="37"/>
      <c r="AA91" s="18"/>
      <c r="AB91" s="18"/>
      <c r="AC91" s="18"/>
    </row>
    <row r="92" spans="23:29" customFormat="1" x14ac:dyDescent="0.25">
      <c r="W92" s="37"/>
      <c r="X92" s="52"/>
      <c r="Y92" s="52"/>
      <c r="Z92" s="37"/>
      <c r="AA92" s="18"/>
      <c r="AB92" s="18"/>
      <c r="AC92" s="18"/>
    </row>
    <row r="93" spans="23:29" customFormat="1" x14ac:dyDescent="0.25">
      <c r="W93" s="37"/>
      <c r="X93" s="52"/>
      <c r="Y93" s="52"/>
      <c r="Z93" s="37"/>
      <c r="AA93" s="18"/>
      <c r="AB93" s="18"/>
      <c r="AC93" s="18"/>
    </row>
    <row r="94" spans="23:29" customFormat="1" x14ac:dyDescent="0.25">
      <c r="W94" s="37"/>
      <c r="X94" s="52"/>
      <c r="Y94" s="52"/>
      <c r="Z94" s="37"/>
      <c r="AA94" s="18"/>
      <c r="AB94" s="18"/>
      <c r="AC94" s="18"/>
    </row>
    <row r="95" spans="23:29" customFormat="1" x14ac:dyDescent="0.25">
      <c r="W95" s="37"/>
      <c r="X95" s="52"/>
      <c r="Y95" s="52"/>
      <c r="Z95" s="37"/>
      <c r="AA95" s="18"/>
      <c r="AB95" s="18"/>
      <c r="AC95" s="18"/>
    </row>
    <row r="96" spans="23:29" customFormat="1" x14ac:dyDescent="0.25">
      <c r="W96" s="37"/>
      <c r="X96" s="52"/>
      <c r="Y96" s="52"/>
      <c r="Z96" s="37"/>
      <c r="AA96" s="18"/>
      <c r="AB96" s="18"/>
      <c r="AC96" s="18"/>
    </row>
    <row r="97" spans="23:29" customFormat="1" x14ac:dyDescent="0.25">
      <c r="W97" s="37"/>
      <c r="X97" s="52"/>
      <c r="Y97" s="52"/>
      <c r="Z97" s="37"/>
      <c r="AA97" s="18"/>
      <c r="AB97" s="18"/>
      <c r="AC97" s="18"/>
    </row>
    <row r="98" spans="23:29" customFormat="1" x14ac:dyDescent="0.25">
      <c r="W98" s="37"/>
      <c r="X98" s="52"/>
      <c r="Y98" s="52"/>
      <c r="Z98" s="37"/>
      <c r="AA98" s="18"/>
      <c r="AB98" s="18"/>
      <c r="AC98" s="18"/>
    </row>
    <row r="99" spans="23:29" customFormat="1" x14ac:dyDescent="0.25">
      <c r="W99" s="37"/>
      <c r="X99" s="52"/>
      <c r="Y99" s="52"/>
      <c r="Z99" s="37"/>
      <c r="AA99" s="18"/>
      <c r="AB99" s="18"/>
      <c r="AC99" s="18"/>
    </row>
    <row r="100" spans="23:29" customFormat="1" x14ac:dyDescent="0.25">
      <c r="W100" s="37"/>
      <c r="X100" s="52"/>
      <c r="Y100" s="52"/>
      <c r="Z100" s="37"/>
      <c r="AA100" s="18"/>
      <c r="AB100" s="18"/>
      <c r="AC100" s="18"/>
    </row>
    <row r="101" spans="23:29" customFormat="1" x14ac:dyDescent="0.25">
      <c r="W101" s="37"/>
      <c r="X101" s="52"/>
      <c r="Y101" s="52"/>
      <c r="Z101" s="37"/>
      <c r="AA101" s="18"/>
      <c r="AB101" s="18"/>
      <c r="AC101" s="18"/>
    </row>
    <row r="102" spans="23:29" customFormat="1" x14ac:dyDescent="0.25">
      <c r="W102" s="37"/>
      <c r="X102" s="52"/>
      <c r="Y102" s="52"/>
      <c r="Z102" s="37"/>
      <c r="AA102" s="18"/>
      <c r="AB102" s="18"/>
      <c r="AC102" s="18"/>
    </row>
    <row r="103" spans="23:29" customFormat="1" x14ac:dyDescent="0.25">
      <c r="W103" s="37"/>
      <c r="X103" s="52"/>
      <c r="Y103" s="52"/>
      <c r="Z103" s="37"/>
      <c r="AA103" s="18"/>
      <c r="AB103" s="18"/>
      <c r="AC103" s="18"/>
    </row>
    <row r="104" spans="23:29" customFormat="1" x14ac:dyDescent="0.25">
      <c r="W104" s="37"/>
      <c r="X104" s="52"/>
      <c r="Y104" s="52"/>
      <c r="Z104" s="37"/>
      <c r="AA104" s="18"/>
      <c r="AB104" s="18"/>
      <c r="AC104" s="18"/>
    </row>
    <row r="105" spans="23:29" customFormat="1" x14ac:dyDescent="0.25">
      <c r="W105" s="37"/>
      <c r="X105" s="52"/>
      <c r="Y105" s="52"/>
      <c r="Z105" s="37"/>
      <c r="AA105" s="18"/>
      <c r="AB105" s="18"/>
      <c r="AC105" s="18"/>
    </row>
    <row r="106" spans="23:29" customFormat="1" x14ac:dyDescent="0.25">
      <c r="W106" s="37"/>
      <c r="X106" s="52"/>
      <c r="Y106" s="52"/>
      <c r="Z106" s="37"/>
      <c r="AA106" s="18"/>
      <c r="AB106" s="18"/>
      <c r="AC106" s="18"/>
    </row>
    <row r="107" spans="23:29" customFormat="1" x14ac:dyDescent="0.25">
      <c r="W107" s="37"/>
      <c r="X107" s="52"/>
      <c r="Y107" s="52"/>
      <c r="Z107" s="37"/>
      <c r="AA107" s="18"/>
      <c r="AB107" s="18"/>
      <c r="AC107" s="18"/>
    </row>
    <row r="108" spans="23:29" customFormat="1" x14ac:dyDescent="0.25">
      <c r="W108" s="37"/>
      <c r="X108" s="52"/>
      <c r="Y108" s="52"/>
      <c r="Z108" s="37"/>
      <c r="AA108" s="18"/>
      <c r="AB108" s="18"/>
      <c r="AC108" s="18"/>
    </row>
    <row r="109" spans="23:29" customFormat="1" x14ac:dyDescent="0.25">
      <c r="W109" s="37"/>
      <c r="X109" s="52"/>
      <c r="Y109" s="52"/>
      <c r="Z109" s="37"/>
      <c r="AA109" s="18"/>
      <c r="AB109" s="18"/>
      <c r="AC109" s="18"/>
    </row>
    <row r="110" spans="23:29" customFormat="1" x14ac:dyDescent="0.25">
      <c r="W110" s="37"/>
      <c r="X110" s="52"/>
      <c r="Y110" s="52"/>
      <c r="Z110" s="37"/>
      <c r="AA110" s="18"/>
      <c r="AB110" s="18"/>
      <c r="AC110" s="18"/>
    </row>
    <row r="111" spans="23:29" customFormat="1" x14ac:dyDescent="0.25">
      <c r="W111" s="37"/>
      <c r="X111" s="52"/>
      <c r="Y111" s="52"/>
      <c r="Z111" s="37"/>
      <c r="AA111" s="18"/>
      <c r="AB111" s="18"/>
      <c r="AC111" s="18"/>
    </row>
    <row r="112" spans="23:29" customFormat="1" x14ac:dyDescent="0.25">
      <c r="W112" s="37"/>
      <c r="X112" s="52"/>
      <c r="Y112" s="52"/>
      <c r="Z112" s="37"/>
      <c r="AA112" s="18"/>
      <c r="AB112" s="18"/>
      <c r="AC112" s="18"/>
    </row>
    <row r="113" spans="23:29" customFormat="1" x14ac:dyDescent="0.25">
      <c r="W113" s="37"/>
      <c r="X113" s="52"/>
      <c r="Y113" s="52"/>
      <c r="Z113" s="37"/>
      <c r="AA113" s="18"/>
      <c r="AB113" s="18"/>
      <c r="AC113" s="18"/>
    </row>
    <row r="114" spans="23:29" customFormat="1" x14ac:dyDescent="0.25">
      <c r="W114" s="37"/>
      <c r="X114" s="52"/>
      <c r="Y114" s="52"/>
      <c r="Z114" s="37"/>
      <c r="AA114" s="18"/>
      <c r="AB114" s="18"/>
      <c r="AC114" s="18"/>
    </row>
    <row r="115" spans="23:29" customFormat="1" x14ac:dyDescent="0.25">
      <c r="W115" s="37"/>
      <c r="X115" s="52"/>
      <c r="Y115" s="52"/>
      <c r="Z115" s="37"/>
      <c r="AA115" s="18"/>
      <c r="AB115" s="18"/>
      <c r="AC115" s="18"/>
    </row>
    <row r="116" spans="23:29" customFormat="1" x14ac:dyDescent="0.25">
      <c r="W116" s="37"/>
      <c r="X116" s="52"/>
      <c r="Y116" s="52"/>
      <c r="Z116" s="37"/>
      <c r="AA116" s="18"/>
      <c r="AB116" s="18"/>
      <c r="AC116" s="18"/>
    </row>
    <row r="117" spans="23:29" customFormat="1" x14ac:dyDescent="0.25">
      <c r="W117" s="37"/>
      <c r="X117" s="52"/>
      <c r="Y117" s="52"/>
      <c r="Z117" s="37"/>
      <c r="AA117" s="18"/>
      <c r="AB117" s="18"/>
      <c r="AC117" s="18"/>
    </row>
    <row r="118" spans="23:29" customFormat="1" x14ac:dyDescent="0.25">
      <c r="W118" s="37"/>
      <c r="X118" s="52"/>
      <c r="Y118" s="52"/>
      <c r="Z118" s="37"/>
      <c r="AA118" s="18"/>
      <c r="AB118" s="18"/>
      <c r="AC118" s="18"/>
    </row>
    <row r="119" spans="23:29" customFormat="1" x14ac:dyDescent="0.25">
      <c r="W119" s="37"/>
      <c r="X119" s="52"/>
      <c r="Y119" s="52"/>
      <c r="Z119" s="37"/>
      <c r="AA119" s="18"/>
      <c r="AB119" s="18"/>
      <c r="AC119" s="18"/>
    </row>
    <row r="120" spans="23:29" customFormat="1" x14ac:dyDescent="0.25">
      <c r="W120" s="37"/>
      <c r="X120" s="52"/>
      <c r="Y120" s="52"/>
      <c r="Z120" s="37"/>
      <c r="AA120" s="18"/>
      <c r="AB120" s="18"/>
      <c r="AC120" s="18"/>
    </row>
    <row r="121" spans="23:29" customFormat="1" x14ac:dyDescent="0.25">
      <c r="W121" s="37"/>
      <c r="X121" s="52"/>
      <c r="Y121" s="52"/>
      <c r="Z121" s="37"/>
      <c r="AA121" s="18"/>
      <c r="AB121" s="18"/>
      <c r="AC121" s="18"/>
    </row>
    <row r="122" spans="23:29" customFormat="1" x14ac:dyDescent="0.25">
      <c r="W122" s="37"/>
      <c r="X122" s="52"/>
      <c r="Y122" s="52"/>
      <c r="Z122" s="37"/>
      <c r="AA122" s="18"/>
      <c r="AB122" s="18"/>
      <c r="AC122" s="18"/>
    </row>
    <row r="123" spans="23:29" customFormat="1" x14ac:dyDescent="0.25">
      <c r="W123" s="37"/>
      <c r="X123" s="52"/>
      <c r="Y123" s="52"/>
      <c r="Z123" s="37"/>
      <c r="AA123" s="18"/>
      <c r="AB123" s="18"/>
      <c r="AC123" s="18"/>
    </row>
    <row r="124" spans="23:29" customFormat="1" x14ac:dyDescent="0.25">
      <c r="W124" s="37"/>
      <c r="X124" s="52"/>
      <c r="Y124" s="52"/>
      <c r="Z124" s="37"/>
      <c r="AA124" s="18"/>
      <c r="AB124" s="18"/>
      <c r="AC124" s="18"/>
    </row>
    <row r="125" spans="23:29" customFormat="1" x14ac:dyDescent="0.25">
      <c r="W125" s="37"/>
      <c r="X125" s="52"/>
      <c r="Y125" s="52"/>
      <c r="Z125" s="37"/>
      <c r="AA125" s="18"/>
      <c r="AB125" s="18"/>
      <c r="AC125" s="18"/>
    </row>
    <row r="126" spans="23:29" customFormat="1" x14ac:dyDescent="0.25">
      <c r="W126" s="37"/>
      <c r="X126" s="52"/>
      <c r="Y126" s="52"/>
      <c r="Z126" s="37"/>
      <c r="AA126" s="18"/>
      <c r="AB126" s="18"/>
      <c r="AC126" s="18"/>
    </row>
    <row r="127" spans="23:29" customFormat="1" x14ac:dyDescent="0.25">
      <c r="W127" s="37"/>
      <c r="X127" s="52"/>
      <c r="Y127" s="52"/>
      <c r="Z127" s="37"/>
      <c r="AA127" s="18"/>
      <c r="AB127" s="18"/>
      <c r="AC127" s="18"/>
    </row>
    <row r="128" spans="23:29" customFormat="1" x14ac:dyDescent="0.25">
      <c r="W128" s="37"/>
      <c r="X128" s="52"/>
      <c r="Y128" s="52"/>
      <c r="Z128" s="37"/>
      <c r="AA128" s="18"/>
      <c r="AB128" s="18"/>
      <c r="AC128" s="18"/>
    </row>
    <row r="129" spans="23:29" customFormat="1" x14ac:dyDescent="0.25">
      <c r="W129" s="37"/>
      <c r="X129" s="52"/>
      <c r="Y129" s="52"/>
      <c r="Z129" s="37"/>
      <c r="AA129" s="18"/>
      <c r="AB129" s="18"/>
      <c r="AC129" s="18"/>
    </row>
    <row r="130" spans="23:29" customFormat="1" x14ac:dyDescent="0.25">
      <c r="W130" s="37"/>
      <c r="X130" s="52"/>
      <c r="Y130" s="52"/>
      <c r="Z130" s="37"/>
      <c r="AA130" s="18"/>
      <c r="AB130" s="18"/>
      <c r="AC130" s="18"/>
    </row>
    <row r="131" spans="23:29" customFormat="1" x14ac:dyDescent="0.25">
      <c r="W131" s="37"/>
      <c r="X131" s="52"/>
      <c r="Y131" s="52"/>
      <c r="Z131" s="37"/>
      <c r="AA131" s="18"/>
      <c r="AB131" s="18"/>
      <c r="AC131" s="18"/>
    </row>
    <row r="132" spans="23:29" customFormat="1" x14ac:dyDescent="0.25">
      <c r="W132" s="37"/>
      <c r="X132" s="52"/>
      <c r="Y132" s="52"/>
      <c r="Z132" s="37"/>
      <c r="AA132" s="18"/>
      <c r="AB132" s="18"/>
      <c r="AC132" s="18"/>
    </row>
    <row r="133" spans="23:29" customFormat="1" x14ac:dyDescent="0.25">
      <c r="W133" s="37"/>
      <c r="X133" s="52"/>
      <c r="Y133" s="52"/>
      <c r="Z133" s="37"/>
      <c r="AA133" s="18"/>
      <c r="AB133" s="18"/>
      <c r="AC133" s="18"/>
    </row>
    <row r="134" spans="23:29" customFormat="1" x14ac:dyDescent="0.25">
      <c r="W134" s="37"/>
      <c r="X134" s="52"/>
      <c r="Y134" s="52"/>
      <c r="Z134" s="37"/>
      <c r="AA134" s="18"/>
      <c r="AB134" s="18"/>
      <c r="AC134" s="18"/>
    </row>
    <row r="135" spans="23:29" customFormat="1" x14ac:dyDescent="0.25">
      <c r="W135" s="37"/>
      <c r="X135" s="52"/>
      <c r="Y135" s="52"/>
      <c r="Z135" s="37"/>
      <c r="AA135" s="18"/>
      <c r="AB135" s="18"/>
      <c r="AC135" s="18"/>
    </row>
    <row r="136" spans="23:29" customFormat="1" x14ac:dyDescent="0.25">
      <c r="W136" s="37"/>
      <c r="X136" s="52"/>
      <c r="Y136" s="52"/>
      <c r="Z136" s="37"/>
      <c r="AA136" s="18"/>
      <c r="AB136" s="18"/>
      <c r="AC136" s="18"/>
    </row>
    <row r="137" spans="23:29" customFormat="1" x14ac:dyDescent="0.25">
      <c r="W137" s="37"/>
      <c r="X137" s="52"/>
      <c r="Y137" s="52"/>
      <c r="Z137" s="37"/>
      <c r="AA137" s="18"/>
      <c r="AB137" s="18"/>
      <c r="AC137" s="18"/>
    </row>
    <row r="138" spans="23:29" customFormat="1" x14ac:dyDescent="0.25">
      <c r="W138" s="37"/>
      <c r="X138" s="52"/>
      <c r="Y138" s="52"/>
      <c r="Z138" s="37"/>
      <c r="AA138" s="18"/>
      <c r="AB138" s="18"/>
      <c r="AC138" s="18"/>
    </row>
    <row r="139" spans="23:29" customFormat="1" x14ac:dyDescent="0.25">
      <c r="W139" s="37"/>
      <c r="X139" s="52"/>
      <c r="Y139" s="52"/>
      <c r="Z139" s="37"/>
      <c r="AA139" s="18"/>
      <c r="AB139" s="18"/>
      <c r="AC139" s="18"/>
    </row>
    <row r="140" spans="23:29" customFormat="1" x14ac:dyDescent="0.25">
      <c r="W140" s="37"/>
      <c r="X140" s="52"/>
      <c r="Y140" s="52"/>
      <c r="Z140" s="37"/>
      <c r="AA140" s="18"/>
      <c r="AB140" s="18"/>
      <c r="AC140" s="18"/>
    </row>
    <row r="141" spans="23:29" customFormat="1" x14ac:dyDescent="0.25">
      <c r="W141" s="37"/>
      <c r="X141" s="52"/>
      <c r="Y141" s="52"/>
      <c r="Z141" s="37"/>
      <c r="AA141" s="18"/>
      <c r="AB141" s="18"/>
      <c r="AC141" s="18"/>
    </row>
    <row r="142" spans="23:29" customFormat="1" x14ac:dyDescent="0.25">
      <c r="W142" s="37"/>
      <c r="X142" s="52"/>
      <c r="Y142" s="52"/>
      <c r="Z142" s="37"/>
      <c r="AA142" s="18"/>
      <c r="AB142" s="18"/>
      <c r="AC142" s="18"/>
    </row>
    <row r="143" spans="23:29" customFormat="1" x14ac:dyDescent="0.25">
      <c r="W143" s="37"/>
      <c r="X143" s="52"/>
      <c r="Y143" s="52"/>
      <c r="Z143" s="37"/>
      <c r="AA143" s="18"/>
      <c r="AB143" s="18"/>
      <c r="AC143" s="18"/>
    </row>
    <row r="144" spans="23:29" customFormat="1" x14ac:dyDescent="0.25">
      <c r="W144" s="37"/>
      <c r="X144" s="52"/>
      <c r="Y144" s="52"/>
      <c r="Z144" s="37"/>
      <c r="AA144" s="18"/>
      <c r="AB144" s="18"/>
      <c r="AC144" s="18"/>
    </row>
    <row r="145" spans="23:29" customFormat="1" x14ac:dyDescent="0.25">
      <c r="W145" s="37"/>
      <c r="X145" s="52"/>
      <c r="Y145" s="52"/>
      <c r="Z145" s="37"/>
      <c r="AA145" s="18"/>
      <c r="AB145" s="18"/>
      <c r="AC145" s="18"/>
    </row>
    <row r="146" spans="23:29" customFormat="1" x14ac:dyDescent="0.25">
      <c r="W146" s="37"/>
      <c r="X146" s="52"/>
      <c r="Y146" s="52"/>
      <c r="Z146" s="37"/>
      <c r="AA146" s="18"/>
      <c r="AB146" s="18"/>
      <c r="AC146" s="18"/>
    </row>
    <row r="147" spans="23:29" customFormat="1" x14ac:dyDescent="0.25">
      <c r="W147" s="37"/>
      <c r="X147" s="52"/>
      <c r="Y147" s="52"/>
      <c r="Z147" s="37"/>
      <c r="AA147" s="18"/>
      <c r="AB147" s="18"/>
      <c r="AC147" s="18"/>
    </row>
    <row r="148" spans="23:29" customFormat="1" x14ac:dyDescent="0.25">
      <c r="W148" s="37"/>
      <c r="X148" s="52"/>
      <c r="Y148" s="52"/>
      <c r="Z148" s="37"/>
      <c r="AA148" s="18"/>
      <c r="AB148" s="18"/>
      <c r="AC148" s="18"/>
    </row>
    <row r="149" spans="23:29" customFormat="1" x14ac:dyDescent="0.25">
      <c r="W149" s="37"/>
      <c r="X149" s="52"/>
      <c r="Y149" s="52"/>
      <c r="Z149" s="37"/>
      <c r="AA149" s="18"/>
      <c r="AB149" s="18"/>
      <c r="AC149" s="18"/>
    </row>
    <row r="150" spans="23:29" customFormat="1" x14ac:dyDescent="0.25">
      <c r="W150" s="37"/>
      <c r="X150" s="52"/>
      <c r="Y150" s="52"/>
      <c r="Z150" s="37"/>
      <c r="AA150" s="18"/>
      <c r="AB150" s="18"/>
      <c r="AC150" s="18"/>
    </row>
    <row r="151" spans="23:29" customFormat="1" x14ac:dyDescent="0.25">
      <c r="W151" s="37"/>
      <c r="X151" s="52"/>
      <c r="Y151" s="52"/>
      <c r="Z151" s="37"/>
      <c r="AA151" s="18"/>
      <c r="AB151" s="18"/>
      <c r="AC151" s="18"/>
    </row>
    <row r="152" spans="23:29" customFormat="1" x14ac:dyDescent="0.25">
      <c r="W152" s="37"/>
      <c r="X152" s="52"/>
      <c r="Y152" s="52"/>
      <c r="Z152" s="37"/>
      <c r="AA152" s="18"/>
      <c r="AB152" s="18"/>
      <c r="AC152" s="18"/>
    </row>
    <row r="153" spans="23:29" customFormat="1" x14ac:dyDescent="0.25">
      <c r="W153" s="37"/>
      <c r="X153" s="52"/>
      <c r="Y153" s="52"/>
      <c r="Z153" s="37"/>
      <c r="AA153" s="18"/>
      <c r="AB153" s="18"/>
      <c r="AC153" s="18"/>
    </row>
    <row r="154" spans="23:29" customFormat="1" x14ac:dyDescent="0.25">
      <c r="W154" s="37"/>
      <c r="X154" s="52"/>
      <c r="Y154" s="52"/>
      <c r="Z154" s="37"/>
      <c r="AA154" s="18"/>
      <c r="AB154" s="18"/>
      <c r="AC154" s="18"/>
    </row>
    <row r="155" spans="23:29" customFormat="1" x14ac:dyDescent="0.25">
      <c r="W155" s="37"/>
      <c r="X155" s="52"/>
      <c r="Y155" s="52"/>
      <c r="Z155" s="37"/>
      <c r="AA155" s="18"/>
      <c r="AB155" s="18"/>
      <c r="AC155" s="18"/>
    </row>
    <row r="156" spans="23:29" customFormat="1" x14ac:dyDescent="0.25">
      <c r="W156" s="37"/>
      <c r="X156" s="52"/>
      <c r="Y156" s="52"/>
      <c r="Z156" s="37"/>
      <c r="AA156" s="18"/>
      <c r="AB156" s="18"/>
      <c r="AC156" s="18"/>
    </row>
    <row r="157" spans="23:29" customFormat="1" x14ac:dyDescent="0.25">
      <c r="W157" s="37"/>
      <c r="X157" s="52"/>
      <c r="Y157" s="52"/>
      <c r="Z157" s="37"/>
      <c r="AA157" s="18"/>
      <c r="AB157" s="18"/>
      <c r="AC157" s="18"/>
    </row>
    <row r="158" spans="23:29" customFormat="1" x14ac:dyDescent="0.25">
      <c r="W158" s="37"/>
      <c r="X158" s="52"/>
      <c r="Y158" s="52"/>
      <c r="Z158" s="37"/>
      <c r="AA158" s="18"/>
      <c r="AB158" s="18"/>
      <c r="AC158" s="18"/>
    </row>
    <row r="159" spans="23:29" customFormat="1" x14ac:dyDescent="0.25">
      <c r="W159" s="37"/>
      <c r="X159" s="52"/>
      <c r="Y159" s="52"/>
      <c r="Z159" s="37"/>
      <c r="AA159" s="18"/>
      <c r="AB159" s="18"/>
      <c r="AC159" s="18"/>
    </row>
    <row r="160" spans="23:29" customFormat="1" x14ac:dyDescent="0.25">
      <c r="W160" s="37"/>
      <c r="X160" s="52"/>
      <c r="Y160" s="52"/>
      <c r="Z160" s="37"/>
      <c r="AA160" s="18"/>
      <c r="AB160" s="18"/>
      <c r="AC160" s="18"/>
    </row>
    <row r="161" spans="23:29" customFormat="1" x14ac:dyDescent="0.25">
      <c r="W161" s="37"/>
      <c r="X161" s="52"/>
      <c r="Y161" s="52"/>
      <c r="Z161" s="37"/>
      <c r="AA161" s="18"/>
      <c r="AB161" s="18"/>
      <c r="AC161" s="18"/>
    </row>
    <row r="162" spans="23:29" customFormat="1" x14ac:dyDescent="0.25">
      <c r="W162" s="37"/>
      <c r="X162" s="52"/>
      <c r="Y162" s="52"/>
      <c r="Z162" s="37"/>
      <c r="AA162" s="18"/>
      <c r="AB162" s="18"/>
      <c r="AC162" s="18"/>
    </row>
    <row r="163" spans="23:29" customFormat="1" x14ac:dyDescent="0.25">
      <c r="W163" s="37"/>
      <c r="X163" s="52"/>
      <c r="Y163" s="52"/>
      <c r="Z163" s="37"/>
      <c r="AA163" s="18"/>
      <c r="AB163" s="18"/>
      <c r="AC163" s="18"/>
    </row>
    <row r="164" spans="23:29" customFormat="1" x14ac:dyDescent="0.25">
      <c r="W164" s="37"/>
      <c r="X164" s="52"/>
      <c r="Y164" s="52"/>
      <c r="Z164" s="37"/>
      <c r="AA164" s="18"/>
      <c r="AB164" s="18"/>
      <c r="AC164" s="18"/>
    </row>
    <row r="165" spans="23:29" customFormat="1" x14ac:dyDescent="0.25">
      <c r="W165" s="37"/>
      <c r="X165" s="52"/>
      <c r="Y165" s="52"/>
      <c r="Z165" s="37"/>
      <c r="AA165" s="18"/>
      <c r="AB165" s="18"/>
      <c r="AC165" s="18"/>
    </row>
    <row r="166" spans="23:29" customFormat="1" x14ac:dyDescent="0.25">
      <c r="W166" s="37"/>
      <c r="X166" s="52"/>
      <c r="Y166" s="52"/>
      <c r="Z166" s="37"/>
      <c r="AA166" s="18"/>
      <c r="AB166" s="18"/>
      <c r="AC166" s="18"/>
    </row>
    <row r="167" spans="23:29" customFormat="1" x14ac:dyDescent="0.25">
      <c r="W167" s="37"/>
      <c r="X167" s="52"/>
      <c r="Y167" s="52"/>
      <c r="Z167" s="37"/>
      <c r="AA167" s="18"/>
      <c r="AB167" s="18"/>
      <c r="AC167" s="18"/>
    </row>
    <row r="168" spans="23:29" customFormat="1" x14ac:dyDescent="0.25">
      <c r="W168" s="37"/>
      <c r="X168" s="52"/>
      <c r="Y168" s="52"/>
      <c r="Z168" s="37"/>
      <c r="AA168" s="18"/>
      <c r="AB168" s="18"/>
      <c r="AC168" s="18"/>
    </row>
    <row r="169" spans="23:29" customFormat="1" x14ac:dyDescent="0.25">
      <c r="W169" s="37"/>
      <c r="X169" s="52"/>
      <c r="Y169" s="52"/>
      <c r="Z169" s="37"/>
      <c r="AA169" s="18"/>
      <c r="AB169" s="18"/>
      <c r="AC169" s="18"/>
    </row>
    <row r="170" spans="23:29" customFormat="1" x14ac:dyDescent="0.25">
      <c r="W170" s="37"/>
      <c r="X170" s="52"/>
      <c r="Y170" s="52"/>
      <c r="Z170" s="37"/>
      <c r="AA170" s="18"/>
      <c r="AB170" s="18"/>
      <c r="AC170" s="18"/>
    </row>
    <row r="171" spans="23:29" customFormat="1" x14ac:dyDescent="0.25">
      <c r="W171" s="37"/>
      <c r="X171" s="52"/>
      <c r="Y171" s="52"/>
      <c r="Z171" s="37"/>
      <c r="AA171" s="18"/>
      <c r="AB171" s="18"/>
      <c r="AC171" s="18"/>
    </row>
    <row r="172" spans="23:29" customFormat="1" x14ac:dyDescent="0.25">
      <c r="W172" s="37"/>
      <c r="X172" s="52"/>
      <c r="Y172" s="52"/>
      <c r="Z172" s="37"/>
      <c r="AA172" s="18"/>
      <c r="AB172" s="18"/>
      <c r="AC172" s="18"/>
    </row>
    <row r="173" spans="23:29" customFormat="1" x14ac:dyDescent="0.25">
      <c r="W173" s="37"/>
      <c r="X173" s="52"/>
      <c r="Y173" s="52"/>
      <c r="Z173" s="37"/>
      <c r="AA173" s="18"/>
      <c r="AB173" s="18"/>
      <c r="AC173" s="18"/>
    </row>
    <row r="174" spans="23:29" customFormat="1" x14ac:dyDescent="0.25">
      <c r="W174" s="37"/>
      <c r="X174" s="52"/>
      <c r="Y174" s="52"/>
      <c r="Z174" s="37"/>
      <c r="AA174" s="18"/>
      <c r="AB174" s="18"/>
      <c r="AC174" s="18"/>
    </row>
    <row r="175" spans="23:29" customFormat="1" x14ac:dyDescent="0.25">
      <c r="W175" s="37"/>
      <c r="X175" s="52"/>
      <c r="Y175" s="52"/>
      <c r="Z175" s="37"/>
      <c r="AA175" s="18"/>
      <c r="AB175" s="18"/>
      <c r="AC175" s="18"/>
    </row>
    <row r="176" spans="23:29" customFormat="1" x14ac:dyDescent="0.25">
      <c r="W176" s="37"/>
      <c r="X176" s="52"/>
      <c r="Y176" s="52"/>
      <c r="Z176" s="37"/>
      <c r="AA176" s="18"/>
      <c r="AB176" s="18"/>
      <c r="AC176" s="18"/>
    </row>
    <row r="177" spans="23:29" customFormat="1" x14ac:dyDescent="0.25">
      <c r="W177" s="37"/>
      <c r="X177" s="52"/>
      <c r="Y177" s="52"/>
      <c r="Z177" s="37"/>
      <c r="AA177" s="18"/>
      <c r="AB177" s="18"/>
      <c r="AC177" s="18"/>
    </row>
    <row r="178" spans="23:29" customFormat="1" x14ac:dyDescent="0.25">
      <c r="W178" s="37"/>
      <c r="X178" s="52"/>
      <c r="Y178" s="52"/>
      <c r="Z178" s="37"/>
      <c r="AA178" s="18"/>
      <c r="AB178" s="18"/>
      <c r="AC178" s="18"/>
    </row>
    <row r="179" spans="23:29" customFormat="1" x14ac:dyDescent="0.25">
      <c r="W179" s="37"/>
      <c r="X179" s="52"/>
      <c r="Y179" s="52"/>
      <c r="Z179" s="37"/>
      <c r="AA179" s="18"/>
      <c r="AB179" s="18"/>
      <c r="AC179" s="18"/>
    </row>
    <row r="180" spans="23:29" customFormat="1" x14ac:dyDescent="0.25">
      <c r="W180" s="37"/>
      <c r="X180" s="52"/>
      <c r="Y180" s="52"/>
      <c r="Z180" s="37"/>
      <c r="AA180" s="18"/>
      <c r="AB180" s="18"/>
      <c r="AC180" s="18"/>
    </row>
    <row r="181" spans="23:29" customFormat="1" x14ac:dyDescent="0.25">
      <c r="W181" s="37"/>
      <c r="X181" s="52"/>
      <c r="Y181" s="52"/>
      <c r="Z181" s="37"/>
      <c r="AA181" s="18"/>
      <c r="AB181" s="18"/>
      <c r="AC181" s="18"/>
    </row>
    <row r="182" spans="23:29" customFormat="1" x14ac:dyDescent="0.25">
      <c r="W182" s="37"/>
      <c r="X182" s="52"/>
      <c r="Y182" s="52"/>
      <c r="Z182" s="37"/>
      <c r="AA182" s="18"/>
      <c r="AB182" s="18"/>
      <c r="AC182" s="18"/>
    </row>
    <row r="183" spans="23:29" customFormat="1" x14ac:dyDescent="0.25">
      <c r="W183" s="37"/>
      <c r="X183" s="52"/>
      <c r="Y183" s="52"/>
      <c r="Z183" s="37"/>
      <c r="AA183" s="18"/>
      <c r="AB183" s="18"/>
      <c r="AC183" s="18"/>
    </row>
    <row r="184" spans="23:29" customFormat="1" x14ac:dyDescent="0.25">
      <c r="W184" s="37"/>
      <c r="X184" s="52"/>
      <c r="Y184" s="52"/>
      <c r="Z184" s="37"/>
      <c r="AA184" s="18"/>
      <c r="AB184" s="18"/>
      <c r="AC184" s="18"/>
    </row>
    <row r="185" spans="23:29" customFormat="1" x14ac:dyDescent="0.25">
      <c r="W185" s="37"/>
      <c r="X185" s="52"/>
      <c r="Y185" s="52"/>
      <c r="Z185" s="37"/>
      <c r="AA185" s="18"/>
      <c r="AB185" s="18"/>
      <c r="AC185" s="18"/>
    </row>
    <row r="186" spans="23:29" customFormat="1" x14ac:dyDescent="0.25">
      <c r="W186" s="37"/>
      <c r="X186" s="52"/>
      <c r="Y186" s="52"/>
      <c r="Z186" s="37"/>
      <c r="AA186" s="18"/>
      <c r="AB186" s="18"/>
      <c r="AC186" s="18"/>
    </row>
    <row r="187" spans="23:29" customFormat="1" x14ac:dyDescent="0.25">
      <c r="W187" s="37"/>
      <c r="X187" s="52"/>
      <c r="Y187" s="52"/>
      <c r="Z187" s="37"/>
      <c r="AA187" s="18"/>
      <c r="AB187" s="18"/>
      <c r="AC187" s="18"/>
    </row>
    <row r="188" spans="23:29" customFormat="1" x14ac:dyDescent="0.25">
      <c r="W188" s="37"/>
      <c r="X188" s="52"/>
      <c r="Y188" s="52"/>
      <c r="Z188" s="37"/>
      <c r="AA188" s="18"/>
      <c r="AB188" s="18"/>
      <c r="AC188" s="18"/>
    </row>
    <row r="189" spans="23:29" customFormat="1" x14ac:dyDescent="0.25">
      <c r="W189" s="37"/>
      <c r="X189" s="52"/>
      <c r="Y189" s="52"/>
      <c r="Z189" s="37"/>
      <c r="AA189" s="18"/>
      <c r="AB189" s="18"/>
      <c r="AC189" s="18"/>
    </row>
    <row r="190" spans="23:29" customFormat="1" x14ac:dyDescent="0.25">
      <c r="W190" s="37"/>
      <c r="X190" s="52"/>
      <c r="Y190" s="52"/>
      <c r="Z190" s="37"/>
      <c r="AA190" s="18"/>
      <c r="AB190" s="18"/>
      <c r="AC190" s="18"/>
    </row>
    <row r="191" spans="23:29" customFormat="1" x14ac:dyDescent="0.25">
      <c r="W191" s="37"/>
      <c r="X191" s="52"/>
      <c r="Y191" s="52"/>
      <c r="Z191" s="37"/>
      <c r="AA191" s="18"/>
      <c r="AB191" s="18"/>
      <c r="AC191" s="18"/>
    </row>
    <row r="192" spans="23:29" customFormat="1" x14ac:dyDescent="0.25">
      <c r="W192" s="37"/>
      <c r="X192" s="52"/>
      <c r="Y192" s="52"/>
      <c r="Z192" s="37"/>
      <c r="AA192" s="18"/>
      <c r="AB192" s="18"/>
      <c r="AC192" s="18"/>
    </row>
    <row r="193" spans="23:29" customFormat="1" x14ac:dyDescent="0.25">
      <c r="W193" s="37"/>
      <c r="X193" s="52"/>
      <c r="Y193" s="52"/>
      <c r="Z193" s="37"/>
      <c r="AA193" s="18"/>
      <c r="AB193" s="18"/>
      <c r="AC193" s="18"/>
    </row>
    <row r="194" spans="23:29" customFormat="1" x14ac:dyDescent="0.25">
      <c r="W194" s="37"/>
      <c r="X194" s="52"/>
      <c r="Y194" s="52"/>
      <c r="Z194" s="37"/>
      <c r="AA194" s="18"/>
      <c r="AB194" s="18"/>
      <c r="AC194" s="18"/>
    </row>
    <row r="195" spans="23:29" customFormat="1" x14ac:dyDescent="0.25">
      <c r="W195" s="37"/>
      <c r="X195" s="52"/>
      <c r="Y195" s="52"/>
      <c r="Z195" s="37"/>
      <c r="AA195" s="18"/>
      <c r="AB195" s="18"/>
      <c r="AC195" s="18"/>
    </row>
    <row r="196" spans="23:29" customFormat="1" x14ac:dyDescent="0.25">
      <c r="W196" s="37"/>
      <c r="X196" s="52"/>
      <c r="Y196" s="52"/>
      <c r="Z196" s="37"/>
      <c r="AA196" s="18"/>
      <c r="AB196" s="18"/>
      <c r="AC196" s="18"/>
    </row>
    <row r="197" spans="23:29" customFormat="1" x14ac:dyDescent="0.25">
      <c r="W197" s="37"/>
      <c r="X197" s="52"/>
      <c r="Y197" s="52"/>
      <c r="Z197" s="37"/>
      <c r="AA197" s="18"/>
      <c r="AB197" s="18"/>
      <c r="AC197" s="18"/>
    </row>
    <row r="198" spans="23:29" customFormat="1" x14ac:dyDescent="0.25">
      <c r="W198" s="37"/>
      <c r="X198" s="52"/>
      <c r="Y198" s="52"/>
      <c r="Z198" s="37"/>
      <c r="AA198" s="18"/>
      <c r="AB198" s="18"/>
      <c r="AC198" s="18"/>
    </row>
    <row r="199" spans="23:29" customFormat="1" x14ac:dyDescent="0.25">
      <c r="W199" s="37"/>
      <c r="X199" s="52"/>
      <c r="Y199" s="52"/>
      <c r="Z199" s="37"/>
      <c r="AA199" s="18"/>
      <c r="AB199" s="18"/>
      <c r="AC199" s="18"/>
    </row>
    <row r="200" spans="23:29" customFormat="1" x14ac:dyDescent="0.25">
      <c r="W200" s="37"/>
      <c r="X200" s="52"/>
      <c r="Y200" s="52"/>
      <c r="Z200" s="37"/>
      <c r="AA200" s="18"/>
      <c r="AB200" s="18"/>
      <c r="AC200" s="18"/>
    </row>
    <row r="201" spans="23:29" customFormat="1" x14ac:dyDescent="0.25">
      <c r="W201" s="37"/>
      <c r="X201" s="52"/>
      <c r="Y201" s="52"/>
      <c r="Z201" s="37"/>
      <c r="AA201" s="18"/>
      <c r="AB201" s="18"/>
      <c r="AC201" s="18"/>
    </row>
    <row r="202" spans="23:29" customFormat="1" x14ac:dyDescent="0.25">
      <c r="W202" s="37"/>
      <c r="X202" s="52"/>
      <c r="Y202" s="52"/>
      <c r="Z202" s="37"/>
      <c r="AA202" s="18"/>
      <c r="AB202" s="18"/>
      <c r="AC202" s="18"/>
    </row>
    <row r="203" spans="23:29" customFormat="1" x14ac:dyDescent="0.25">
      <c r="W203" s="37"/>
      <c r="X203" s="52"/>
      <c r="Y203" s="52"/>
      <c r="Z203" s="37"/>
      <c r="AA203" s="18"/>
      <c r="AB203" s="18"/>
      <c r="AC203" s="18"/>
    </row>
    <row r="204" spans="23:29" customFormat="1" x14ac:dyDescent="0.25">
      <c r="W204" s="37"/>
      <c r="X204" s="52"/>
      <c r="Y204" s="52"/>
      <c r="Z204" s="37"/>
      <c r="AA204" s="18"/>
      <c r="AB204" s="18"/>
      <c r="AC204" s="18"/>
    </row>
    <row r="205" spans="23:29" customFormat="1" x14ac:dyDescent="0.25">
      <c r="W205" s="37"/>
      <c r="X205" s="52"/>
      <c r="Y205" s="52"/>
      <c r="Z205" s="37"/>
      <c r="AA205" s="18"/>
      <c r="AB205" s="18"/>
      <c r="AC205" s="18"/>
    </row>
    <row r="206" spans="23:29" customFormat="1" x14ac:dyDescent="0.25">
      <c r="W206" s="37"/>
      <c r="X206" s="52"/>
      <c r="Y206" s="52"/>
      <c r="Z206" s="37"/>
      <c r="AA206" s="18"/>
      <c r="AB206" s="18"/>
      <c r="AC206" s="18"/>
    </row>
    <row r="207" spans="23:29" customFormat="1" x14ac:dyDescent="0.25">
      <c r="W207" s="37"/>
      <c r="X207" s="52"/>
      <c r="Y207" s="52"/>
      <c r="Z207" s="37"/>
      <c r="AA207" s="18"/>
      <c r="AB207" s="18"/>
      <c r="AC207" s="18"/>
    </row>
    <row r="208" spans="23:29" customFormat="1" x14ac:dyDescent="0.25">
      <c r="W208" s="37"/>
      <c r="X208" s="52"/>
      <c r="Y208" s="52"/>
      <c r="Z208" s="37"/>
      <c r="AA208" s="18"/>
      <c r="AB208" s="18"/>
      <c r="AC208" s="18"/>
    </row>
    <row r="209" spans="23:29" customFormat="1" x14ac:dyDescent="0.25">
      <c r="W209" s="37"/>
      <c r="X209" s="52"/>
      <c r="Y209" s="52"/>
      <c r="Z209" s="37"/>
      <c r="AA209" s="18"/>
      <c r="AB209" s="18"/>
      <c r="AC209" s="18"/>
    </row>
    <row r="210" spans="23:29" customFormat="1" x14ac:dyDescent="0.25">
      <c r="W210" s="37"/>
      <c r="X210" s="52"/>
      <c r="Y210" s="52"/>
      <c r="Z210" s="37"/>
      <c r="AA210" s="18"/>
      <c r="AB210" s="18"/>
      <c r="AC210" s="18"/>
    </row>
    <row r="211" spans="23:29" customFormat="1" x14ac:dyDescent="0.25">
      <c r="W211" s="37"/>
      <c r="X211" s="52"/>
      <c r="Y211" s="52"/>
      <c r="Z211" s="37"/>
      <c r="AA211" s="18"/>
      <c r="AB211" s="18"/>
      <c r="AC211" s="18"/>
    </row>
    <row r="212" spans="23:29" customFormat="1" x14ac:dyDescent="0.25">
      <c r="W212" s="37"/>
      <c r="X212" s="52"/>
      <c r="Y212" s="52"/>
      <c r="Z212" s="37"/>
      <c r="AA212" s="18"/>
      <c r="AB212" s="18"/>
      <c r="AC212" s="18"/>
    </row>
    <row r="213" spans="23:29" customFormat="1" x14ac:dyDescent="0.25">
      <c r="W213" s="37"/>
      <c r="X213" s="52"/>
      <c r="Y213" s="52"/>
      <c r="Z213" s="37"/>
      <c r="AA213" s="18"/>
      <c r="AB213" s="18"/>
      <c r="AC213" s="18"/>
    </row>
    <row r="214" spans="23:29" customFormat="1" x14ac:dyDescent="0.25">
      <c r="W214" s="37"/>
      <c r="X214" s="52"/>
      <c r="Y214" s="52"/>
      <c r="Z214" s="37"/>
      <c r="AA214" s="18"/>
      <c r="AB214" s="18"/>
      <c r="AC214" s="18"/>
    </row>
    <row r="215" spans="23:29" customFormat="1" x14ac:dyDescent="0.25">
      <c r="W215" s="37"/>
      <c r="X215" s="52"/>
      <c r="Y215" s="52"/>
      <c r="Z215" s="37"/>
      <c r="AA215" s="18"/>
      <c r="AB215" s="18"/>
      <c r="AC215" s="18"/>
    </row>
    <row r="216" spans="23:29" customFormat="1" x14ac:dyDescent="0.25">
      <c r="W216" s="37"/>
      <c r="X216" s="52"/>
      <c r="Y216" s="52"/>
      <c r="Z216" s="37"/>
      <c r="AA216" s="18"/>
      <c r="AB216" s="18"/>
      <c r="AC216" s="18"/>
    </row>
    <row r="217" spans="23:29" customFormat="1" x14ac:dyDescent="0.25">
      <c r="W217" s="37"/>
      <c r="X217" s="52"/>
      <c r="Y217" s="52"/>
      <c r="Z217" s="37"/>
      <c r="AA217" s="18"/>
      <c r="AB217" s="18"/>
      <c r="AC217" s="18"/>
    </row>
    <row r="218" spans="23:29" customFormat="1" x14ac:dyDescent="0.25">
      <c r="W218" s="37"/>
      <c r="X218" s="52"/>
      <c r="Y218" s="52"/>
      <c r="Z218" s="37"/>
      <c r="AA218" s="18"/>
      <c r="AB218" s="18"/>
      <c r="AC218" s="18"/>
    </row>
    <row r="219" spans="23:29" customFormat="1" x14ac:dyDescent="0.25">
      <c r="W219" s="37"/>
      <c r="X219" s="52"/>
      <c r="Y219" s="52"/>
      <c r="Z219" s="37"/>
      <c r="AA219" s="18"/>
      <c r="AB219" s="18"/>
      <c r="AC219" s="18"/>
    </row>
    <row r="220" spans="23:29" customFormat="1" x14ac:dyDescent="0.25">
      <c r="W220" s="37"/>
      <c r="X220" s="52"/>
      <c r="Y220" s="52"/>
      <c r="Z220" s="37"/>
      <c r="AA220" s="18"/>
      <c r="AB220" s="18"/>
      <c r="AC220" s="18"/>
    </row>
    <row r="221" spans="23:29" customFormat="1" x14ac:dyDescent="0.25">
      <c r="W221" s="37"/>
      <c r="X221" s="52"/>
      <c r="Y221" s="52"/>
      <c r="Z221" s="37"/>
      <c r="AA221" s="18"/>
      <c r="AB221" s="18"/>
      <c r="AC221" s="18"/>
    </row>
    <row r="222" spans="23:29" customFormat="1" x14ac:dyDescent="0.25">
      <c r="W222" s="37"/>
      <c r="X222" s="52"/>
      <c r="Y222" s="52"/>
      <c r="Z222" s="37"/>
      <c r="AA222" s="18"/>
      <c r="AB222" s="18"/>
      <c r="AC222" s="18"/>
    </row>
    <row r="223" spans="23:29" customFormat="1" x14ac:dyDescent="0.25">
      <c r="W223" s="37"/>
      <c r="X223" s="52"/>
      <c r="Y223" s="52"/>
      <c r="Z223" s="37"/>
      <c r="AA223" s="18"/>
      <c r="AB223" s="18"/>
      <c r="AC223" s="18"/>
    </row>
    <row r="224" spans="23:29" customFormat="1" x14ac:dyDescent="0.25">
      <c r="W224" s="37"/>
      <c r="X224" s="52"/>
      <c r="Y224" s="52"/>
      <c r="Z224" s="37"/>
      <c r="AA224" s="18"/>
      <c r="AB224" s="18"/>
      <c r="AC224" s="18"/>
    </row>
    <row r="225" spans="23:29" customFormat="1" x14ac:dyDescent="0.25">
      <c r="W225" s="37"/>
      <c r="X225" s="52"/>
      <c r="Y225" s="52"/>
      <c r="Z225" s="37"/>
      <c r="AA225" s="18"/>
      <c r="AB225" s="18"/>
      <c r="AC225" s="18"/>
    </row>
    <row r="226" spans="23:29" customFormat="1" x14ac:dyDescent="0.25">
      <c r="W226" s="37"/>
      <c r="X226" s="52"/>
      <c r="Y226" s="52"/>
      <c r="Z226" s="37"/>
      <c r="AA226" s="18"/>
      <c r="AB226" s="18"/>
      <c r="AC226" s="18"/>
    </row>
    <row r="227" spans="23:29" customFormat="1" x14ac:dyDescent="0.25">
      <c r="W227" s="37"/>
      <c r="X227" s="52"/>
      <c r="Y227" s="52"/>
      <c r="Z227" s="37"/>
      <c r="AA227" s="18"/>
      <c r="AB227" s="18"/>
      <c r="AC227" s="18"/>
    </row>
    <row r="228" spans="23:29" customFormat="1" x14ac:dyDescent="0.25">
      <c r="W228" s="37"/>
      <c r="X228" s="52"/>
      <c r="Y228" s="52"/>
      <c r="Z228" s="37"/>
      <c r="AA228" s="18"/>
      <c r="AB228" s="18"/>
      <c r="AC228" s="18"/>
    </row>
    <row r="229" spans="23:29" customFormat="1" x14ac:dyDescent="0.25">
      <c r="W229" s="37"/>
      <c r="X229" s="52"/>
      <c r="Y229" s="52"/>
      <c r="Z229" s="37"/>
      <c r="AA229" s="18"/>
      <c r="AB229" s="18"/>
      <c r="AC229" s="18"/>
    </row>
    <row r="230" spans="23:29" customFormat="1" x14ac:dyDescent="0.25">
      <c r="W230" s="37"/>
      <c r="X230" s="52"/>
      <c r="Y230" s="52"/>
      <c r="Z230" s="37"/>
      <c r="AA230" s="18"/>
      <c r="AB230" s="18"/>
      <c r="AC230" s="18"/>
    </row>
    <row r="231" spans="23:29" customFormat="1" x14ac:dyDescent="0.25">
      <c r="W231" s="37"/>
      <c r="X231" s="52"/>
      <c r="Y231" s="52"/>
      <c r="Z231" s="37"/>
      <c r="AA231" s="18"/>
      <c r="AB231" s="18"/>
      <c r="AC231" s="18"/>
    </row>
    <row r="232" spans="23:29" customFormat="1" x14ac:dyDescent="0.25">
      <c r="W232" s="37"/>
      <c r="X232" s="52"/>
      <c r="Y232" s="52"/>
      <c r="Z232" s="37"/>
      <c r="AA232" s="18"/>
      <c r="AB232" s="18"/>
      <c r="AC232" s="18"/>
    </row>
    <row r="233" spans="23:29" customFormat="1" x14ac:dyDescent="0.25">
      <c r="W233" s="37"/>
      <c r="X233" s="52"/>
      <c r="Y233" s="52"/>
      <c r="Z233" s="37"/>
      <c r="AA233" s="18"/>
      <c r="AB233" s="18"/>
      <c r="AC233" s="18"/>
    </row>
    <row r="234" spans="23:29" customFormat="1" x14ac:dyDescent="0.25">
      <c r="W234" s="37"/>
      <c r="X234" s="52"/>
      <c r="Y234" s="52"/>
      <c r="Z234" s="37"/>
      <c r="AA234" s="18"/>
      <c r="AB234" s="18"/>
      <c r="AC234" s="18"/>
    </row>
    <row r="235" spans="23:29" customFormat="1" x14ac:dyDescent="0.25">
      <c r="W235" s="37"/>
      <c r="X235" s="52"/>
      <c r="Y235" s="52"/>
      <c r="Z235" s="37"/>
      <c r="AA235" s="18"/>
      <c r="AB235" s="18"/>
      <c r="AC235" s="18"/>
    </row>
    <row r="236" spans="23:29" customFormat="1" x14ac:dyDescent="0.25">
      <c r="W236" s="37"/>
      <c r="X236" s="52"/>
      <c r="Y236" s="52"/>
      <c r="Z236" s="37"/>
      <c r="AA236" s="18"/>
      <c r="AB236" s="18"/>
      <c r="AC236" s="18"/>
    </row>
    <row r="237" spans="23:29" customFormat="1" x14ac:dyDescent="0.25">
      <c r="W237" s="37"/>
      <c r="X237" s="52"/>
      <c r="Y237" s="52"/>
      <c r="Z237" s="37"/>
      <c r="AA237" s="18"/>
      <c r="AB237" s="18"/>
      <c r="AC237" s="18"/>
    </row>
    <row r="238" spans="23:29" customFormat="1" x14ac:dyDescent="0.25">
      <c r="W238" s="37"/>
      <c r="X238" s="52"/>
      <c r="Y238" s="52"/>
      <c r="Z238" s="37"/>
      <c r="AA238" s="18"/>
      <c r="AB238" s="18"/>
      <c r="AC238" s="18"/>
    </row>
    <row r="239" spans="23:29" customFormat="1" x14ac:dyDescent="0.25">
      <c r="W239" s="37"/>
      <c r="X239" s="52"/>
      <c r="Y239" s="52"/>
      <c r="Z239" s="37"/>
      <c r="AA239" s="18"/>
      <c r="AB239" s="18"/>
      <c r="AC239" s="18"/>
    </row>
    <row r="240" spans="23:29" customFormat="1" x14ac:dyDescent="0.25">
      <c r="W240" s="37"/>
      <c r="X240" s="52"/>
      <c r="Y240" s="52"/>
      <c r="Z240" s="37"/>
      <c r="AA240" s="18"/>
      <c r="AB240" s="18"/>
      <c r="AC240" s="18"/>
    </row>
    <row r="241" spans="23:29" customFormat="1" x14ac:dyDescent="0.25">
      <c r="W241" s="37"/>
      <c r="X241" s="52"/>
      <c r="Y241" s="52"/>
      <c r="Z241" s="37"/>
      <c r="AA241" s="18"/>
      <c r="AB241" s="18"/>
      <c r="AC241" s="18"/>
    </row>
    <row r="242" spans="23:29" customFormat="1" x14ac:dyDescent="0.25">
      <c r="W242" s="37"/>
      <c r="X242" s="52"/>
      <c r="Y242" s="52"/>
      <c r="Z242" s="37"/>
      <c r="AA242" s="18"/>
      <c r="AB242" s="18"/>
      <c r="AC242" s="18"/>
    </row>
    <row r="243" spans="23:29" customFormat="1" x14ac:dyDescent="0.25">
      <c r="W243" s="37"/>
      <c r="X243" s="52"/>
      <c r="Y243" s="52"/>
      <c r="Z243" s="37"/>
      <c r="AA243" s="18"/>
      <c r="AB243" s="18"/>
      <c r="AC243" s="18"/>
    </row>
    <row r="244" spans="23:29" customFormat="1" x14ac:dyDescent="0.25">
      <c r="W244" s="37"/>
      <c r="X244" s="52"/>
      <c r="Y244" s="52"/>
      <c r="Z244" s="37"/>
      <c r="AA244" s="18"/>
      <c r="AB244" s="18"/>
      <c r="AC244" s="18"/>
    </row>
    <row r="245" spans="23:29" customFormat="1" x14ac:dyDescent="0.25">
      <c r="W245" s="37"/>
      <c r="X245" s="52"/>
      <c r="Y245" s="52"/>
      <c r="Z245" s="37"/>
      <c r="AA245" s="18"/>
      <c r="AB245" s="18"/>
      <c r="AC245" s="18"/>
    </row>
    <row r="246" spans="23:29" customFormat="1" x14ac:dyDescent="0.25">
      <c r="W246" s="37"/>
      <c r="X246" s="52"/>
      <c r="Y246" s="52"/>
      <c r="Z246" s="37"/>
      <c r="AA246" s="18"/>
      <c r="AB246" s="18"/>
      <c r="AC246" s="18"/>
    </row>
    <row r="247" spans="23:29" customFormat="1" x14ac:dyDescent="0.25">
      <c r="W247" s="37"/>
      <c r="X247" s="52"/>
      <c r="Y247" s="52"/>
      <c r="Z247" s="37"/>
      <c r="AA247" s="18"/>
      <c r="AB247" s="18"/>
      <c r="AC247" s="18"/>
    </row>
    <row r="248" spans="23:29" customFormat="1" x14ac:dyDescent="0.25">
      <c r="W248" s="37"/>
      <c r="X248" s="52"/>
      <c r="Y248" s="52"/>
      <c r="Z248" s="37"/>
      <c r="AA248" s="18"/>
      <c r="AB248" s="18"/>
      <c r="AC248" s="18"/>
    </row>
    <row r="249" spans="23:29" customFormat="1" x14ac:dyDescent="0.25">
      <c r="W249" s="37"/>
      <c r="X249" s="52"/>
      <c r="Y249" s="52"/>
      <c r="Z249" s="37"/>
      <c r="AA249" s="18"/>
      <c r="AB249" s="18"/>
      <c r="AC249" s="18"/>
    </row>
    <row r="250" spans="23:29" customFormat="1" x14ac:dyDescent="0.25">
      <c r="W250" s="37"/>
      <c r="X250" s="52"/>
      <c r="Y250" s="52"/>
      <c r="Z250" s="37"/>
      <c r="AA250" s="18"/>
      <c r="AB250" s="18"/>
      <c r="AC250" s="18"/>
    </row>
    <row r="251" spans="23:29" customFormat="1" x14ac:dyDescent="0.25">
      <c r="W251" s="37"/>
      <c r="X251" s="52"/>
      <c r="Y251" s="52"/>
      <c r="Z251" s="37"/>
      <c r="AA251" s="18"/>
      <c r="AB251" s="18"/>
      <c r="AC251" s="18"/>
    </row>
    <row r="252" spans="23:29" customFormat="1" x14ac:dyDescent="0.25">
      <c r="W252" s="37"/>
      <c r="X252" s="52"/>
      <c r="Y252" s="52"/>
      <c r="Z252" s="37"/>
      <c r="AA252" s="18"/>
      <c r="AB252" s="18"/>
      <c r="AC252" s="18"/>
    </row>
    <row r="253" spans="23:29" customFormat="1" x14ac:dyDescent="0.25">
      <c r="W253" s="37"/>
      <c r="X253" s="52"/>
      <c r="Y253" s="52"/>
      <c r="Z253" s="37"/>
      <c r="AA253" s="18"/>
      <c r="AB253" s="18"/>
      <c r="AC253" s="18"/>
    </row>
    <row r="254" spans="23:29" customFormat="1" x14ac:dyDescent="0.25">
      <c r="W254" s="37"/>
      <c r="X254" s="52"/>
      <c r="Y254" s="52"/>
      <c r="Z254" s="37"/>
      <c r="AA254" s="18"/>
      <c r="AB254" s="18"/>
      <c r="AC254" s="18"/>
    </row>
    <row r="255" spans="23:29" customFormat="1" x14ac:dyDescent="0.25">
      <c r="W255" s="37"/>
      <c r="X255" s="52"/>
      <c r="Y255" s="52"/>
      <c r="Z255" s="37"/>
      <c r="AA255" s="18"/>
      <c r="AB255" s="18"/>
      <c r="AC255" s="18"/>
    </row>
    <row r="256" spans="23:29" customFormat="1" x14ac:dyDescent="0.25">
      <c r="W256" s="37"/>
      <c r="X256" s="52"/>
      <c r="Y256" s="52"/>
      <c r="Z256" s="37"/>
      <c r="AA256" s="18"/>
      <c r="AB256" s="18"/>
      <c r="AC256" s="18"/>
    </row>
    <row r="257" spans="23:29" customFormat="1" x14ac:dyDescent="0.25">
      <c r="W257" s="37"/>
      <c r="X257" s="52"/>
      <c r="Y257" s="52"/>
      <c r="Z257" s="37"/>
      <c r="AA257" s="18"/>
      <c r="AB257" s="18"/>
      <c r="AC257" s="18"/>
    </row>
    <row r="258" spans="23:29" customFormat="1" x14ac:dyDescent="0.25">
      <c r="W258" s="37"/>
      <c r="X258" s="52"/>
      <c r="Y258" s="52"/>
      <c r="Z258" s="37"/>
      <c r="AA258" s="18"/>
      <c r="AB258" s="18"/>
      <c r="AC258" s="18"/>
    </row>
    <row r="259" spans="23:29" customFormat="1" x14ac:dyDescent="0.25">
      <c r="W259" s="37"/>
      <c r="X259" s="52"/>
      <c r="Y259" s="52"/>
      <c r="Z259" s="37"/>
      <c r="AA259" s="18"/>
      <c r="AB259" s="18"/>
      <c r="AC259" s="18"/>
    </row>
    <row r="260" spans="23:29" customFormat="1" x14ac:dyDescent="0.25">
      <c r="W260" s="37"/>
      <c r="X260" s="52"/>
      <c r="Y260" s="52"/>
      <c r="Z260" s="37"/>
      <c r="AA260" s="18"/>
      <c r="AB260" s="18"/>
      <c r="AC260" s="18"/>
    </row>
    <row r="261" spans="23:29" customFormat="1" x14ac:dyDescent="0.25">
      <c r="W261" s="37"/>
      <c r="X261" s="52"/>
      <c r="Y261" s="52"/>
      <c r="Z261" s="37"/>
      <c r="AA261" s="18"/>
      <c r="AB261" s="18"/>
      <c r="AC261" s="18"/>
    </row>
    <row r="262" spans="23:29" customFormat="1" x14ac:dyDescent="0.25">
      <c r="W262" s="37"/>
      <c r="X262" s="52"/>
      <c r="Y262" s="52"/>
      <c r="Z262" s="37"/>
      <c r="AA262" s="18"/>
      <c r="AB262" s="18"/>
      <c r="AC262" s="18"/>
    </row>
    <row r="263" spans="23:29" customFormat="1" x14ac:dyDescent="0.25">
      <c r="W263" s="37"/>
      <c r="X263" s="52"/>
      <c r="Y263" s="52"/>
      <c r="Z263" s="37"/>
      <c r="AA263" s="18"/>
      <c r="AB263" s="18"/>
      <c r="AC263" s="18"/>
    </row>
    <row r="264" spans="23:29" customFormat="1" x14ac:dyDescent="0.25">
      <c r="W264" s="37"/>
      <c r="X264" s="52"/>
      <c r="Y264" s="52"/>
      <c r="Z264" s="37"/>
      <c r="AA264" s="18"/>
      <c r="AB264" s="18"/>
      <c r="AC264" s="18"/>
    </row>
    <row r="265" spans="23:29" customFormat="1" x14ac:dyDescent="0.25">
      <c r="W265" s="37"/>
      <c r="X265" s="52"/>
      <c r="Y265" s="52"/>
      <c r="Z265" s="37"/>
      <c r="AA265" s="18"/>
      <c r="AB265" s="18"/>
      <c r="AC265" s="18"/>
    </row>
    <row r="266" spans="23:29" customFormat="1" x14ac:dyDescent="0.25">
      <c r="W266" s="37"/>
      <c r="X266" s="52"/>
      <c r="Y266" s="52"/>
      <c r="Z266" s="37"/>
      <c r="AA266" s="18"/>
      <c r="AB266" s="18"/>
      <c r="AC266" s="18"/>
    </row>
    <row r="267" spans="23:29" customFormat="1" x14ac:dyDescent="0.25">
      <c r="W267" s="37"/>
      <c r="X267" s="52"/>
      <c r="Y267" s="52"/>
      <c r="Z267" s="37"/>
      <c r="AA267" s="18"/>
      <c r="AB267" s="18"/>
      <c r="AC267" s="18"/>
    </row>
    <row r="268" spans="23:29" customFormat="1" x14ac:dyDescent="0.25">
      <c r="W268" s="37"/>
      <c r="X268" s="52"/>
      <c r="Y268" s="52"/>
      <c r="Z268" s="37"/>
      <c r="AA268" s="18"/>
      <c r="AB268" s="18"/>
      <c r="AC268" s="18"/>
    </row>
    <row r="269" spans="23:29" customFormat="1" x14ac:dyDescent="0.25">
      <c r="W269" s="37"/>
      <c r="X269" s="52"/>
      <c r="Y269" s="52"/>
      <c r="Z269" s="37"/>
      <c r="AA269" s="18"/>
      <c r="AB269" s="18"/>
      <c r="AC269" s="18"/>
    </row>
    <row r="270" spans="23:29" customFormat="1" x14ac:dyDescent="0.25">
      <c r="W270" s="37"/>
      <c r="X270" s="52"/>
      <c r="Y270" s="52"/>
      <c r="Z270" s="37"/>
      <c r="AA270" s="18"/>
      <c r="AB270" s="18"/>
      <c r="AC270" s="18"/>
    </row>
    <row r="271" spans="23:29" customFormat="1" x14ac:dyDescent="0.25">
      <c r="W271" s="37"/>
      <c r="X271" s="52"/>
      <c r="Y271" s="52"/>
      <c r="Z271" s="37"/>
      <c r="AA271" s="18"/>
      <c r="AB271" s="18"/>
      <c r="AC271" s="18"/>
    </row>
    <row r="272" spans="23:29" customFormat="1" x14ac:dyDescent="0.25">
      <c r="W272" s="37"/>
      <c r="X272" s="52"/>
      <c r="Y272" s="52"/>
      <c r="Z272" s="37"/>
      <c r="AA272" s="18"/>
      <c r="AB272" s="18"/>
      <c r="AC272" s="18"/>
    </row>
    <row r="273" spans="23:29" customFormat="1" x14ac:dyDescent="0.25">
      <c r="W273" s="37"/>
      <c r="X273" s="52"/>
      <c r="Y273" s="52"/>
      <c r="Z273" s="37"/>
      <c r="AA273" s="18"/>
      <c r="AB273" s="18"/>
      <c r="AC273" s="18"/>
    </row>
    <row r="274" spans="23:29" customFormat="1" x14ac:dyDescent="0.25">
      <c r="W274" s="37"/>
      <c r="X274" s="52"/>
      <c r="Y274" s="52"/>
      <c r="Z274" s="37"/>
      <c r="AA274" s="18"/>
      <c r="AB274" s="18"/>
      <c r="AC274" s="18"/>
    </row>
    <row r="275" spans="23:29" customFormat="1" x14ac:dyDescent="0.25">
      <c r="W275" s="37"/>
      <c r="X275" s="52"/>
      <c r="Y275" s="52"/>
      <c r="Z275" s="37"/>
      <c r="AA275" s="18"/>
      <c r="AB275" s="18"/>
      <c r="AC275" s="18"/>
    </row>
    <row r="276" spans="23:29" customFormat="1" x14ac:dyDescent="0.25">
      <c r="W276" s="37"/>
      <c r="X276" s="52"/>
      <c r="Y276" s="52"/>
      <c r="Z276" s="37"/>
      <c r="AA276" s="18"/>
      <c r="AB276" s="18"/>
      <c r="AC276" s="18"/>
    </row>
    <row r="277" spans="23:29" customFormat="1" x14ac:dyDescent="0.25">
      <c r="W277" s="37"/>
      <c r="X277" s="52"/>
      <c r="Y277" s="52"/>
      <c r="Z277" s="37"/>
      <c r="AA277" s="18"/>
      <c r="AB277" s="18"/>
      <c r="AC277" s="18"/>
    </row>
    <row r="278" spans="23:29" customFormat="1" x14ac:dyDescent="0.25">
      <c r="W278" s="37"/>
      <c r="X278" s="52"/>
      <c r="Y278" s="52"/>
      <c r="Z278" s="37"/>
      <c r="AA278" s="18"/>
      <c r="AB278" s="18"/>
      <c r="AC278" s="18"/>
    </row>
    <row r="279" spans="23:29" customFormat="1" x14ac:dyDescent="0.25">
      <c r="W279" s="37"/>
      <c r="X279" s="52"/>
      <c r="Y279" s="52"/>
      <c r="Z279" s="37"/>
      <c r="AA279" s="18"/>
      <c r="AB279" s="18"/>
      <c r="AC279" s="18"/>
    </row>
    <row r="280" spans="23:29" customFormat="1" x14ac:dyDescent="0.25">
      <c r="W280" s="37"/>
      <c r="X280" s="52"/>
      <c r="Y280" s="52"/>
      <c r="Z280" s="37"/>
      <c r="AA280" s="18"/>
      <c r="AB280" s="18"/>
      <c r="AC280" s="18"/>
    </row>
    <row r="281" spans="23:29" customFormat="1" x14ac:dyDescent="0.25">
      <c r="W281" s="37"/>
      <c r="X281" s="52"/>
      <c r="Y281" s="52"/>
      <c r="Z281" s="37"/>
      <c r="AA281" s="18"/>
      <c r="AB281" s="18"/>
      <c r="AC281" s="18"/>
    </row>
    <row r="282" spans="23:29" customFormat="1" x14ac:dyDescent="0.25">
      <c r="W282" s="37"/>
      <c r="X282" s="52"/>
      <c r="Y282" s="52"/>
      <c r="Z282" s="37"/>
      <c r="AA282" s="18"/>
      <c r="AB282" s="18"/>
      <c r="AC282" s="18"/>
    </row>
    <row r="283" spans="23:29" customFormat="1" x14ac:dyDescent="0.25">
      <c r="W283" s="37"/>
      <c r="X283" s="52"/>
      <c r="Y283" s="52"/>
      <c r="Z283" s="37"/>
      <c r="AA283" s="18"/>
      <c r="AB283" s="18"/>
      <c r="AC283" s="18"/>
    </row>
    <row r="284" spans="23:29" customFormat="1" x14ac:dyDescent="0.25">
      <c r="W284" s="37"/>
      <c r="X284" s="52"/>
      <c r="Y284" s="52"/>
      <c r="Z284" s="37"/>
      <c r="AA284" s="18"/>
      <c r="AB284" s="18"/>
      <c r="AC284" s="18"/>
    </row>
    <row r="285" spans="23:29" customFormat="1" x14ac:dyDescent="0.25">
      <c r="W285" s="37"/>
      <c r="X285" s="52"/>
      <c r="Y285" s="52"/>
      <c r="Z285" s="37"/>
      <c r="AA285" s="18"/>
      <c r="AB285" s="18"/>
      <c r="AC285" s="18"/>
    </row>
    <row r="286" spans="23:29" customFormat="1" x14ac:dyDescent="0.25">
      <c r="W286" s="37"/>
      <c r="X286" s="52"/>
      <c r="Y286" s="52"/>
      <c r="Z286" s="37"/>
      <c r="AA286" s="18"/>
      <c r="AB286" s="18"/>
      <c r="AC286" s="18"/>
    </row>
    <row r="287" spans="23:29" customFormat="1" x14ac:dyDescent="0.25">
      <c r="W287" s="37"/>
      <c r="X287" s="52"/>
      <c r="Y287" s="52"/>
      <c r="Z287" s="37"/>
      <c r="AA287" s="18"/>
      <c r="AB287" s="18"/>
      <c r="AC287" s="18"/>
    </row>
    <row r="288" spans="23:29" customFormat="1" x14ac:dyDescent="0.25">
      <c r="W288" s="37"/>
      <c r="X288" s="52"/>
      <c r="Y288" s="52"/>
      <c r="Z288" s="37"/>
      <c r="AA288" s="18"/>
      <c r="AB288" s="18"/>
      <c r="AC288" s="18"/>
    </row>
    <row r="289" spans="23:29" customFormat="1" x14ac:dyDescent="0.25">
      <c r="W289" s="37"/>
      <c r="X289" s="52"/>
      <c r="Y289" s="52"/>
      <c r="Z289" s="37"/>
      <c r="AA289" s="18"/>
      <c r="AB289" s="18"/>
      <c r="AC289" s="18"/>
    </row>
    <row r="290" spans="23:29" customFormat="1" x14ac:dyDescent="0.25">
      <c r="W290" s="37"/>
      <c r="X290" s="52"/>
      <c r="Y290" s="52"/>
      <c r="Z290" s="37"/>
      <c r="AA290" s="18"/>
      <c r="AB290" s="18"/>
      <c r="AC290" s="18"/>
    </row>
    <row r="291" spans="23:29" customFormat="1" x14ac:dyDescent="0.25">
      <c r="W291" s="37"/>
      <c r="X291" s="52"/>
      <c r="Y291" s="52"/>
      <c r="Z291" s="37"/>
      <c r="AA291" s="18"/>
      <c r="AB291" s="18"/>
      <c r="AC291" s="18"/>
    </row>
    <row r="292" spans="23:29" customFormat="1" x14ac:dyDescent="0.25">
      <c r="W292" s="37"/>
      <c r="X292" s="52"/>
      <c r="Y292" s="52"/>
      <c r="Z292" s="37"/>
      <c r="AA292" s="18"/>
      <c r="AB292" s="18"/>
      <c r="AC292" s="18"/>
    </row>
    <row r="293" spans="23:29" customFormat="1" x14ac:dyDescent="0.25">
      <c r="W293" s="37"/>
      <c r="X293" s="52"/>
      <c r="Y293" s="52"/>
      <c r="Z293" s="37"/>
      <c r="AA293" s="18"/>
      <c r="AB293" s="18"/>
      <c r="AC293" s="18"/>
    </row>
    <row r="294" spans="23:29" customFormat="1" x14ac:dyDescent="0.25">
      <c r="W294" s="37"/>
      <c r="X294" s="52"/>
      <c r="Y294" s="52"/>
      <c r="Z294" s="37"/>
      <c r="AA294" s="18"/>
      <c r="AB294" s="18"/>
      <c r="AC294" s="18"/>
    </row>
    <row r="295" spans="23:29" customFormat="1" x14ac:dyDescent="0.25">
      <c r="W295" s="37"/>
      <c r="X295" s="52"/>
      <c r="Y295" s="52"/>
      <c r="Z295" s="37"/>
      <c r="AA295" s="18"/>
      <c r="AB295" s="18"/>
      <c r="AC295" s="18"/>
    </row>
    <row r="296" spans="23:29" customFormat="1" x14ac:dyDescent="0.25">
      <c r="W296" s="37"/>
      <c r="X296" s="52"/>
      <c r="Y296" s="52"/>
      <c r="Z296" s="37"/>
      <c r="AA296" s="18"/>
      <c r="AB296" s="18"/>
      <c r="AC296" s="18"/>
    </row>
    <row r="297" spans="23:29" customFormat="1" x14ac:dyDescent="0.25">
      <c r="W297" s="37"/>
      <c r="X297" s="52"/>
      <c r="Y297" s="52"/>
      <c r="Z297" s="37"/>
      <c r="AA297" s="18"/>
      <c r="AB297" s="18"/>
      <c r="AC297" s="18"/>
    </row>
    <row r="298" spans="23:29" customFormat="1" x14ac:dyDescent="0.25">
      <c r="W298" s="37"/>
      <c r="X298" s="52"/>
      <c r="Y298" s="52"/>
      <c r="Z298" s="37"/>
      <c r="AA298" s="18"/>
      <c r="AB298" s="18"/>
      <c r="AC298" s="18"/>
    </row>
    <row r="299" spans="23:29" customFormat="1" x14ac:dyDescent="0.25">
      <c r="W299" s="37"/>
      <c r="X299" s="52"/>
      <c r="Y299" s="52"/>
      <c r="Z299" s="37"/>
      <c r="AA299" s="18"/>
      <c r="AB299" s="18"/>
      <c r="AC299" s="18"/>
    </row>
    <row r="300" spans="23:29" customFormat="1" x14ac:dyDescent="0.25">
      <c r="W300" s="37"/>
      <c r="X300" s="52"/>
      <c r="Y300" s="52"/>
      <c r="Z300" s="37"/>
      <c r="AA300" s="18"/>
      <c r="AB300" s="18"/>
      <c r="AC300" s="18"/>
    </row>
    <row r="301" spans="23:29" customFormat="1" x14ac:dyDescent="0.25">
      <c r="W301" s="37"/>
      <c r="X301" s="52"/>
      <c r="Y301" s="52"/>
      <c r="Z301" s="37"/>
      <c r="AA301" s="18"/>
      <c r="AB301" s="18"/>
      <c r="AC301" s="18"/>
    </row>
    <row r="302" spans="23:29" customFormat="1" x14ac:dyDescent="0.25">
      <c r="W302" s="37"/>
      <c r="X302" s="52"/>
      <c r="Y302" s="52"/>
      <c r="Z302" s="37"/>
      <c r="AA302" s="18"/>
      <c r="AB302" s="18"/>
      <c r="AC302" s="18"/>
    </row>
    <row r="303" spans="23:29" customFormat="1" x14ac:dyDescent="0.25">
      <c r="W303" s="37"/>
      <c r="X303" s="52"/>
      <c r="Y303" s="52"/>
      <c r="Z303" s="37"/>
      <c r="AA303" s="18"/>
      <c r="AB303" s="18"/>
      <c r="AC303" s="18"/>
    </row>
    <row r="304" spans="23:29" customFormat="1" x14ac:dyDescent="0.25">
      <c r="W304" s="37"/>
      <c r="X304" s="52"/>
      <c r="Y304" s="52"/>
      <c r="Z304" s="37"/>
      <c r="AA304" s="18"/>
      <c r="AB304" s="18"/>
      <c r="AC304" s="18"/>
    </row>
    <row r="305" spans="23:29" customFormat="1" x14ac:dyDescent="0.25">
      <c r="W305" s="37"/>
      <c r="X305" s="52"/>
      <c r="Y305" s="52"/>
      <c r="Z305" s="37"/>
      <c r="AA305" s="18"/>
      <c r="AB305" s="18"/>
      <c r="AC305" s="18"/>
    </row>
    <row r="306" spans="23:29" customFormat="1" x14ac:dyDescent="0.25">
      <c r="W306" s="37"/>
      <c r="X306" s="52"/>
      <c r="Y306" s="52"/>
      <c r="Z306" s="37"/>
      <c r="AA306" s="18"/>
      <c r="AB306" s="18"/>
      <c r="AC306" s="18"/>
    </row>
    <row r="307" spans="23:29" customFormat="1" x14ac:dyDescent="0.25">
      <c r="W307" s="37"/>
      <c r="X307" s="52"/>
      <c r="Y307" s="52"/>
      <c r="Z307" s="37"/>
      <c r="AA307" s="18"/>
      <c r="AB307" s="18"/>
      <c r="AC307" s="18"/>
    </row>
    <row r="308" spans="23:29" customFormat="1" x14ac:dyDescent="0.25">
      <c r="W308" s="37"/>
      <c r="X308" s="52"/>
      <c r="Y308" s="52"/>
      <c r="Z308" s="37"/>
      <c r="AA308" s="18"/>
      <c r="AB308" s="18"/>
      <c r="AC308" s="18"/>
    </row>
    <row r="309" spans="23:29" customFormat="1" x14ac:dyDescent="0.25">
      <c r="W309" s="37"/>
      <c r="X309" s="52"/>
      <c r="Y309" s="52"/>
      <c r="Z309" s="37"/>
      <c r="AA309" s="18"/>
      <c r="AB309" s="18"/>
      <c r="AC309" s="18"/>
    </row>
    <row r="310" spans="23:29" customFormat="1" x14ac:dyDescent="0.25">
      <c r="W310" s="37"/>
      <c r="X310" s="52"/>
      <c r="Y310" s="52"/>
      <c r="Z310" s="37"/>
      <c r="AA310" s="18"/>
      <c r="AB310" s="18"/>
      <c r="AC310" s="18"/>
    </row>
    <row r="311" spans="23:29" customFormat="1" x14ac:dyDescent="0.25">
      <c r="W311" s="37"/>
      <c r="X311" s="52"/>
      <c r="Y311" s="52"/>
      <c r="Z311" s="37"/>
      <c r="AA311" s="18"/>
      <c r="AB311" s="18"/>
      <c r="AC311" s="18"/>
    </row>
    <row r="312" spans="23:29" customFormat="1" x14ac:dyDescent="0.25">
      <c r="W312" s="37"/>
      <c r="X312" s="52"/>
      <c r="Y312" s="52"/>
      <c r="Z312" s="37"/>
      <c r="AA312" s="18"/>
      <c r="AB312" s="18"/>
      <c r="AC312" s="18"/>
    </row>
    <row r="313" spans="23:29" customFormat="1" x14ac:dyDescent="0.25">
      <c r="W313" s="37"/>
      <c r="X313" s="52"/>
      <c r="Y313" s="52"/>
      <c r="Z313" s="37"/>
      <c r="AA313" s="18"/>
      <c r="AB313" s="18"/>
      <c r="AC313" s="18"/>
    </row>
    <row r="314" spans="23:29" customFormat="1" x14ac:dyDescent="0.25">
      <c r="W314" s="37"/>
      <c r="X314" s="52"/>
      <c r="Y314" s="52"/>
      <c r="Z314" s="37"/>
      <c r="AA314" s="18"/>
      <c r="AB314" s="18"/>
      <c r="AC314" s="18"/>
    </row>
    <row r="315" spans="23:29" customFormat="1" x14ac:dyDescent="0.25">
      <c r="W315" s="37"/>
      <c r="X315" s="52"/>
      <c r="Y315" s="52"/>
      <c r="Z315" s="37"/>
      <c r="AA315" s="18"/>
      <c r="AB315" s="18"/>
      <c r="AC315" s="18"/>
    </row>
    <row r="316" spans="23:29" customFormat="1" x14ac:dyDescent="0.25">
      <c r="W316" s="37"/>
      <c r="X316" s="52"/>
      <c r="Y316" s="52"/>
      <c r="Z316" s="37"/>
      <c r="AA316" s="18"/>
      <c r="AB316" s="18"/>
      <c r="AC316" s="18"/>
    </row>
    <row r="317" spans="23:29" customFormat="1" x14ac:dyDescent="0.25">
      <c r="W317" s="37"/>
      <c r="X317" s="52"/>
      <c r="Y317" s="52"/>
      <c r="Z317" s="37"/>
      <c r="AA317" s="18"/>
      <c r="AB317" s="18"/>
      <c r="AC317" s="18"/>
    </row>
    <row r="318" spans="23:29" customFormat="1" x14ac:dyDescent="0.25">
      <c r="W318" s="37"/>
      <c r="X318" s="52"/>
      <c r="Y318" s="52"/>
      <c r="Z318" s="37"/>
      <c r="AA318" s="18"/>
      <c r="AB318" s="18"/>
      <c r="AC318" s="18"/>
    </row>
    <row r="319" spans="23:29" customFormat="1" x14ac:dyDescent="0.25">
      <c r="W319" s="37"/>
      <c r="X319" s="52"/>
      <c r="Y319" s="52"/>
      <c r="Z319" s="37"/>
      <c r="AA319" s="18"/>
      <c r="AB319" s="18"/>
      <c r="AC319" s="18"/>
    </row>
    <row r="320" spans="23:29" customFormat="1" x14ac:dyDescent="0.25">
      <c r="W320" s="37"/>
      <c r="X320" s="52"/>
      <c r="Y320" s="52"/>
      <c r="Z320" s="37"/>
      <c r="AA320" s="18"/>
      <c r="AB320" s="18"/>
      <c r="AC320" s="18"/>
    </row>
    <row r="321" spans="23:29" customFormat="1" x14ac:dyDescent="0.25">
      <c r="W321" s="37"/>
      <c r="X321" s="52"/>
      <c r="Y321" s="52"/>
      <c r="Z321" s="37"/>
      <c r="AA321" s="18"/>
      <c r="AB321" s="18"/>
      <c r="AC321" s="18"/>
    </row>
    <row r="322" spans="23:29" customFormat="1" x14ac:dyDescent="0.25">
      <c r="W322" s="37"/>
      <c r="X322" s="52"/>
      <c r="Y322" s="52"/>
      <c r="Z322" s="37"/>
      <c r="AA322" s="18"/>
      <c r="AB322" s="18"/>
      <c r="AC322" s="18"/>
    </row>
    <row r="323" spans="23:29" customFormat="1" x14ac:dyDescent="0.25">
      <c r="W323" s="37"/>
      <c r="X323" s="52"/>
      <c r="Y323" s="52"/>
      <c r="Z323" s="37"/>
      <c r="AA323" s="18"/>
      <c r="AB323" s="18"/>
      <c r="AC323" s="18"/>
    </row>
    <row r="324" spans="23:29" customFormat="1" x14ac:dyDescent="0.25">
      <c r="W324" s="37"/>
      <c r="X324" s="52"/>
      <c r="Y324" s="52"/>
      <c r="Z324" s="37"/>
      <c r="AA324" s="18"/>
      <c r="AB324" s="18"/>
      <c r="AC324" s="18"/>
    </row>
    <row r="325" spans="23:29" customFormat="1" x14ac:dyDescent="0.25">
      <c r="W325" s="37"/>
      <c r="X325" s="52"/>
      <c r="Y325" s="52"/>
      <c r="Z325" s="37"/>
      <c r="AA325" s="18"/>
      <c r="AB325" s="18"/>
      <c r="AC325" s="18"/>
    </row>
    <row r="326" spans="23:29" customFormat="1" x14ac:dyDescent="0.25">
      <c r="W326" s="37"/>
      <c r="X326" s="52"/>
      <c r="Y326" s="52"/>
      <c r="Z326" s="37"/>
      <c r="AA326" s="18"/>
      <c r="AB326" s="18"/>
      <c r="AC326" s="18"/>
    </row>
    <row r="327" spans="23:29" customFormat="1" x14ac:dyDescent="0.25">
      <c r="W327" s="37"/>
      <c r="X327" s="52"/>
      <c r="Y327" s="52"/>
      <c r="Z327" s="37"/>
      <c r="AA327" s="18"/>
      <c r="AB327" s="18"/>
      <c r="AC327" s="18"/>
    </row>
    <row r="328" spans="23:29" customFormat="1" x14ac:dyDescent="0.25">
      <c r="W328" s="37"/>
      <c r="X328" s="52"/>
      <c r="Y328" s="52"/>
      <c r="Z328" s="37"/>
      <c r="AA328" s="18"/>
      <c r="AB328" s="18"/>
      <c r="AC328" s="18"/>
    </row>
    <row r="329" spans="23:29" customFormat="1" x14ac:dyDescent="0.25">
      <c r="W329" s="37"/>
      <c r="X329" s="52"/>
      <c r="Y329" s="52"/>
      <c r="Z329" s="37"/>
      <c r="AA329" s="18"/>
      <c r="AB329" s="18"/>
      <c r="AC329" s="18"/>
    </row>
    <row r="330" spans="23:29" customFormat="1" x14ac:dyDescent="0.25">
      <c r="W330" s="37"/>
      <c r="X330" s="52"/>
      <c r="Y330" s="52"/>
      <c r="Z330" s="37"/>
      <c r="AA330" s="18"/>
      <c r="AB330" s="18"/>
      <c r="AC330" s="18"/>
    </row>
    <row r="331" spans="23:29" customFormat="1" x14ac:dyDescent="0.25">
      <c r="W331" s="37"/>
      <c r="X331" s="52"/>
      <c r="Y331" s="52"/>
      <c r="Z331" s="37"/>
      <c r="AA331" s="18"/>
      <c r="AB331" s="18"/>
      <c r="AC331" s="18"/>
    </row>
    <row r="332" spans="23:29" customFormat="1" x14ac:dyDescent="0.25">
      <c r="W332" s="37"/>
      <c r="X332" s="52"/>
      <c r="Y332" s="52"/>
      <c r="Z332" s="37"/>
      <c r="AA332" s="18"/>
      <c r="AB332" s="18"/>
      <c r="AC332" s="18"/>
    </row>
    <row r="333" spans="23:29" customFormat="1" x14ac:dyDescent="0.25">
      <c r="W333" s="37"/>
      <c r="X333" s="52"/>
      <c r="Y333" s="52"/>
      <c r="Z333" s="37"/>
      <c r="AA333" s="18"/>
      <c r="AB333" s="18"/>
      <c r="AC333" s="18"/>
    </row>
    <row r="334" spans="23:29" customFormat="1" x14ac:dyDescent="0.25">
      <c r="W334" s="37"/>
      <c r="X334" s="52"/>
      <c r="Y334" s="52"/>
      <c r="Z334" s="37"/>
      <c r="AA334" s="18"/>
      <c r="AB334" s="18"/>
      <c r="AC334" s="18"/>
    </row>
    <row r="335" spans="23:29" customFormat="1" x14ac:dyDescent="0.25">
      <c r="W335" s="37"/>
      <c r="X335" s="52"/>
      <c r="Y335" s="52"/>
      <c r="Z335" s="37"/>
      <c r="AA335" s="18"/>
      <c r="AB335" s="18"/>
      <c r="AC335" s="18"/>
    </row>
    <row r="336" spans="23:29" customFormat="1" x14ac:dyDescent="0.25">
      <c r="W336" s="37"/>
      <c r="X336" s="52"/>
      <c r="Y336" s="52"/>
      <c r="Z336" s="37"/>
      <c r="AA336" s="18"/>
      <c r="AB336" s="18"/>
      <c r="AC336" s="18"/>
    </row>
    <row r="337" spans="23:29" customFormat="1" x14ac:dyDescent="0.25">
      <c r="W337" s="37"/>
      <c r="X337" s="52"/>
      <c r="Y337" s="52"/>
      <c r="Z337" s="37"/>
      <c r="AA337" s="18"/>
      <c r="AB337" s="18"/>
      <c r="AC337" s="18"/>
    </row>
    <row r="338" spans="23:29" customFormat="1" x14ac:dyDescent="0.25">
      <c r="W338" s="37"/>
      <c r="X338" s="52"/>
      <c r="Y338" s="52"/>
      <c r="Z338" s="37"/>
      <c r="AA338" s="18"/>
      <c r="AB338" s="18"/>
      <c r="AC338" s="18"/>
    </row>
    <row r="339" spans="23:29" customFormat="1" x14ac:dyDescent="0.25">
      <c r="W339" s="37"/>
      <c r="X339" s="52"/>
      <c r="Y339" s="52"/>
      <c r="Z339" s="37"/>
      <c r="AA339" s="18"/>
      <c r="AB339" s="18"/>
      <c r="AC339" s="18"/>
    </row>
    <row r="340" spans="23:29" customFormat="1" x14ac:dyDescent="0.25">
      <c r="W340" s="37"/>
      <c r="X340" s="52"/>
      <c r="Y340" s="52"/>
      <c r="Z340" s="37"/>
      <c r="AA340" s="18"/>
      <c r="AB340" s="18"/>
      <c r="AC340" s="18"/>
    </row>
    <row r="341" spans="23:29" customFormat="1" x14ac:dyDescent="0.25">
      <c r="W341" s="37"/>
      <c r="X341" s="52"/>
      <c r="Y341" s="52"/>
      <c r="Z341" s="37"/>
      <c r="AA341" s="18"/>
      <c r="AB341" s="18"/>
      <c r="AC341" s="18"/>
    </row>
    <row r="342" spans="23:29" customFormat="1" x14ac:dyDescent="0.25">
      <c r="W342" s="37"/>
      <c r="X342" s="52"/>
      <c r="Y342" s="52"/>
      <c r="Z342" s="37"/>
      <c r="AA342" s="18"/>
      <c r="AB342" s="18"/>
      <c r="AC342" s="18"/>
    </row>
    <row r="343" spans="23:29" customFormat="1" x14ac:dyDescent="0.25">
      <c r="W343" s="37"/>
      <c r="X343" s="52"/>
      <c r="Y343" s="52"/>
      <c r="Z343" s="37"/>
      <c r="AA343" s="18"/>
      <c r="AB343" s="18"/>
      <c r="AC343" s="18"/>
    </row>
    <row r="344" spans="23:29" customFormat="1" x14ac:dyDescent="0.25">
      <c r="W344" s="37"/>
      <c r="X344" s="52"/>
      <c r="Y344" s="52"/>
      <c r="Z344" s="37"/>
      <c r="AA344" s="18"/>
      <c r="AB344" s="18"/>
      <c r="AC344" s="18"/>
    </row>
    <row r="345" spans="23:29" customFormat="1" x14ac:dyDescent="0.25">
      <c r="W345" s="37"/>
      <c r="X345" s="52"/>
      <c r="Y345" s="52"/>
      <c r="Z345" s="37"/>
      <c r="AA345" s="18"/>
      <c r="AB345" s="18"/>
      <c r="AC345" s="18"/>
    </row>
    <row r="346" spans="23:29" customFormat="1" x14ac:dyDescent="0.25">
      <c r="W346" s="37"/>
      <c r="X346" s="52"/>
      <c r="Y346" s="52"/>
      <c r="Z346" s="37"/>
      <c r="AA346" s="18"/>
      <c r="AB346" s="18"/>
      <c r="AC346" s="18"/>
    </row>
    <row r="347" spans="23:29" customFormat="1" x14ac:dyDescent="0.25">
      <c r="W347" s="37"/>
      <c r="X347" s="52"/>
      <c r="Y347" s="52"/>
      <c r="Z347" s="37"/>
      <c r="AA347" s="18"/>
      <c r="AB347" s="18"/>
      <c r="AC347" s="18"/>
    </row>
    <row r="348" spans="23:29" customFormat="1" x14ac:dyDescent="0.25">
      <c r="W348" s="37"/>
      <c r="X348" s="52"/>
      <c r="Y348" s="52"/>
      <c r="Z348" s="37"/>
      <c r="AA348" s="18"/>
      <c r="AB348" s="18"/>
      <c r="AC348" s="18"/>
    </row>
    <row r="349" spans="23:29" customFormat="1" x14ac:dyDescent="0.25">
      <c r="W349" s="37"/>
      <c r="X349" s="52"/>
      <c r="Y349" s="52"/>
      <c r="Z349" s="37"/>
      <c r="AA349" s="18"/>
      <c r="AB349" s="18"/>
      <c r="AC349" s="18"/>
    </row>
    <row r="350" spans="23:29" customFormat="1" x14ac:dyDescent="0.25">
      <c r="W350" s="37"/>
      <c r="X350" s="52"/>
      <c r="Y350" s="52"/>
      <c r="Z350" s="37"/>
      <c r="AA350" s="18"/>
      <c r="AB350" s="18"/>
      <c r="AC350" s="18"/>
    </row>
    <row r="351" spans="23:29" customFormat="1" x14ac:dyDescent="0.25">
      <c r="W351" s="37"/>
      <c r="X351" s="52"/>
      <c r="Y351" s="52"/>
      <c r="Z351" s="37"/>
      <c r="AA351" s="18"/>
      <c r="AB351" s="18"/>
      <c r="AC351" s="18"/>
    </row>
    <row r="352" spans="23:29" customFormat="1" x14ac:dyDescent="0.25">
      <c r="W352" s="37"/>
      <c r="X352" s="52"/>
      <c r="Y352" s="52"/>
      <c r="Z352" s="37"/>
      <c r="AA352" s="18"/>
      <c r="AB352" s="18"/>
      <c r="AC352" s="18"/>
    </row>
    <row r="353" spans="23:29" customFormat="1" x14ac:dyDescent="0.25">
      <c r="W353" s="37"/>
      <c r="X353" s="52"/>
      <c r="Y353" s="52"/>
      <c r="Z353" s="37"/>
      <c r="AA353" s="18"/>
      <c r="AB353" s="18"/>
      <c r="AC353" s="18"/>
    </row>
    <row r="354" spans="23:29" customFormat="1" x14ac:dyDescent="0.25">
      <c r="W354" s="37"/>
      <c r="X354" s="52"/>
      <c r="Y354" s="52"/>
      <c r="Z354" s="37"/>
      <c r="AA354" s="18"/>
      <c r="AB354" s="18"/>
      <c r="AC354" s="18"/>
    </row>
    <row r="355" spans="23:29" customFormat="1" x14ac:dyDescent="0.25">
      <c r="W355" s="37"/>
      <c r="X355" s="52"/>
      <c r="Y355" s="52"/>
      <c r="Z355" s="37"/>
      <c r="AA355" s="18"/>
      <c r="AB355" s="18"/>
      <c r="AC355" s="18"/>
    </row>
    <row r="356" spans="23:29" customFormat="1" x14ac:dyDescent="0.25">
      <c r="W356" s="37"/>
      <c r="X356" s="52"/>
      <c r="Y356" s="52"/>
      <c r="Z356" s="37"/>
      <c r="AA356" s="18"/>
      <c r="AB356" s="18"/>
      <c r="AC356" s="18"/>
    </row>
    <row r="357" spans="23:29" customFormat="1" x14ac:dyDescent="0.25">
      <c r="W357" s="37"/>
      <c r="X357" s="52"/>
      <c r="Y357" s="52"/>
      <c r="Z357" s="37"/>
      <c r="AA357" s="18"/>
      <c r="AB357" s="18"/>
      <c r="AC357" s="18"/>
    </row>
    <row r="358" spans="23:29" customFormat="1" x14ac:dyDescent="0.25">
      <c r="W358" s="37"/>
      <c r="X358" s="52"/>
      <c r="Y358" s="52"/>
      <c r="Z358" s="37"/>
      <c r="AA358" s="18"/>
      <c r="AB358" s="18"/>
      <c r="AC358" s="18"/>
    </row>
    <row r="359" spans="23:29" customFormat="1" x14ac:dyDescent="0.25">
      <c r="W359" s="37"/>
      <c r="X359" s="52"/>
      <c r="Y359" s="52"/>
      <c r="Z359" s="37"/>
      <c r="AA359" s="18"/>
      <c r="AB359" s="18"/>
      <c r="AC359" s="18"/>
    </row>
    <row r="360" spans="23:29" customFormat="1" x14ac:dyDescent="0.25">
      <c r="W360" s="37"/>
      <c r="X360" s="52"/>
      <c r="Y360" s="52"/>
      <c r="Z360" s="37"/>
      <c r="AA360" s="18"/>
      <c r="AB360" s="18"/>
      <c r="AC360" s="18"/>
    </row>
    <row r="361" spans="23:29" customFormat="1" x14ac:dyDescent="0.25">
      <c r="W361" s="37"/>
      <c r="X361" s="52"/>
      <c r="Y361" s="52"/>
      <c r="Z361" s="37"/>
      <c r="AA361" s="18"/>
      <c r="AB361" s="18"/>
      <c r="AC361" s="18"/>
    </row>
    <row r="362" spans="23:29" customFormat="1" x14ac:dyDescent="0.25">
      <c r="W362" s="37"/>
      <c r="X362" s="52"/>
      <c r="Y362" s="52"/>
      <c r="Z362" s="37"/>
      <c r="AA362" s="18"/>
      <c r="AB362" s="18"/>
      <c r="AC362" s="18"/>
    </row>
    <row r="363" spans="23:29" customFormat="1" x14ac:dyDescent="0.25">
      <c r="W363" s="37"/>
      <c r="X363" s="52"/>
      <c r="Y363" s="52"/>
      <c r="Z363" s="37"/>
      <c r="AA363" s="18"/>
      <c r="AB363" s="18"/>
      <c r="AC363" s="18"/>
    </row>
    <row r="364" spans="23:29" customFormat="1" x14ac:dyDescent="0.25">
      <c r="W364" s="37"/>
      <c r="X364" s="52"/>
      <c r="Y364" s="52"/>
      <c r="Z364" s="37"/>
      <c r="AA364" s="18"/>
      <c r="AB364" s="18"/>
      <c r="AC364" s="18"/>
    </row>
    <row r="365" spans="23:29" customFormat="1" x14ac:dyDescent="0.25">
      <c r="W365" s="37"/>
      <c r="X365" s="52"/>
      <c r="Y365" s="52"/>
      <c r="Z365" s="37"/>
      <c r="AA365" s="18"/>
      <c r="AB365" s="18"/>
      <c r="AC365" s="18"/>
    </row>
    <row r="366" spans="23:29" customFormat="1" x14ac:dyDescent="0.25">
      <c r="W366" s="37"/>
      <c r="X366" s="52"/>
      <c r="Y366" s="52"/>
      <c r="Z366" s="37"/>
      <c r="AA366" s="18"/>
      <c r="AB366" s="18"/>
      <c r="AC366" s="18"/>
    </row>
    <row r="367" spans="23:29" customFormat="1" x14ac:dyDescent="0.25">
      <c r="W367" s="37"/>
      <c r="X367" s="52"/>
      <c r="Y367" s="52"/>
      <c r="Z367" s="37"/>
      <c r="AA367" s="18"/>
      <c r="AB367" s="18"/>
      <c r="AC367" s="18"/>
    </row>
    <row r="368" spans="23:29" customFormat="1" x14ac:dyDescent="0.25">
      <c r="W368" s="37"/>
      <c r="X368" s="52"/>
      <c r="Y368" s="52"/>
      <c r="Z368" s="37"/>
      <c r="AA368" s="18"/>
      <c r="AB368" s="18"/>
      <c r="AC368" s="18"/>
    </row>
    <row r="369" spans="23:29" customFormat="1" x14ac:dyDescent="0.25">
      <c r="W369" s="37"/>
      <c r="X369" s="52"/>
      <c r="Y369" s="52"/>
      <c r="Z369" s="37"/>
      <c r="AA369" s="18"/>
      <c r="AB369" s="18"/>
      <c r="AC369" s="18"/>
    </row>
    <row r="370" spans="23:29" customFormat="1" x14ac:dyDescent="0.25">
      <c r="W370" s="37"/>
      <c r="X370" s="52"/>
      <c r="Y370" s="52"/>
      <c r="Z370" s="37"/>
      <c r="AA370" s="18"/>
      <c r="AB370" s="18"/>
      <c r="AC370" s="18"/>
    </row>
    <row r="371" spans="23:29" customFormat="1" x14ac:dyDescent="0.25">
      <c r="W371" s="37"/>
      <c r="X371" s="52"/>
      <c r="Y371" s="52"/>
      <c r="Z371" s="37"/>
      <c r="AA371" s="18"/>
      <c r="AB371" s="18"/>
      <c r="AC371" s="18"/>
    </row>
    <row r="372" spans="23:29" customFormat="1" x14ac:dyDescent="0.25">
      <c r="W372" s="37"/>
      <c r="X372" s="52"/>
      <c r="Y372" s="52"/>
      <c r="Z372" s="37"/>
      <c r="AA372" s="18"/>
      <c r="AB372" s="18"/>
      <c r="AC372" s="18"/>
    </row>
    <row r="373" spans="23:29" customFormat="1" x14ac:dyDescent="0.25">
      <c r="W373" s="37"/>
      <c r="X373" s="52"/>
      <c r="Y373" s="52"/>
      <c r="Z373" s="37"/>
      <c r="AA373" s="18"/>
      <c r="AB373" s="18"/>
      <c r="AC373" s="18"/>
    </row>
    <row r="374" spans="23:29" customFormat="1" x14ac:dyDescent="0.25">
      <c r="W374" s="37"/>
      <c r="X374" s="52"/>
      <c r="Y374" s="52"/>
      <c r="Z374" s="37"/>
      <c r="AA374" s="18"/>
      <c r="AB374" s="18"/>
      <c r="AC374" s="18"/>
    </row>
    <row r="375" spans="23:29" customFormat="1" x14ac:dyDescent="0.25">
      <c r="W375" s="37"/>
      <c r="X375" s="52"/>
      <c r="Y375" s="52"/>
      <c r="Z375" s="37"/>
      <c r="AA375" s="18"/>
      <c r="AB375" s="18"/>
      <c r="AC375" s="18"/>
    </row>
    <row r="376" spans="23:29" customFormat="1" x14ac:dyDescent="0.25">
      <c r="W376" s="37"/>
      <c r="X376" s="52"/>
      <c r="Y376" s="52"/>
      <c r="Z376" s="37"/>
      <c r="AA376" s="18"/>
      <c r="AB376" s="18"/>
      <c r="AC376" s="18"/>
    </row>
    <row r="377" spans="23:29" customFormat="1" x14ac:dyDescent="0.25">
      <c r="W377" s="37"/>
      <c r="X377" s="52"/>
      <c r="Y377" s="52"/>
      <c r="Z377" s="37"/>
      <c r="AA377" s="18"/>
      <c r="AB377" s="18"/>
      <c r="AC377" s="18"/>
    </row>
    <row r="378" spans="23:29" customFormat="1" x14ac:dyDescent="0.25">
      <c r="W378" s="37"/>
      <c r="X378" s="52"/>
      <c r="Y378" s="52"/>
      <c r="Z378" s="37"/>
      <c r="AA378" s="18"/>
      <c r="AB378" s="18"/>
      <c r="AC378" s="18"/>
    </row>
    <row r="379" spans="23:29" customFormat="1" x14ac:dyDescent="0.25">
      <c r="W379" s="37"/>
      <c r="X379" s="52"/>
      <c r="Y379" s="52"/>
      <c r="Z379" s="37"/>
      <c r="AA379" s="18"/>
      <c r="AB379" s="18"/>
      <c r="AC379" s="18"/>
    </row>
    <row r="380" spans="23:29" customFormat="1" x14ac:dyDescent="0.25">
      <c r="W380" s="37"/>
      <c r="X380" s="52"/>
      <c r="Y380" s="52"/>
      <c r="Z380" s="37"/>
      <c r="AA380" s="18"/>
      <c r="AB380" s="18"/>
      <c r="AC380" s="18"/>
    </row>
    <row r="381" spans="23:29" customFormat="1" x14ac:dyDescent="0.25">
      <c r="W381" s="37"/>
      <c r="X381" s="52"/>
      <c r="Y381" s="52"/>
      <c r="Z381" s="37"/>
      <c r="AA381" s="18"/>
      <c r="AB381" s="18"/>
      <c r="AC381" s="18"/>
    </row>
    <row r="382" spans="23:29" customFormat="1" x14ac:dyDescent="0.25">
      <c r="W382" s="37"/>
      <c r="X382" s="52"/>
      <c r="Y382" s="52"/>
      <c r="Z382" s="37"/>
      <c r="AA382" s="18"/>
      <c r="AB382" s="18"/>
      <c r="AC382" s="18"/>
    </row>
    <row r="383" spans="23:29" customFormat="1" x14ac:dyDescent="0.25">
      <c r="W383" s="37"/>
      <c r="X383" s="52"/>
      <c r="Y383" s="52"/>
      <c r="Z383" s="37"/>
      <c r="AA383" s="18"/>
      <c r="AB383" s="18"/>
      <c r="AC383" s="18"/>
    </row>
    <row r="384" spans="23:29" customFormat="1" x14ac:dyDescent="0.25">
      <c r="W384" s="37"/>
      <c r="X384" s="52"/>
      <c r="Y384" s="52"/>
      <c r="Z384" s="37"/>
      <c r="AA384" s="18"/>
      <c r="AB384" s="18"/>
      <c r="AC384" s="18"/>
    </row>
    <row r="385" spans="23:29" customFormat="1" x14ac:dyDescent="0.25">
      <c r="W385" s="37"/>
      <c r="X385" s="52"/>
      <c r="Y385" s="52"/>
      <c r="Z385" s="37"/>
      <c r="AA385" s="18"/>
      <c r="AB385" s="18"/>
      <c r="AC385" s="18"/>
    </row>
    <row r="386" spans="23:29" customFormat="1" x14ac:dyDescent="0.25">
      <c r="W386" s="37"/>
      <c r="X386" s="52"/>
      <c r="Y386" s="52"/>
      <c r="Z386" s="37"/>
      <c r="AA386" s="18"/>
      <c r="AB386" s="18"/>
      <c r="AC386" s="18"/>
    </row>
    <row r="387" spans="23:29" customFormat="1" x14ac:dyDescent="0.25">
      <c r="W387" s="37"/>
      <c r="X387" s="52"/>
      <c r="Y387" s="52"/>
      <c r="Z387" s="37"/>
      <c r="AA387" s="18"/>
      <c r="AB387" s="18"/>
      <c r="AC387" s="18"/>
    </row>
    <row r="388" spans="23:29" customFormat="1" x14ac:dyDescent="0.25">
      <c r="W388" s="37"/>
      <c r="X388" s="52"/>
      <c r="Y388" s="52"/>
      <c r="Z388" s="37"/>
      <c r="AA388" s="18"/>
      <c r="AB388" s="18"/>
      <c r="AC388" s="18"/>
    </row>
    <row r="389" spans="23:29" customFormat="1" x14ac:dyDescent="0.25">
      <c r="W389" s="37"/>
      <c r="X389" s="52"/>
      <c r="Y389" s="52"/>
      <c r="Z389" s="37"/>
      <c r="AA389" s="18"/>
      <c r="AB389" s="18"/>
      <c r="AC389" s="18"/>
    </row>
    <row r="390" spans="23:29" customFormat="1" x14ac:dyDescent="0.25">
      <c r="W390" s="37"/>
      <c r="X390" s="52"/>
      <c r="Y390" s="52"/>
      <c r="Z390" s="37"/>
      <c r="AA390" s="18"/>
      <c r="AB390" s="18"/>
      <c r="AC390" s="18"/>
    </row>
    <row r="391" spans="23:29" customFormat="1" x14ac:dyDescent="0.25">
      <c r="W391" s="37"/>
      <c r="X391" s="52"/>
      <c r="Y391" s="52"/>
      <c r="Z391" s="37"/>
      <c r="AA391" s="18"/>
      <c r="AB391" s="18"/>
      <c r="AC391" s="18"/>
    </row>
    <row r="392" spans="23:29" customFormat="1" x14ac:dyDescent="0.25">
      <c r="W392" s="37"/>
      <c r="X392" s="52"/>
      <c r="Y392" s="52"/>
      <c r="Z392" s="37"/>
      <c r="AA392" s="18"/>
      <c r="AB392" s="18"/>
      <c r="AC392" s="18"/>
    </row>
    <row r="393" spans="23:29" customFormat="1" x14ac:dyDescent="0.25">
      <c r="W393" s="37"/>
      <c r="X393" s="52"/>
      <c r="Y393" s="52"/>
      <c r="Z393" s="37"/>
      <c r="AA393" s="18"/>
      <c r="AB393" s="18"/>
      <c r="AC393" s="18"/>
    </row>
    <row r="394" spans="23:29" customFormat="1" x14ac:dyDescent="0.25">
      <c r="W394" s="37"/>
      <c r="X394" s="52"/>
      <c r="Y394" s="52"/>
      <c r="Z394" s="37"/>
      <c r="AA394" s="18"/>
      <c r="AB394" s="18"/>
      <c r="AC394" s="18"/>
    </row>
    <row r="395" spans="23:29" customFormat="1" x14ac:dyDescent="0.25">
      <c r="W395" s="37"/>
      <c r="X395" s="52"/>
      <c r="Y395" s="52"/>
      <c r="Z395" s="37"/>
      <c r="AA395" s="18"/>
      <c r="AB395" s="18"/>
      <c r="AC395" s="18"/>
    </row>
    <row r="396" spans="23:29" customFormat="1" x14ac:dyDescent="0.25">
      <c r="W396" s="37"/>
      <c r="X396" s="52"/>
      <c r="Y396" s="52"/>
      <c r="Z396" s="37"/>
      <c r="AA396" s="18"/>
      <c r="AB396" s="18"/>
      <c r="AC396" s="18"/>
    </row>
    <row r="397" spans="23:29" customFormat="1" x14ac:dyDescent="0.25">
      <c r="W397" s="37"/>
      <c r="X397" s="52"/>
      <c r="Y397" s="52"/>
      <c r="Z397" s="37"/>
      <c r="AA397" s="18"/>
      <c r="AB397" s="18"/>
      <c r="AC397" s="18"/>
    </row>
    <row r="398" spans="23:29" customFormat="1" x14ac:dyDescent="0.25">
      <c r="W398" s="37"/>
      <c r="X398" s="52"/>
      <c r="Y398" s="52"/>
      <c r="Z398" s="37"/>
      <c r="AA398" s="18"/>
      <c r="AB398" s="18"/>
      <c r="AC398" s="18"/>
    </row>
    <row r="399" spans="23:29" customFormat="1" x14ac:dyDescent="0.25">
      <c r="W399" s="37"/>
      <c r="X399" s="52"/>
      <c r="Y399" s="52"/>
      <c r="Z399" s="37"/>
      <c r="AA399" s="18"/>
      <c r="AB399" s="18"/>
      <c r="AC399" s="18"/>
    </row>
    <row r="400" spans="23:29" customFormat="1" x14ac:dyDescent="0.25">
      <c r="W400" s="37"/>
      <c r="X400" s="52"/>
      <c r="Y400" s="52"/>
      <c r="Z400" s="37"/>
      <c r="AA400" s="18"/>
      <c r="AB400" s="18"/>
      <c r="AC400" s="18"/>
    </row>
    <row r="401" spans="23:29" customFormat="1" x14ac:dyDescent="0.25">
      <c r="W401" s="37"/>
      <c r="X401" s="52"/>
      <c r="Y401" s="52"/>
      <c r="Z401" s="37"/>
      <c r="AA401" s="18"/>
      <c r="AB401" s="18"/>
      <c r="AC401" s="18"/>
    </row>
    <row r="402" spans="23:29" customFormat="1" x14ac:dyDescent="0.25">
      <c r="W402" s="37"/>
      <c r="X402" s="52"/>
      <c r="Y402" s="52"/>
      <c r="Z402" s="37"/>
      <c r="AA402" s="18"/>
      <c r="AB402" s="18"/>
      <c r="AC402" s="18"/>
    </row>
    <row r="403" spans="23:29" customFormat="1" x14ac:dyDescent="0.25">
      <c r="W403" s="37"/>
      <c r="X403" s="52"/>
      <c r="Y403" s="52"/>
      <c r="Z403" s="37"/>
      <c r="AA403" s="18"/>
      <c r="AB403" s="18"/>
      <c r="AC403" s="18"/>
    </row>
    <row r="404" spans="23:29" customFormat="1" x14ac:dyDescent="0.25">
      <c r="W404" s="37"/>
      <c r="X404" s="52"/>
      <c r="Y404" s="52"/>
      <c r="Z404" s="37"/>
      <c r="AA404" s="18"/>
      <c r="AB404" s="18"/>
      <c r="AC404" s="18"/>
    </row>
    <row r="405" spans="23:29" customFormat="1" x14ac:dyDescent="0.25">
      <c r="W405" s="37"/>
      <c r="X405" s="52"/>
      <c r="Y405" s="52"/>
      <c r="Z405" s="37"/>
      <c r="AA405" s="18"/>
      <c r="AB405" s="18"/>
      <c r="AC405" s="18"/>
    </row>
    <row r="406" spans="23:29" customFormat="1" x14ac:dyDescent="0.25">
      <c r="W406" s="37"/>
      <c r="X406" s="52"/>
      <c r="Y406" s="52"/>
      <c r="Z406" s="37"/>
      <c r="AA406" s="18"/>
      <c r="AB406" s="18"/>
      <c r="AC406" s="18"/>
    </row>
    <row r="407" spans="23:29" customFormat="1" x14ac:dyDescent="0.25">
      <c r="W407" s="37"/>
      <c r="X407" s="52"/>
      <c r="Y407" s="52"/>
      <c r="Z407" s="37"/>
      <c r="AA407" s="18"/>
      <c r="AB407" s="18"/>
      <c r="AC407" s="18"/>
    </row>
    <row r="408" spans="23:29" customFormat="1" x14ac:dyDescent="0.25">
      <c r="W408" s="37"/>
      <c r="X408" s="52"/>
      <c r="Y408" s="52"/>
      <c r="Z408" s="37"/>
      <c r="AA408" s="18"/>
      <c r="AB408" s="18"/>
      <c r="AC408" s="18"/>
    </row>
    <row r="409" spans="23:29" customFormat="1" x14ac:dyDescent="0.25">
      <c r="W409" s="37"/>
      <c r="X409" s="52"/>
      <c r="Y409" s="52"/>
      <c r="Z409" s="37"/>
      <c r="AA409" s="18"/>
      <c r="AB409" s="18"/>
      <c r="AC409" s="18"/>
    </row>
    <row r="410" spans="23:29" customFormat="1" x14ac:dyDescent="0.25">
      <c r="W410" s="37"/>
      <c r="X410" s="52"/>
      <c r="Y410" s="52"/>
      <c r="Z410" s="37"/>
      <c r="AA410" s="18"/>
      <c r="AB410" s="18"/>
      <c r="AC410" s="18"/>
    </row>
    <row r="411" spans="23:29" customFormat="1" x14ac:dyDescent="0.25">
      <c r="W411" s="37"/>
      <c r="X411" s="52"/>
      <c r="Y411" s="52"/>
      <c r="Z411" s="37"/>
      <c r="AA411" s="18"/>
      <c r="AB411" s="18"/>
      <c r="AC411" s="18"/>
    </row>
    <row r="412" spans="23:29" customFormat="1" x14ac:dyDescent="0.25">
      <c r="W412" s="37"/>
      <c r="X412" s="52"/>
      <c r="Y412" s="52"/>
      <c r="Z412" s="37"/>
      <c r="AA412" s="18"/>
      <c r="AB412" s="18"/>
      <c r="AC412" s="18"/>
    </row>
    <row r="413" spans="23:29" customFormat="1" x14ac:dyDescent="0.25">
      <c r="W413" s="37"/>
      <c r="X413" s="52"/>
      <c r="Y413" s="52"/>
      <c r="Z413" s="37"/>
      <c r="AA413" s="18"/>
      <c r="AB413" s="18"/>
      <c r="AC413" s="18"/>
    </row>
    <row r="414" spans="23:29" customFormat="1" x14ac:dyDescent="0.25">
      <c r="W414" s="37"/>
      <c r="X414" s="52"/>
      <c r="Y414" s="52"/>
      <c r="Z414" s="37"/>
      <c r="AA414" s="18"/>
      <c r="AB414" s="18"/>
      <c r="AC414" s="18"/>
    </row>
    <row r="415" spans="23:29" customFormat="1" x14ac:dyDescent="0.25">
      <c r="W415" s="37"/>
      <c r="X415" s="52"/>
      <c r="Y415" s="52"/>
      <c r="Z415" s="37"/>
      <c r="AA415" s="18"/>
      <c r="AB415" s="18"/>
      <c r="AC415" s="18"/>
    </row>
    <row r="416" spans="23:29" customFormat="1" x14ac:dyDescent="0.25">
      <c r="W416" s="37"/>
      <c r="X416" s="52"/>
      <c r="Y416" s="52"/>
      <c r="Z416" s="37"/>
      <c r="AA416" s="18"/>
      <c r="AB416" s="18"/>
      <c r="AC416" s="18"/>
    </row>
    <row r="417" spans="23:29" customFormat="1" x14ac:dyDescent="0.25">
      <c r="W417" s="37"/>
      <c r="X417" s="52"/>
      <c r="Y417" s="52"/>
      <c r="Z417" s="37"/>
      <c r="AA417" s="18"/>
      <c r="AB417" s="18"/>
      <c r="AC417" s="18"/>
    </row>
    <row r="418" spans="23:29" customFormat="1" x14ac:dyDescent="0.25">
      <c r="W418" s="37"/>
      <c r="X418" s="52"/>
      <c r="Y418" s="52"/>
      <c r="Z418" s="37"/>
      <c r="AA418" s="18"/>
      <c r="AB418" s="18"/>
      <c r="AC418" s="18"/>
    </row>
    <row r="419" spans="23:29" customFormat="1" x14ac:dyDescent="0.25">
      <c r="W419" s="37"/>
      <c r="X419" s="52"/>
      <c r="Y419" s="52"/>
      <c r="Z419" s="37"/>
      <c r="AA419" s="18"/>
      <c r="AB419" s="18"/>
      <c r="AC419" s="18"/>
    </row>
    <row r="420" spans="23:29" customFormat="1" x14ac:dyDescent="0.25">
      <c r="W420" s="37"/>
      <c r="X420" s="52"/>
      <c r="Y420" s="52"/>
      <c r="Z420" s="37"/>
      <c r="AA420" s="18"/>
      <c r="AB420" s="18"/>
      <c r="AC420" s="18"/>
    </row>
    <row r="421" spans="23:29" customFormat="1" x14ac:dyDescent="0.25">
      <c r="W421" s="37"/>
      <c r="X421" s="52"/>
      <c r="Y421" s="52"/>
      <c r="Z421" s="37"/>
      <c r="AA421" s="18"/>
      <c r="AB421" s="18"/>
      <c r="AC421" s="18"/>
    </row>
    <row r="422" spans="23:29" customFormat="1" x14ac:dyDescent="0.25">
      <c r="W422" s="37"/>
      <c r="X422" s="52"/>
      <c r="Y422" s="52"/>
      <c r="Z422" s="37"/>
      <c r="AA422" s="18"/>
      <c r="AB422" s="18"/>
      <c r="AC422" s="18"/>
    </row>
    <row r="423" spans="23:29" customFormat="1" x14ac:dyDescent="0.25">
      <c r="W423" s="37"/>
      <c r="X423" s="52"/>
      <c r="Y423" s="52"/>
      <c r="Z423" s="37"/>
      <c r="AA423" s="18"/>
      <c r="AB423" s="18"/>
      <c r="AC423" s="18"/>
    </row>
    <row r="424" spans="23:29" customFormat="1" x14ac:dyDescent="0.25">
      <c r="W424" s="37"/>
      <c r="X424" s="52"/>
      <c r="Y424" s="52"/>
      <c r="Z424" s="37"/>
      <c r="AA424" s="18"/>
      <c r="AB424" s="18"/>
      <c r="AC424" s="18"/>
    </row>
    <row r="425" spans="23:29" customFormat="1" x14ac:dyDescent="0.25">
      <c r="W425" s="37"/>
      <c r="X425" s="52"/>
      <c r="Y425" s="52"/>
      <c r="Z425" s="37"/>
      <c r="AA425" s="18"/>
      <c r="AB425" s="18"/>
      <c r="AC425" s="18"/>
    </row>
    <row r="426" spans="23:29" customFormat="1" x14ac:dyDescent="0.25">
      <c r="W426" s="37"/>
      <c r="X426" s="52"/>
      <c r="Y426" s="52"/>
      <c r="Z426" s="37"/>
      <c r="AA426" s="18"/>
      <c r="AB426" s="18"/>
      <c r="AC426" s="18"/>
    </row>
    <row r="427" spans="23:29" customFormat="1" x14ac:dyDescent="0.25">
      <c r="W427" s="37"/>
      <c r="X427" s="52"/>
      <c r="Y427" s="52"/>
      <c r="Z427" s="37"/>
      <c r="AA427" s="18"/>
      <c r="AB427" s="18"/>
      <c r="AC427" s="18"/>
    </row>
    <row r="428" spans="23:29" customFormat="1" x14ac:dyDescent="0.25">
      <c r="W428" s="37"/>
      <c r="X428" s="52"/>
      <c r="Y428" s="52"/>
      <c r="Z428" s="37"/>
      <c r="AA428" s="18"/>
      <c r="AB428" s="18"/>
      <c r="AC428" s="18"/>
    </row>
    <row r="429" spans="23:29" customFormat="1" x14ac:dyDescent="0.25">
      <c r="W429" s="37"/>
      <c r="X429" s="52"/>
      <c r="Y429" s="52"/>
      <c r="Z429" s="37"/>
      <c r="AA429" s="18"/>
      <c r="AB429" s="18"/>
      <c r="AC429" s="18"/>
    </row>
    <row r="430" spans="23:29" customFormat="1" x14ac:dyDescent="0.25">
      <c r="W430" s="37"/>
      <c r="X430" s="52"/>
      <c r="Y430" s="52"/>
      <c r="Z430" s="37"/>
      <c r="AA430" s="18"/>
      <c r="AB430" s="18"/>
      <c r="AC430" s="18"/>
    </row>
    <row r="431" spans="23:29" customFormat="1" x14ac:dyDescent="0.25">
      <c r="W431" s="37"/>
      <c r="X431" s="52"/>
      <c r="Y431" s="52"/>
      <c r="Z431" s="37"/>
      <c r="AA431" s="18"/>
      <c r="AB431" s="18"/>
      <c r="AC431" s="18"/>
    </row>
    <row r="432" spans="23:29" customFormat="1" x14ac:dyDescent="0.25">
      <c r="W432" s="37"/>
      <c r="X432" s="52"/>
      <c r="Y432" s="52"/>
      <c r="Z432" s="37"/>
      <c r="AA432" s="18"/>
      <c r="AB432" s="18"/>
      <c r="AC432" s="18"/>
    </row>
    <row r="433" spans="23:29" customFormat="1" x14ac:dyDescent="0.25">
      <c r="W433" s="37"/>
      <c r="X433" s="52"/>
      <c r="Y433" s="52"/>
      <c r="Z433" s="37"/>
      <c r="AA433" s="18"/>
      <c r="AB433" s="18"/>
      <c r="AC433" s="18"/>
    </row>
    <row r="434" spans="23:29" customFormat="1" x14ac:dyDescent="0.25">
      <c r="W434" s="37"/>
      <c r="X434" s="52"/>
      <c r="Y434" s="52"/>
      <c r="Z434" s="37"/>
      <c r="AA434" s="18"/>
      <c r="AB434" s="18"/>
      <c r="AC434" s="18"/>
    </row>
    <row r="435" spans="23:29" customFormat="1" x14ac:dyDescent="0.25">
      <c r="W435" s="37"/>
      <c r="X435" s="52"/>
      <c r="Y435" s="52"/>
      <c r="Z435" s="37"/>
      <c r="AA435" s="18"/>
      <c r="AB435" s="18"/>
      <c r="AC435" s="18"/>
    </row>
    <row r="436" spans="23:29" customFormat="1" x14ac:dyDescent="0.25">
      <c r="W436" s="37"/>
      <c r="X436" s="52"/>
      <c r="Y436" s="52"/>
      <c r="Z436" s="37"/>
      <c r="AA436" s="18"/>
      <c r="AB436" s="18"/>
      <c r="AC436" s="18"/>
    </row>
    <row r="437" spans="23:29" customFormat="1" x14ac:dyDescent="0.25">
      <c r="W437" s="37"/>
      <c r="X437" s="52"/>
      <c r="Y437" s="52"/>
      <c r="Z437" s="37"/>
      <c r="AA437" s="18"/>
      <c r="AB437" s="18"/>
      <c r="AC437" s="18"/>
    </row>
    <row r="438" spans="23:29" customFormat="1" x14ac:dyDescent="0.25">
      <c r="W438" s="37"/>
      <c r="X438" s="52"/>
      <c r="Y438" s="52"/>
      <c r="Z438" s="37"/>
      <c r="AA438" s="18"/>
      <c r="AB438" s="18"/>
      <c r="AC438" s="18"/>
    </row>
    <row r="439" spans="23:29" customFormat="1" x14ac:dyDescent="0.25">
      <c r="W439" s="37"/>
      <c r="X439" s="52"/>
      <c r="Y439" s="52"/>
      <c r="Z439" s="37"/>
      <c r="AA439" s="18"/>
      <c r="AB439" s="18"/>
      <c r="AC439" s="18"/>
    </row>
    <row r="440" spans="23:29" customFormat="1" x14ac:dyDescent="0.25">
      <c r="W440" s="37"/>
      <c r="X440" s="52"/>
      <c r="Y440" s="52"/>
      <c r="Z440" s="37"/>
      <c r="AA440" s="18"/>
      <c r="AB440" s="18"/>
      <c r="AC440" s="18"/>
    </row>
    <row r="441" spans="23:29" customFormat="1" x14ac:dyDescent="0.25">
      <c r="W441" s="37"/>
      <c r="X441" s="52"/>
      <c r="Y441" s="52"/>
      <c r="Z441" s="37"/>
      <c r="AA441" s="18"/>
      <c r="AB441" s="18"/>
      <c r="AC441" s="18"/>
    </row>
    <row r="442" spans="23:29" customFormat="1" x14ac:dyDescent="0.25">
      <c r="W442" s="37"/>
      <c r="X442" s="52"/>
      <c r="Y442" s="52"/>
      <c r="Z442" s="37"/>
      <c r="AA442" s="18"/>
      <c r="AB442" s="18"/>
      <c r="AC442" s="18"/>
    </row>
    <row r="443" spans="23:29" customFormat="1" x14ac:dyDescent="0.25">
      <c r="W443" s="37"/>
      <c r="X443" s="52"/>
      <c r="Y443" s="52"/>
      <c r="Z443" s="37"/>
      <c r="AA443" s="18"/>
      <c r="AB443" s="18"/>
      <c r="AC443" s="18"/>
    </row>
    <row r="444" spans="23:29" customFormat="1" x14ac:dyDescent="0.25">
      <c r="W444" s="37"/>
      <c r="X444" s="52"/>
      <c r="Y444" s="52"/>
      <c r="Z444" s="37"/>
      <c r="AA444" s="18"/>
      <c r="AB444" s="18"/>
      <c r="AC444" s="18"/>
    </row>
    <row r="445" spans="23:29" customFormat="1" x14ac:dyDescent="0.25">
      <c r="W445" s="37"/>
      <c r="X445" s="52"/>
      <c r="Y445" s="52"/>
      <c r="Z445" s="37"/>
      <c r="AA445" s="18"/>
      <c r="AB445" s="18"/>
      <c r="AC445" s="18"/>
    </row>
    <row r="446" spans="23:29" customFormat="1" x14ac:dyDescent="0.25">
      <c r="W446" s="37"/>
      <c r="X446" s="52"/>
      <c r="Y446" s="52"/>
      <c r="Z446" s="37"/>
      <c r="AA446" s="18"/>
      <c r="AB446" s="18"/>
      <c r="AC446" s="18"/>
    </row>
    <row r="447" spans="23:29" customFormat="1" x14ac:dyDescent="0.25">
      <c r="W447" s="37"/>
      <c r="X447" s="52"/>
      <c r="Y447" s="52"/>
      <c r="Z447" s="37"/>
      <c r="AA447" s="18"/>
      <c r="AB447" s="18"/>
      <c r="AC447" s="18"/>
    </row>
    <row r="448" spans="23:29" customFormat="1" x14ac:dyDescent="0.25">
      <c r="W448" s="37"/>
      <c r="X448" s="52"/>
      <c r="Y448" s="52"/>
      <c r="Z448" s="37"/>
      <c r="AA448" s="18"/>
      <c r="AB448" s="18"/>
      <c r="AC448" s="18"/>
    </row>
    <row r="449" spans="23:29" customFormat="1" x14ac:dyDescent="0.25">
      <c r="W449" s="37"/>
      <c r="X449" s="52"/>
      <c r="Y449" s="52"/>
      <c r="Z449" s="37"/>
      <c r="AA449" s="18"/>
      <c r="AB449" s="18"/>
      <c r="AC449" s="18"/>
    </row>
    <row r="450" spans="23:29" customFormat="1" x14ac:dyDescent="0.25">
      <c r="W450" s="37"/>
      <c r="X450" s="52"/>
      <c r="Y450" s="52"/>
      <c r="Z450" s="37"/>
      <c r="AA450" s="18"/>
      <c r="AB450" s="18"/>
      <c r="AC450" s="18"/>
    </row>
    <row r="451" spans="23:29" customFormat="1" x14ac:dyDescent="0.25">
      <c r="W451" s="37"/>
      <c r="X451" s="52"/>
      <c r="Y451" s="52"/>
      <c r="Z451" s="37"/>
      <c r="AA451" s="18"/>
      <c r="AB451" s="18"/>
      <c r="AC451" s="18"/>
    </row>
    <row r="452" spans="23:29" customFormat="1" x14ac:dyDescent="0.25">
      <c r="W452" s="37"/>
      <c r="X452" s="52"/>
      <c r="Y452" s="52"/>
      <c r="Z452" s="37"/>
      <c r="AA452" s="18"/>
      <c r="AB452" s="18"/>
      <c r="AC452" s="18"/>
    </row>
    <row r="453" spans="23:29" customFormat="1" x14ac:dyDescent="0.25">
      <c r="W453" s="37"/>
      <c r="X453" s="52"/>
      <c r="Y453" s="52"/>
      <c r="Z453" s="37"/>
      <c r="AA453" s="18"/>
      <c r="AB453" s="18"/>
      <c r="AC453" s="18"/>
    </row>
    <row r="454" spans="23:29" customFormat="1" x14ac:dyDescent="0.25">
      <c r="W454" s="37"/>
      <c r="X454" s="52"/>
      <c r="Y454" s="52"/>
      <c r="Z454" s="37"/>
      <c r="AA454" s="18"/>
      <c r="AB454" s="18"/>
      <c r="AC454" s="18"/>
    </row>
    <row r="455" spans="23:29" customFormat="1" x14ac:dyDescent="0.25">
      <c r="W455" s="37"/>
      <c r="X455" s="52"/>
      <c r="Y455" s="52"/>
      <c r="Z455" s="37"/>
      <c r="AA455" s="18"/>
      <c r="AB455" s="18"/>
      <c r="AC455" s="18"/>
    </row>
    <row r="456" spans="23:29" customFormat="1" x14ac:dyDescent="0.25">
      <c r="W456" s="37"/>
      <c r="X456" s="52"/>
      <c r="Y456" s="52"/>
      <c r="Z456" s="37"/>
      <c r="AA456" s="18"/>
      <c r="AB456" s="18"/>
      <c r="AC456" s="18"/>
    </row>
    <row r="457" spans="23:29" customFormat="1" x14ac:dyDescent="0.25">
      <c r="W457" s="37"/>
      <c r="X457" s="52"/>
      <c r="Y457" s="52"/>
      <c r="Z457" s="37"/>
      <c r="AA457" s="18"/>
      <c r="AB457" s="18"/>
      <c r="AC457" s="18"/>
    </row>
    <row r="458" spans="23:29" customFormat="1" x14ac:dyDescent="0.25">
      <c r="W458" s="37"/>
      <c r="X458" s="52"/>
      <c r="Y458" s="52"/>
      <c r="Z458" s="37"/>
      <c r="AA458" s="18"/>
      <c r="AB458" s="18"/>
      <c r="AC458" s="18"/>
    </row>
    <row r="459" spans="23:29" customFormat="1" x14ac:dyDescent="0.25">
      <c r="W459" s="37"/>
      <c r="X459" s="52"/>
      <c r="Y459" s="52"/>
      <c r="Z459" s="37"/>
      <c r="AA459" s="18"/>
      <c r="AB459" s="18"/>
      <c r="AC459" s="18"/>
    </row>
    <row r="460" spans="23:29" customFormat="1" x14ac:dyDescent="0.25">
      <c r="W460" s="37"/>
      <c r="X460" s="52"/>
      <c r="Y460" s="52"/>
      <c r="Z460" s="37"/>
      <c r="AA460" s="18"/>
      <c r="AB460" s="18"/>
      <c r="AC460" s="18"/>
    </row>
    <row r="461" spans="23:29" customFormat="1" x14ac:dyDescent="0.25">
      <c r="W461" s="37"/>
      <c r="X461" s="52"/>
      <c r="Y461" s="52"/>
      <c r="Z461" s="37"/>
      <c r="AA461" s="18"/>
      <c r="AB461" s="18"/>
      <c r="AC461" s="18"/>
    </row>
    <row r="462" spans="23:29" customFormat="1" x14ac:dyDescent="0.25">
      <c r="W462" s="37"/>
      <c r="X462" s="52"/>
      <c r="Y462" s="52"/>
      <c r="Z462" s="37"/>
      <c r="AA462" s="18"/>
      <c r="AB462" s="18"/>
      <c r="AC462" s="18"/>
    </row>
    <row r="463" spans="23:29" customFormat="1" x14ac:dyDescent="0.25">
      <c r="W463" s="37"/>
      <c r="X463" s="52"/>
      <c r="Y463" s="52"/>
      <c r="Z463" s="37"/>
      <c r="AA463" s="18"/>
      <c r="AB463" s="18"/>
      <c r="AC463" s="18"/>
    </row>
    <row r="464" spans="23:29" customFormat="1" x14ac:dyDescent="0.25">
      <c r="W464" s="37"/>
      <c r="X464" s="52"/>
      <c r="Y464" s="52"/>
      <c r="Z464" s="37"/>
      <c r="AA464" s="18"/>
      <c r="AB464" s="18"/>
      <c r="AC464" s="18"/>
    </row>
    <row r="465" spans="23:29" customFormat="1" x14ac:dyDescent="0.25">
      <c r="W465" s="37"/>
      <c r="X465" s="52"/>
      <c r="Y465" s="52"/>
      <c r="Z465" s="37"/>
      <c r="AA465" s="18"/>
      <c r="AB465" s="18"/>
      <c r="AC465" s="18"/>
    </row>
    <row r="466" spans="23:29" customFormat="1" x14ac:dyDescent="0.25">
      <c r="W466" s="37"/>
      <c r="X466" s="52"/>
      <c r="Y466" s="52"/>
      <c r="Z466" s="37"/>
      <c r="AA466" s="18"/>
      <c r="AB466" s="18"/>
      <c r="AC466" s="18"/>
    </row>
    <row r="467" spans="23:29" customFormat="1" x14ac:dyDescent="0.25">
      <c r="W467" s="37"/>
      <c r="X467" s="52"/>
      <c r="Y467" s="52"/>
      <c r="Z467" s="37"/>
      <c r="AA467" s="18"/>
      <c r="AB467" s="18"/>
      <c r="AC467" s="18"/>
    </row>
    <row r="468" spans="23:29" customFormat="1" x14ac:dyDescent="0.25">
      <c r="W468" s="37"/>
      <c r="X468" s="52"/>
      <c r="Y468" s="52"/>
      <c r="Z468" s="37"/>
      <c r="AA468" s="18"/>
      <c r="AB468" s="18"/>
      <c r="AC468" s="18"/>
    </row>
    <row r="469" spans="23:29" customFormat="1" x14ac:dyDescent="0.25">
      <c r="W469" s="37"/>
      <c r="X469" s="52"/>
      <c r="Y469" s="52"/>
      <c r="Z469" s="37"/>
      <c r="AA469" s="18"/>
      <c r="AB469" s="18"/>
      <c r="AC469" s="18"/>
    </row>
    <row r="470" spans="23:29" customFormat="1" x14ac:dyDescent="0.25">
      <c r="W470" s="37"/>
      <c r="X470" s="52"/>
      <c r="Y470" s="52"/>
      <c r="Z470" s="37"/>
      <c r="AA470" s="18"/>
      <c r="AB470" s="18"/>
      <c r="AC470" s="18"/>
    </row>
    <row r="471" spans="23:29" customFormat="1" x14ac:dyDescent="0.25">
      <c r="W471" s="37"/>
      <c r="X471" s="52"/>
      <c r="Y471" s="52"/>
      <c r="Z471" s="37"/>
      <c r="AA471" s="18"/>
      <c r="AB471" s="18"/>
      <c r="AC471" s="18"/>
    </row>
    <row r="472" spans="23:29" customFormat="1" x14ac:dyDescent="0.25">
      <c r="W472" s="37"/>
      <c r="X472" s="52"/>
      <c r="Y472" s="52"/>
      <c r="Z472" s="37"/>
      <c r="AA472" s="18"/>
      <c r="AB472" s="18"/>
      <c r="AC472" s="18"/>
    </row>
    <row r="473" spans="23:29" customFormat="1" x14ac:dyDescent="0.25">
      <c r="W473" s="37"/>
      <c r="X473" s="52"/>
      <c r="Y473" s="52"/>
      <c r="Z473" s="37"/>
      <c r="AA473" s="18"/>
      <c r="AB473" s="18"/>
      <c r="AC473" s="18"/>
    </row>
    <row r="474" spans="23:29" customFormat="1" x14ac:dyDescent="0.25">
      <c r="W474" s="37"/>
      <c r="X474" s="52"/>
      <c r="Y474" s="52"/>
      <c r="Z474" s="37"/>
      <c r="AA474" s="18"/>
      <c r="AB474" s="18"/>
      <c r="AC474" s="18"/>
    </row>
    <row r="475" spans="23:29" customFormat="1" x14ac:dyDescent="0.25">
      <c r="W475" s="37"/>
      <c r="X475" s="52"/>
      <c r="Y475" s="52"/>
      <c r="Z475" s="37"/>
      <c r="AA475" s="18"/>
      <c r="AB475" s="18"/>
      <c r="AC475" s="18"/>
    </row>
    <row r="476" spans="23:29" customFormat="1" x14ac:dyDescent="0.25">
      <c r="W476" s="37"/>
      <c r="X476" s="52"/>
      <c r="Y476" s="52"/>
      <c r="Z476" s="37"/>
      <c r="AA476" s="18"/>
      <c r="AB476" s="18"/>
      <c r="AC476" s="18"/>
    </row>
    <row r="477" spans="23:29" customFormat="1" x14ac:dyDescent="0.25">
      <c r="W477" s="37"/>
      <c r="X477" s="52"/>
      <c r="Y477" s="52"/>
      <c r="Z477" s="37"/>
      <c r="AA477" s="18"/>
      <c r="AB477" s="18"/>
      <c r="AC477" s="18"/>
    </row>
    <row r="478" spans="23:29" customFormat="1" x14ac:dyDescent="0.25">
      <c r="W478" s="37"/>
      <c r="X478" s="52"/>
      <c r="Y478" s="52"/>
      <c r="Z478" s="37"/>
      <c r="AA478" s="18"/>
      <c r="AB478" s="18"/>
      <c r="AC478" s="18"/>
    </row>
    <row r="479" spans="23:29" customFormat="1" x14ac:dyDescent="0.25">
      <c r="W479" s="37"/>
      <c r="X479" s="52"/>
      <c r="Y479" s="52"/>
      <c r="Z479" s="37"/>
      <c r="AA479" s="18"/>
      <c r="AB479" s="18"/>
      <c r="AC479" s="18"/>
    </row>
    <row r="480" spans="23:29" customFormat="1" x14ac:dyDescent="0.25">
      <c r="W480" s="37"/>
      <c r="X480" s="52"/>
      <c r="Y480" s="52"/>
      <c r="Z480" s="37"/>
      <c r="AA480" s="18"/>
      <c r="AB480" s="18"/>
      <c r="AC480" s="18"/>
    </row>
    <row r="481" spans="23:29" customFormat="1" x14ac:dyDescent="0.25">
      <c r="W481" s="37"/>
      <c r="X481" s="52"/>
      <c r="Y481" s="52"/>
      <c r="Z481" s="37"/>
      <c r="AA481" s="18"/>
      <c r="AB481" s="18"/>
      <c r="AC481" s="18"/>
    </row>
    <row r="482" spans="23:29" customFormat="1" x14ac:dyDescent="0.25">
      <c r="W482" s="37"/>
      <c r="X482" s="52"/>
      <c r="Y482" s="52"/>
      <c r="Z482" s="37"/>
      <c r="AA482" s="18"/>
      <c r="AB482" s="18"/>
      <c r="AC482" s="18"/>
    </row>
    <row r="483" spans="23:29" customFormat="1" x14ac:dyDescent="0.25">
      <c r="W483" s="37"/>
      <c r="X483" s="52"/>
      <c r="Y483" s="52"/>
      <c r="Z483" s="37"/>
      <c r="AA483" s="18"/>
      <c r="AB483" s="18"/>
      <c r="AC483" s="18"/>
    </row>
    <row r="484" spans="23:29" customFormat="1" x14ac:dyDescent="0.25">
      <c r="W484" s="37"/>
      <c r="X484" s="52"/>
      <c r="Y484" s="52"/>
      <c r="Z484" s="37"/>
      <c r="AA484" s="18"/>
      <c r="AB484" s="18"/>
      <c r="AC484" s="18"/>
    </row>
    <row r="485" spans="23:29" customFormat="1" x14ac:dyDescent="0.25">
      <c r="W485" s="37"/>
      <c r="X485" s="52"/>
      <c r="Y485" s="52"/>
      <c r="Z485" s="37"/>
      <c r="AA485" s="18"/>
      <c r="AB485" s="18"/>
      <c r="AC485" s="18"/>
    </row>
    <row r="486" spans="23:29" customFormat="1" x14ac:dyDescent="0.25">
      <c r="W486" s="37"/>
      <c r="X486" s="52"/>
      <c r="Y486" s="52"/>
      <c r="Z486" s="37"/>
      <c r="AA486" s="18"/>
      <c r="AB486" s="18"/>
      <c r="AC486" s="18"/>
    </row>
    <row r="487" spans="23:29" customFormat="1" x14ac:dyDescent="0.25">
      <c r="W487" s="37"/>
      <c r="X487" s="52"/>
      <c r="Y487" s="52"/>
      <c r="Z487" s="37"/>
      <c r="AA487" s="18"/>
      <c r="AB487" s="18"/>
      <c r="AC487" s="18"/>
    </row>
    <row r="488" spans="23:29" customFormat="1" x14ac:dyDescent="0.25">
      <c r="W488" s="37"/>
      <c r="X488" s="52"/>
      <c r="Y488" s="52"/>
      <c r="Z488" s="37"/>
      <c r="AA488" s="18"/>
      <c r="AB488" s="18"/>
      <c r="AC488" s="18"/>
    </row>
    <row r="489" spans="23:29" customFormat="1" x14ac:dyDescent="0.25">
      <c r="W489" s="37"/>
      <c r="X489" s="52"/>
      <c r="Y489" s="52"/>
      <c r="Z489" s="37"/>
      <c r="AA489" s="18"/>
      <c r="AB489" s="18"/>
      <c r="AC489" s="18"/>
    </row>
    <row r="490" spans="23:29" customFormat="1" x14ac:dyDescent="0.25">
      <c r="W490" s="37"/>
      <c r="X490" s="52"/>
      <c r="Y490" s="52"/>
      <c r="Z490" s="37"/>
      <c r="AA490" s="18"/>
      <c r="AB490" s="18"/>
      <c r="AC490" s="18"/>
    </row>
    <row r="491" spans="23:29" customFormat="1" x14ac:dyDescent="0.25">
      <c r="W491" s="37"/>
      <c r="X491" s="52"/>
      <c r="Y491" s="52"/>
      <c r="Z491" s="37"/>
      <c r="AA491" s="18"/>
      <c r="AB491" s="18"/>
      <c r="AC491" s="18"/>
    </row>
    <row r="492" spans="23:29" customFormat="1" x14ac:dyDescent="0.25">
      <c r="W492" s="37"/>
      <c r="X492" s="52"/>
      <c r="Y492" s="52"/>
      <c r="Z492" s="37"/>
      <c r="AA492" s="18"/>
      <c r="AB492" s="18"/>
      <c r="AC492" s="18"/>
    </row>
    <row r="493" spans="23:29" customFormat="1" x14ac:dyDescent="0.25">
      <c r="W493" s="37"/>
      <c r="X493" s="52"/>
      <c r="Y493" s="52"/>
      <c r="Z493" s="37"/>
      <c r="AA493" s="18"/>
      <c r="AB493" s="18"/>
      <c r="AC493" s="18"/>
    </row>
    <row r="494" spans="23:29" customFormat="1" x14ac:dyDescent="0.25">
      <c r="W494" s="37"/>
      <c r="X494" s="52"/>
      <c r="Y494" s="52"/>
      <c r="Z494" s="37"/>
      <c r="AA494" s="18"/>
      <c r="AB494" s="18"/>
      <c r="AC494" s="18"/>
    </row>
    <row r="495" spans="23:29" customFormat="1" x14ac:dyDescent="0.25">
      <c r="W495" s="37"/>
      <c r="X495" s="52"/>
      <c r="Y495" s="52"/>
      <c r="Z495" s="37"/>
      <c r="AA495" s="18"/>
      <c r="AB495" s="18"/>
      <c r="AC495" s="18"/>
    </row>
    <row r="496" spans="23:29" customFormat="1" x14ac:dyDescent="0.25">
      <c r="W496" s="37"/>
      <c r="X496" s="52"/>
      <c r="Y496" s="52"/>
      <c r="Z496" s="37"/>
      <c r="AA496" s="18"/>
      <c r="AB496" s="18"/>
      <c r="AC496" s="18"/>
    </row>
    <row r="497" spans="23:29" customFormat="1" x14ac:dyDescent="0.25">
      <c r="W497" s="37"/>
      <c r="X497" s="52"/>
      <c r="Y497" s="52"/>
      <c r="Z497" s="37"/>
      <c r="AA497" s="18"/>
      <c r="AB497" s="18"/>
      <c r="AC497" s="18"/>
    </row>
    <row r="498" spans="23:29" customFormat="1" x14ac:dyDescent="0.25">
      <c r="W498" s="37"/>
      <c r="X498" s="52"/>
      <c r="Y498" s="52"/>
      <c r="Z498" s="37"/>
      <c r="AA498" s="18"/>
      <c r="AB498" s="18"/>
      <c r="AC498" s="18"/>
    </row>
    <row r="499" spans="23:29" customFormat="1" x14ac:dyDescent="0.25">
      <c r="W499" s="37"/>
      <c r="X499" s="52"/>
      <c r="Y499" s="52"/>
      <c r="Z499" s="37"/>
      <c r="AA499" s="18"/>
      <c r="AB499" s="18"/>
      <c r="AC499" s="18"/>
    </row>
    <row r="500" spans="23:29" customFormat="1" x14ac:dyDescent="0.25">
      <c r="W500" s="37"/>
      <c r="X500" s="52"/>
      <c r="Y500" s="52"/>
      <c r="Z500" s="37"/>
      <c r="AA500" s="18"/>
      <c r="AB500" s="18"/>
      <c r="AC500" s="18"/>
    </row>
    <row r="501" spans="23:29" customFormat="1" x14ac:dyDescent="0.25">
      <c r="W501" s="37"/>
      <c r="X501" s="52"/>
      <c r="Y501" s="52"/>
      <c r="Z501" s="37"/>
      <c r="AA501" s="18"/>
      <c r="AB501" s="18"/>
      <c r="AC501" s="18"/>
    </row>
    <row r="502" spans="23:29" customFormat="1" x14ac:dyDescent="0.25">
      <c r="W502" s="37"/>
      <c r="X502" s="52"/>
      <c r="Y502" s="52"/>
      <c r="Z502" s="37"/>
      <c r="AA502" s="18"/>
      <c r="AB502" s="18"/>
      <c r="AC502" s="18"/>
    </row>
    <row r="503" spans="23:29" customFormat="1" x14ac:dyDescent="0.25">
      <c r="W503" s="37"/>
      <c r="X503" s="52"/>
      <c r="Y503" s="52"/>
      <c r="Z503" s="37"/>
      <c r="AA503" s="18"/>
      <c r="AB503" s="18"/>
      <c r="AC503" s="18"/>
    </row>
    <row r="504" spans="23:29" customFormat="1" x14ac:dyDescent="0.25">
      <c r="W504" s="37"/>
      <c r="X504" s="52"/>
      <c r="Y504" s="52"/>
      <c r="Z504" s="37"/>
      <c r="AA504" s="18"/>
      <c r="AB504" s="18"/>
      <c r="AC504" s="18"/>
    </row>
    <row r="505" spans="23:29" customFormat="1" x14ac:dyDescent="0.25">
      <c r="W505" s="37"/>
      <c r="X505" s="52"/>
      <c r="Y505" s="52"/>
      <c r="Z505" s="37"/>
      <c r="AA505" s="18"/>
      <c r="AB505" s="18"/>
      <c r="AC505" s="18"/>
    </row>
    <row r="506" spans="23:29" customFormat="1" x14ac:dyDescent="0.25">
      <c r="W506" s="37"/>
      <c r="X506" s="52"/>
      <c r="Y506" s="52"/>
      <c r="Z506" s="37"/>
      <c r="AA506" s="18"/>
      <c r="AB506" s="18"/>
      <c r="AC506" s="18"/>
    </row>
    <row r="507" spans="23:29" customFormat="1" x14ac:dyDescent="0.25">
      <c r="W507" s="37"/>
      <c r="X507" s="52"/>
      <c r="Y507" s="52"/>
      <c r="Z507" s="37"/>
      <c r="AA507" s="18"/>
      <c r="AB507" s="18"/>
      <c r="AC507" s="18"/>
    </row>
    <row r="508" spans="23:29" customFormat="1" x14ac:dyDescent="0.25">
      <c r="W508" s="37"/>
      <c r="X508" s="52"/>
      <c r="Y508" s="52"/>
      <c r="Z508" s="37"/>
      <c r="AA508" s="18"/>
      <c r="AB508" s="18"/>
      <c r="AC508" s="18"/>
    </row>
    <row r="509" spans="23:29" customFormat="1" x14ac:dyDescent="0.25">
      <c r="W509" s="37"/>
      <c r="X509" s="52"/>
      <c r="Y509" s="52"/>
      <c r="Z509" s="37"/>
      <c r="AA509" s="18"/>
      <c r="AB509" s="18"/>
      <c r="AC509" s="18"/>
    </row>
    <row r="510" spans="23:29" customFormat="1" x14ac:dyDescent="0.25">
      <c r="W510" s="37"/>
      <c r="X510" s="52"/>
      <c r="Y510" s="52"/>
      <c r="Z510" s="37"/>
      <c r="AA510" s="18"/>
      <c r="AB510" s="18"/>
      <c r="AC510" s="18"/>
    </row>
    <row r="511" spans="23:29" customFormat="1" x14ac:dyDescent="0.25">
      <c r="W511" s="37"/>
      <c r="X511" s="52"/>
      <c r="Y511" s="52"/>
      <c r="Z511" s="37"/>
      <c r="AA511" s="18"/>
      <c r="AB511" s="18"/>
      <c r="AC511" s="18"/>
    </row>
    <row r="512" spans="23:29" customFormat="1" x14ac:dyDescent="0.25">
      <c r="W512" s="37"/>
      <c r="X512" s="52"/>
      <c r="Y512" s="52"/>
      <c r="Z512" s="37"/>
      <c r="AA512" s="18"/>
      <c r="AB512" s="18"/>
      <c r="AC512" s="18"/>
    </row>
    <row r="513" spans="23:29" customFormat="1" x14ac:dyDescent="0.25">
      <c r="W513" s="37"/>
      <c r="X513" s="52"/>
      <c r="Y513" s="52"/>
      <c r="Z513" s="37"/>
      <c r="AA513" s="18"/>
      <c r="AB513" s="18"/>
      <c r="AC513" s="18"/>
    </row>
    <row r="514" spans="23:29" customFormat="1" x14ac:dyDescent="0.25">
      <c r="W514" s="37"/>
      <c r="X514" s="52"/>
      <c r="Y514" s="52"/>
      <c r="Z514" s="37"/>
      <c r="AA514" s="18"/>
      <c r="AB514" s="18"/>
      <c r="AC514" s="18"/>
    </row>
    <row r="515" spans="23:29" customFormat="1" x14ac:dyDescent="0.25">
      <c r="W515" s="37"/>
      <c r="X515" s="52"/>
      <c r="Y515" s="52"/>
      <c r="Z515" s="37"/>
      <c r="AA515" s="18"/>
      <c r="AB515" s="18"/>
      <c r="AC515" s="18"/>
    </row>
    <row r="516" spans="23:29" customFormat="1" x14ac:dyDescent="0.25">
      <c r="W516" s="37"/>
      <c r="X516" s="52"/>
      <c r="Y516" s="52"/>
      <c r="Z516" s="37"/>
      <c r="AA516" s="18"/>
      <c r="AB516" s="18"/>
      <c r="AC516" s="18"/>
    </row>
    <row r="517" spans="23:29" customFormat="1" x14ac:dyDescent="0.25">
      <c r="W517" s="37"/>
      <c r="X517" s="52"/>
      <c r="Y517" s="52"/>
      <c r="Z517" s="37"/>
      <c r="AA517" s="18"/>
      <c r="AB517" s="18"/>
      <c r="AC517" s="18"/>
    </row>
    <row r="518" spans="23:29" customFormat="1" x14ac:dyDescent="0.25">
      <c r="W518" s="37"/>
      <c r="X518" s="52"/>
      <c r="Y518" s="52"/>
      <c r="Z518" s="37"/>
      <c r="AA518" s="18"/>
      <c r="AB518" s="18"/>
      <c r="AC518" s="18"/>
    </row>
    <row r="519" spans="23:29" customFormat="1" x14ac:dyDescent="0.25">
      <c r="W519" s="37"/>
      <c r="X519" s="52"/>
      <c r="Y519" s="52"/>
      <c r="Z519" s="37"/>
      <c r="AA519" s="18"/>
      <c r="AB519" s="18"/>
      <c r="AC519" s="18"/>
    </row>
    <row r="520" spans="23:29" customFormat="1" x14ac:dyDescent="0.25">
      <c r="W520" s="37"/>
      <c r="X520" s="52"/>
      <c r="Y520" s="52"/>
      <c r="Z520" s="37"/>
      <c r="AA520" s="18"/>
      <c r="AB520" s="18"/>
      <c r="AC520" s="18"/>
    </row>
    <row r="521" spans="23:29" customFormat="1" x14ac:dyDescent="0.25">
      <c r="W521" s="37"/>
      <c r="X521" s="52"/>
      <c r="Y521" s="52"/>
      <c r="Z521" s="37"/>
      <c r="AA521" s="18"/>
      <c r="AB521" s="18"/>
      <c r="AC521" s="18"/>
    </row>
    <row r="522" spans="23:29" customFormat="1" x14ac:dyDescent="0.25">
      <c r="W522" s="37"/>
      <c r="X522" s="52"/>
      <c r="Y522" s="52"/>
      <c r="Z522" s="37"/>
      <c r="AA522" s="18"/>
      <c r="AB522" s="18"/>
      <c r="AC522" s="18"/>
    </row>
    <row r="523" spans="23:29" customFormat="1" x14ac:dyDescent="0.25">
      <c r="W523" s="37"/>
      <c r="X523" s="52"/>
      <c r="Y523" s="52"/>
      <c r="Z523" s="37"/>
      <c r="AA523" s="18"/>
      <c r="AB523" s="18"/>
      <c r="AC523" s="18"/>
    </row>
    <row r="524" spans="23:29" customFormat="1" x14ac:dyDescent="0.25">
      <c r="W524" s="37"/>
      <c r="X524" s="52"/>
      <c r="Y524" s="52"/>
      <c r="Z524" s="37"/>
      <c r="AA524" s="18"/>
      <c r="AB524" s="18"/>
      <c r="AC524" s="18"/>
    </row>
    <row r="525" spans="23:29" customFormat="1" x14ac:dyDescent="0.25">
      <c r="W525" s="37"/>
      <c r="X525" s="52"/>
      <c r="Y525" s="52"/>
      <c r="Z525" s="37"/>
      <c r="AA525" s="18"/>
      <c r="AB525" s="18"/>
      <c r="AC525" s="18"/>
    </row>
    <row r="526" spans="23:29" customFormat="1" x14ac:dyDescent="0.25">
      <c r="W526" s="37"/>
      <c r="X526" s="52"/>
      <c r="Y526" s="52"/>
      <c r="Z526" s="37"/>
      <c r="AA526" s="18"/>
      <c r="AB526" s="18"/>
      <c r="AC526" s="18"/>
    </row>
    <row r="527" spans="23:29" customFormat="1" x14ac:dyDescent="0.25">
      <c r="W527" s="37"/>
      <c r="X527" s="52"/>
      <c r="Y527" s="52"/>
      <c r="Z527" s="37"/>
      <c r="AA527" s="18"/>
      <c r="AB527" s="18"/>
      <c r="AC527" s="18"/>
    </row>
    <row r="528" spans="23:29" customFormat="1" x14ac:dyDescent="0.25">
      <c r="W528" s="37"/>
      <c r="X528" s="52"/>
      <c r="Y528" s="52"/>
      <c r="Z528" s="37"/>
      <c r="AA528" s="18"/>
      <c r="AB528" s="18"/>
      <c r="AC528" s="18"/>
    </row>
    <row r="529" spans="23:29" customFormat="1" x14ac:dyDescent="0.25">
      <c r="W529" s="37"/>
      <c r="X529" s="52"/>
      <c r="Y529" s="52"/>
      <c r="Z529" s="37"/>
      <c r="AA529" s="18"/>
      <c r="AB529" s="18"/>
      <c r="AC529" s="18"/>
    </row>
    <row r="530" spans="23:29" customFormat="1" x14ac:dyDescent="0.25">
      <c r="W530" s="37"/>
      <c r="X530" s="52"/>
      <c r="Y530" s="52"/>
      <c r="Z530" s="37"/>
      <c r="AA530" s="18"/>
      <c r="AB530" s="18"/>
      <c r="AC530" s="18"/>
    </row>
    <row r="531" spans="23:29" customFormat="1" x14ac:dyDescent="0.25">
      <c r="W531" s="37"/>
      <c r="X531" s="52"/>
      <c r="Y531" s="52"/>
      <c r="Z531" s="37"/>
      <c r="AA531" s="18"/>
      <c r="AB531" s="18"/>
      <c r="AC531" s="18"/>
    </row>
    <row r="532" spans="23:29" customFormat="1" x14ac:dyDescent="0.25">
      <c r="W532" s="37"/>
      <c r="X532" s="52"/>
      <c r="Y532" s="52"/>
      <c r="Z532" s="37"/>
      <c r="AA532" s="18"/>
      <c r="AB532" s="18"/>
      <c r="AC532" s="18"/>
    </row>
    <row r="533" spans="23:29" customFormat="1" x14ac:dyDescent="0.25">
      <c r="W533" s="37"/>
      <c r="X533" s="52"/>
      <c r="Y533" s="52"/>
      <c r="Z533" s="37"/>
      <c r="AA533" s="18"/>
      <c r="AB533" s="18"/>
      <c r="AC533" s="18"/>
    </row>
    <row r="534" spans="23:29" customFormat="1" x14ac:dyDescent="0.25">
      <c r="W534" s="37"/>
      <c r="X534" s="52"/>
      <c r="Y534" s="52"/>
      <c r="Z534" s="37"/>
      <c r="AA534" s="18"/>
      <c r="AB534" s="18"/>
      <c r="AC534" s="18"/>
    </row>
    <row r="535" spans="23:29" customFormat="1" x14ac:dyDescent="0.25">
      <c r="W535" s="37"/>
      <c r="X535" s="52"/>
      <c r="Y535" s="52"/>
      <c r="Z535" s="37"/>
      <c r="AA535" s="18"/>
      <c r="AB535" s="18"/>
      <c r="AC535" s="18"/>
    </row>
    <row r="536" spans="23:29" customFormat="1" x14ac:dyDescent="0.25">
      <c r="W536" s="37"/>
      <c r="X536" s="52"/>
      <c r="Y536" s="52"/>
      <c r="Z536" s="37"/>
      <c r="AA536" s="18"/>
      <c r="AB536" s="18"/>
      <c r="AC536" s="18"/>
    </row>
    <row r="537" spans="23:29" customFormat="1" x14ac:dyDescent="0.25">
      <c r="W537" s="37"/>
      <c r="X537" s="52"/>
      <c r="Y537" s="52"/>
      <c r="Z537" s="37"/>
      <c r="AA537" s="18"/>
      <c r="AB537" s="18"/>
      <c r="AC537" s="18"/>
    </row>
    <row r="538" spans="23:29" customFormat="1" x14ac:dyDescent="0.25">
      <c r="W538" s="37"/>
      <c r="X538" s="52"/>
      <c r="Y538" s="52"/>
      <c r="Z538" s="37"/>
      <c r="AA538" s="18"/>
      <c r="AB538" s="18"/>
      <c r="AC538" s="18"/>
    </row>
    <row r="539" spans="23:29" customFormat="1" x14ac:dyDescent="0.25">
      <c r="W539" s="37"/>
      <c r="X539" s="52"/>
      <c r="Y539" s="52"/>
      <c r="Z539" s="37"/>
      <c r="AA539" s="18"/>
      <c r="AB539" s="18"/>
      <c r="AC539" s="18"/>
    </row>
    <row r="540" spans="23:29" customFormat="1" x14ac:dyDescent="0.25">
      <c r="W540" s="37"/>
      <c r="X540" s="52"/>
      <c r="Y540" s="52"/>
      <c r="Z540" s="37"/>
      <c r="AA540" s="18"/>
      <c r="AB540" s="18"/>
      <c r="AC540" s="18"/>
    </row>
    <row r="541" spans="23:29" customFormat="1" x14ac:dyDescent="0.25">
      <c r="W541" s="37"/>
      <c r="X541" s="52"/>
      <c r="Y541" s="52"/>
      <c r="Z541" s="37"/>
      <c r="AA541" s="18"/>
      <c r="AB541" s="18"/>
      <c r="AC541" s="18"/>
    </row>
    <row r="542" spans="23:29" customFormat="1" x14ac:dyDescent="0.25">
      <c r="W542" s="37"/>
      <c r="X542" s="52"/>
      <c r="Y542" s="52"/>
      <c r="Z542" s="37"/>
      <c r="AA542" s="18"/>
      <c r="AB542" s="18"/>
      <c r="AC542" s="18"/>
    </row>
    <row r="543" spans="23:29" customFormat="1" x14ac:dyDescent="0.25">
      <c r="W543" s="37"/>
      <c r="X543" s="52"/>
      <c r="Y543" s="52"/>
      <c r="Z543" s="37"/>
      <c r="AA543" s="18"/>
      <c r="AB543" s="18"/>
      <c r="AC543" s="18"/>
    </row>
    <row r="544" spans="23:29" customFormat="1" x14ac:dyDescent="0.25">
      <c r="W544" s="37"/>
      <c r="X544" s="52"/>
      <c r="Y544" s="52"/>
      <c r="Z544" s="37"/>
      <c r="AA544" s="18"/>
      <c r="AB544" s="18"/>
      <c r="AC544" s="18"/>
    </row>
    <row r="545" spans="23:29" customFormat="1" x14ac:dyDescent="0.25">
      <c r="W545" s="37"/>
      <c r="X545" s="52"/>
      <c r="Y545" s="52"/>
      <c r="Z545" s="37"/>
      <c r="AA545" s="18"/>
      <c r="AB545" s="18"/>
      <c r="AC545" s="18"/>
    </row>
    <row r="546" spans="23:29" customFormat="1" x14ac:dyDescent="0.25">
      <c r="W546" s="37"/>
      <c r="X546" s="52"/>
      <c r="Y546" s="52"/>
      <c r="Z546" s="37"/>
      <c r="AA546" s="18"/>
      <c r="AB546" s="18"/>
      <c r="AC546" s="18"/>
    </row>
    <row r="547" spans="23:29" customFormat="1" x14ac:dyDescent="0.25">
      <c r="W547" s="37"/>
      <c r="X547" s="52"/>
      <c r="Y547" s="52"/>
      <c r="Z547" s="37"/>
      <c r="AA547" s="18"/>
      <c r="AB547" s="18"/>
      <c r="AC547" s="18"/>
    </row>
    <row r="548" spans="23:29" customFormat="1" x14ac:dyDescent="0.25">
      <c r="W548" s="37"/>
      <c r="X548" s="52"/>
      <c r="Y548" s="52"/>
      <c r="Z548" s="37"/>
      <c r="AA548" s="18"/>
      <c r="AB548" s="18"/>
      <c r="AC548" s="18"/>
    </row>
    <row r="549" spans="23:29" customFormat="1" x14ac:dyDescent="0.25">
      <c r="W549" s="37"/>
      <c r="X549" s="52"/>
      <c r="Y549" s="52"/>
      <c r="Z549" s="37"/>
      <c r="AA549" s="18"/>
      <c r="AB549" s="18"/>
      <c r="AC549" s="18"/>
    </row>
    <row r="550" spans="23:29" customFormat="1" x14ac:dyDescent="0.25">
      <c r="W550" s="37"/>
      <c r="X550" s="52"/>
      <c r="Y550" s="52"/>
      <c r="Z550" s="37"/>
      <c r="AA550" s="18"/>
      <c r="AB550" s="18"/>
      <c r="AC550" s="18"/>
    </row>
    <row r="551" spans="23:29" customFormat="1" x14ac:dyDescent="0.25">
      <c r="W551" s="37"/>
      <c r="X551" s="52"/>
      <c r="Y551" s="52"/>
      <c r="Z551" s="37"/>
      <c r="AA551" s="18"/>
      <c r="AB551" s="18"/>
      <c r="AC551" s="18"/>
    </row>
    <row r="552" spans="23:29" customFormat="1" x14ac:dyDescent="0.25">
      <c r="W552" s="37"/>
      <c r="X552" s="52"/>
      <c r="Y552" s="52"/>
      <c r="Z552" s="37"/>
      <c r="AA552" s="18"/>
      <c r="AB552" s="18"/>
      <c r="AC552" s="18"/>
    </row>
    <row r="553" spans="23:29" customFormat="1" x14ac:dyDescent="0.25">
      <c r="W553" s="37"/>
      <c r="X553" s="52"/>
      <c r="Y553" s="52"/>
      <c r="Z553" s="37"/>
      <c r="AA553" s="18"/>
      <c r="AB553" s="18"/>
      <c r="AC553" s="18"/>
    </row>
    <row r="554" spans="23:29" customFormat="1" x14ac:dyDescent="0.25">
      <c r="W554" s="37"/>
      <c r="X554" s="52"/>
      <c r="Y554" s="52"/>
      <c r="Z554" s="37"/>
      <c r="AA554" s="18"/>
      <c r="AB554" s="18"/>
      <c r="AC554" s="18"/>
    </row>
    <row r="555" spans="23:29" customFormat="1" x14ac:dyDescent="0.25">
      <c r="W555" s="37"/>
      <c r="X555" s="52"/>
      <c r="Y555" s="52"/>
      <c r="Z555" s="37"/>
      <c r="AA555" s="18"/>
      <c r="AB555" s="18"/>
      <c r="AC555" s="18"/>
    </row>
    <row r="556" spans="23:29" customFormat="1" x14ac:dyDescent="0.25">
      <c r="W556" s="37"/>
      <c r="X556" s="52"/>
      <c r="Y556" s="52"/>
      <c r="Z556" s="37"/>
      <c r="AA556" s="18"/>
      <c r="AB556" s="18"/>
      <c r="AC556" s="18"/>
    </row>
    <row r="557" spans="23:29" customFormat="1" x14ac:dyDescent="0.25">
      <c r="W557" s="37"/>
      <c r="X557" s="52"/>
      <c r="Y557" s="52"/>
      <c r="Z557" s="37"/>
      <c r="AA557" s="18"/>
      <c r="AB557" s="18"/>
      <c r="AC557" s="18"/>
    </row>
    <row r="558" spans="23:29" customFormat="1" x14ac:dyDescent="0.25">
      <c r="W558" s="37"/>
      <c r="X558" s="52"/>
      <c r="Y558" s="52"/>
      <c r="Z558" s="37"/>
      <c r="AA558" s="18"/>
      <c r="AB558" s="18"/>
      <c r="AC558" s="18"/>
    </row>
    <row r="559" spans="23:29" customFormat="1" x14ac:dyDescent="0.25">
      <c r="W559" s="37"/>
      <c r="X559" s="52"/>
      <c r="Y559" s="52"/>
      <c r="Z559" s="37"/>
      <c r="AA559" s="18"/>
      <c r="AB559" s="18"/>
      <c r="AC559" s="18"/>
    </row>
    <row r="560" spans="23:29" customFormat="1" x14ac:dyDescent="0.25">
      <c r="W560" s="37"/>
      <c r="X560" s="52"/>
      <c r="Y560" s="52"/>
      <c r="Z560" s="37"/>
      <c r="AA560" s="18"/>
      <c r="AB560" s="18"/>
      <c r="AC560" s="18"/>
    </row>
    <row r="561" spans="23:29" customFormat="1" x14ac:dyDescent="0.25">
      <c r="W561" s="37"/>
      <c r="X561" s="52"/>
      <c r="Y561" s="52"/>
      <c r="Z561" s="37"/>
      <c r="AA561" s="18"/>
      <c r="AB561" s="18"/>
      <c r="AC561" s="18"/>
    </row>
    <row r="562" spans="23:29" customFormat="1" x14ac:dyDescent="0.25">
      <c r="W562" s="37"/>
      <c r="X562" s="52"/>
      <c r="Y562" s="52"/>
      <c r="Z562" s="37"/>
      <c r="AA562" s="18"/>
      <c r="AB562" s="18"/>
      <c r="AC562" s="18"/>
    </row>
    <row r="563" spans="23:29" customFormat="1" x14ac:dyDescent="0.25">
      <c r="W563" s="37"/>
      <c r="X563" s="52"/>
      <c r="Y563" s="52"/>
      <c r="Z563" s="37"/>
      <c r="AA563" s="18"/>
      <c r="AB563" s="18"/>
      <c r="AC563" s="18"/>
    </row>
    <row r="564" spans="23:29" customFormat="1" x14ac:dyDescent="0.25">
      <c r="W564" s="37"/>
      <c r="X564" s="52"/>
      <c r="Y564" s="52"/>
      <c r="Z564" s="37"/>
      <c r="AA564" s="18"/>
      <c r="AB564" s="18"/>
      <c r="AC564" s="18"/>
    </row>
    <row r="565" spans="23:29" customFormat="1" x14ac:dyDescent="0.25">
      <c r="W565" s="37"/>
      <c r="X565" s="52"/>
      <c r="Y565" s="52"/>
      <c r="Z565" s="37"/>
      <c r="AA565" s="18"/>
      <c r="AB565" s="18"/>
      <c r="AC565" s="18"/>
    </row>
    <row r="566" spans="23:29" customFormat="1" x14ac:dyDescent="0.25">
      <c r="W566" s="37"/>
      <c r="X566" s="52"/>
      <c r="Y566" s="52"/>
      <c r="Z566" s="37"/>
      <c r="AA566" s="18"/>
      <c r="AB566" s="18"/>
      <c r="AC566" s="18"/>
    </row>
    <row r="567" spans="23:29" customFormat="1" x14ac:dyDescent="0.25">
      <c r="W567" s="37"/>
      <c r="X567" s="52"/>
      <c r="Y567" s="52"/>
      <c r="Z567" s="37"/>
      <c r="AA567" s="18"/>
      <c r="AB567" s="18"/>
      <c r="AC567" s="18"/>
    </row>
    <row r="568" spans="23:29" customFormat="1" x14ac:dyDescent="0.25">
      <c r="W568" s="37"/>
      <c r="X568" s="52"/>
      <c r="Y568" s="52"/>
      <c r="Z568" s="37"/>
      <c r="AA568" s="18"/>
      <c r="AB568" s="18"/>
      <c r="AC568" s="18"/>
    </row>
    <row r="569" spans="23:29" customFormat="1" x14ac:dyDescent="0.25">
      <c r="W569" s="37"/>
      <c r="X569" s="52"/>
      <c r="Y569" s="52"/>
      <c r="Z569" s="37"/>
      <c r="AA569" s="18"/>
      <c r="AB569" s="18"/>
      <c r="AC569" s="18"/>
    </row>
    <row r="570" spans="23:29" customFormat="1" x14ac:dyDescent="0.25">
      <c r="W570" s="37"/>
      <c r="X570" s="52"/>
      <c r="Y570" s="52"/>
      <c r="Z570" s="37"/>
      <c r="AA570" s="18"/>
      <c r="AB570" s="18"/>
      <c r="AC570" s="18"/>
    </row>
    <row r="571" spans="23:29" customFormat="1" x14ac:dyDescent="0.25">
      <c r="W571" s="37"/>
      <c r="X571" s="52"/>
      <c r="Y571" s="52"/>
      <c r="Z571" s="37"/>
      <c r="AA571" s="18"/>
      <c r="AB571" s="18"/>
      <c r="AC571" s="18"/>
    </row>
    <row r="572" spans="23:29" customFormat="1" x14ac:dyDescent="0.25">
      <c r="W572" s="37"/>
      <c r="X572" s="52"/>
      <c r="Y572" s="52"/>
      <c r="Z572" s="37"/>
      <c r="AA572" s="18"/>
      <c r="AB572" s="18"/>
      <c r="AC572" s="18"/>
    </row>
    <row r="573" spans="23:29" customFormat="1" x14ac:dyDescent="0.25">
      <c r="W573" s="37"/>
      <c r="X573" s="52"/>
      <c r="Y573" s="52"/>
      <c r="Z573" s="37"/>
      <c r="AA573" s="18"/>
      <c r="AB573" s="18"/>
      <c r="AC573" s="18"/>
    </row>
    <row r="574" spans="23:29" customFormat="1" x14ac:dyDescent="0.25">
      <c r="W574" s="37"/>
      <c r="X574" s="52"/>
      <c r="Y574" s="52"/>
      <c r="Z574" s="37"/>
      <c r="AA574" s="18"/>
      <c r="AB574" s="18"/>
      <c r="AC574" s="18"/>
    </row>
    <row r="575" spans="23:29" customFormat="1" x14ac:dyDescent="0.25">
      <c r="W575" s="37"/>
      <c r="X575" s="52"/>
      <c r="Y575" s="52"/>
      <c r="Z575" s="37"/>
      <c r="AA575" s="18"/>
      <c r="AB575" s="18"/>
      <c r="AC575" s="18"/>
    </row>
    <row r="576" spans="23:29" customFormat="1" x14ac:dyDescent="0.25">
      <c r="W576" s="37"/>
      <c r="X576" s="52"/>
      <c r="Y576" s="52"/>
      <c r="Z576" s="37"/>
      <c r="AA576" s="18"/>
      <c r="AB576" s="18"/>
      <c r="AC576" s="18"/>
    </row>
    <row r="577" spans="23:29" customFormat="1" x14ac:dyDescent="0.25">
      <c r="W577" s="37"/>
      <c r="X577" s="52"/>
      <c r="Y577" s="52"/>
      <c r="Z577" s="37"/>
      <c r="AA577" s="18"/>
      <c r="AB577" s="18"/>
      <c r="AC577" s="18"/>
    </row>
    <row r="578" spans="23:29" customFormat="1" x14ac:dyDescent="0.25">
      <c r="W578" s="37"/>
      <c r="X578" s="52"/>
      <c r="Y578" s="52"/>
      <c r="Z578" s="37"/>
      <c r="AA578" s="18"/>
      <c r="AB578" s="18"/>
      <c r="AC578" s="18"/>
    </row>
    <row r="579" spans="23:29" customFormat="1" x14ac:dyDescent="0.25">
      <c r="W579" s="37"/>
      <c r="X579" s="52"/>
      <c r="Y579" s="52"/>
      <c r="Z579" s="37"/>
      <c r="AA579" s="18"/>
      <c r="AB579" s="18"/>
      <c r="AC579" s="18"/>
    </row>
    <row r="580" spans="23:29" customFormat="1" x14ac:dyDescent="0.25">
      <c r="W580" s="37"/>
      <c r="X580" s="52"/>
      <c r="Y580" s="52"/>
      <c r="Z580" s="37"/>
      <c r="AA580" s="18"/>
      <c r="AB580" s="18"/>
      <c r="AC580" s="18"/>
    </row>
    <row r="581" spans="23:29" customFormat="1" x14ac:dyDescent="0.25">
      <c r="W581" s="37"/>
      <c r="X581" s="52"/>
      <c r="Y581" s="52"/>
      <c r="Z581" s="37"/>
      <c r="AA581" s="18"/>
      <c r="AB581" s="18"/>
      <c r="AC581" s="18"/>
    </row>
    <row r="582" spans="23:29" customFormat="1" x14ac:dyDescent="0.25">
      <c r="W582" s="37"/>
      <c r="X582" s="52"/>
      <c r="Y582" s="52"/>
      <c r="Z582" s="37"/>
      <c r="AA582" s="18"/>
      <c r="AB582" s="18"/>
      <c r="AC582" s="18"/>
    </row>
    <row r="583" spans="23:29" customFormat="1" x14ac:dyDescent="0.25">
      <c r="W583" s="37"/>
      <c r="X583" s="52"/>
      <c r="Y583" s="52"/>
      <c r="Z583" s="37"/>
      <c r="AA583" s="18"/>
      <c r="AB583" s="18"/>
      <c r="AC583" s="18"/>
    </row>
    <row r="584" spans="23:29" customFormat="1" x14ac:dyDescent="0.25">
      <c r="W584" s="37"/>
      <c r="X584" s="52"/>
      <c r="Y584" s="52"/>
      <c r="Z584" s="37"/>
      <c r="AA584" s="18"/>
      <c r="AB584" s="18"/>
      <c r="AC584" s="18"/>
    </row>
    <row r="585" spans="23:29" customFormat="1" x14ac:dyDescent="0.25">
      <c r="W585" s="37"/>
      <c r="X585" s="52"/>
      <c r="Y585" s="52"/>
      <c r="Z585" s="37"/>
      <c r="AA585" s="18"/>
      <c r="AB585" s="18"/>
      <c r="AC585" s="18"/>
    </row>
    <row r="586" spans="23:29" customFormat="1" x14ac:dyDescent="0.25">
      <c r="W586" s="37"/>
      <c r="X586" s="52"/>
      <c r="Y586" s="52"/>
      <c r="Z586" s="37"/>
      <c r="AA586" s="18"/>
      <c r="AB586" s="18"/>
      <c r="AC586" s="18"/>
    </row>
    <row r="587" spans="23:29" customFormat="1" x14ac:dyDescent="0.25">
      <c r="W587" s="37"/>
      <c r="X587" s="52"/>
      <c r="Y587" s="52"/>
      <c r="Z587" s="37"/>
      <c r="AA587" s="18"/>
      <c r="AB587" s="18"/>
      <c r="AC587" s="18"/>
    </row>
    <row r="588" spans="23:29" customFormat="1" x14ac:dyDescent="0.25">
      <c r="W588" s="37"/>
      <c r="X588" s="52"/>
      <c r="Y588" s="52"/>
      <c r="Z588" s="37"/>
      <c r="AA588" s="18"/>
      <c r="AB588" s="18"/>
      <c r="AC588" s="18"/>
    </row>
    <row r="589" spans="23:29" customFormat="1" x14ac:dyDescent="0.25">
      <c r="W589" s="37"/>
      <c r="X589" s="52"/>
      <c r="Y589" s="52"/>
      <c r="Z589" s="37"/>
      <c r="AA589" s="18"/>
      <c r="AB589" s="18"/>
      <c r="AC589" s="18"/>
    </row>
    <row r="590" spans="23:29" customFormat="1" x14ac:dyDescent="0.25">
      <c r="W590" s="37"/>
      <c r="X590" s="52"/>
      <c r="Y590" s="52"/>
      <c r="Z590" s="37"/>
      <c r="AA590" s="18"/>
      <c r="AB590" s="18"/>
      <c r="AC590" s="18"/>
    </row>
    <row r="591" spans="23:29" customFormat="1" x14ac:dyDescent="0.25">
      <c r="W591" s="37"/>
      <c r="X591" s="52"/>
      <c r="Y591" s="52"/>
      <c r="Z591" s="37"/>
      <c r="AA591" s="18"/>
      <c r="AB591" s="18"/>
      <c r="AC591" s="18"/>
    </row>
    <row r="592" spans="23:29" customFormat="1" x14ac:dyDescent="0.25">
      <c r="W592" s="37"/>
      <c r="X592" s="52"/>
      <c r="Y592" s="52"/>
      <c r="Z592" s="37"/>
      <c r="AA592" s="18"/>
      <c r="AB592" s="18"/>
      <c r="AC592" s="18"/>
    </row>
    <row r="593" spans="23:29" customFormat="1" x14ac:dyDescent="0.25">
      <c r="W593" s="37"/>
      <c r="X593" s="52"/>
      <c r="Y593" s="52"/>
      <c r="Z593" s="37"/>
      <c r="AA593" s="18"/>
      <c r="AB593" s="18"/>
      <c r="AC593" s="18"/>
    </row>
    <row r="594" spans="23:29" customFormat="1" x14ac:dyDescent="0.25">
      <c r="W594" s="37"/>
      <c r="X594" s="52"/>
      <c r="Y594" s="52"/>
      <c r="Z594" s="37"/>
      <c r="AA594" s="18"/>
      <c r="AB594" s="18"/>
      <c r="AC594" s="18"/>
    </row>
    <row r="595" spans="23:29" customFormat="1" x14ac:dyDescent="0.25">
      <c r="W595" s="37"/>
      <c r="X595" s="52"/>
      <c r="Y595" s="52"/>
      <c r="Z595" s="37"/>
      <c r="AA595" s="18"/>
      <c r="AB595" s="18"/>
      <c r="AC595" s="18"/>
    </row>
    <row r="596" spans="23:29" customFormat="1" x14ac:dyDescent="0.25">
      <c r="W596" s="37"/>
      <c r="X596" s="52"/>
      <c r="Y596" s="52"/>
      <c r="Z596" s="37"/>
      <c r="AA596" s="18"/>
      <c r="AB596" s="18"/>
      <c r="AC596" s="18"/>
    </row>
    <row r="597" spans="23:29" customFormat="1" x14ac:dyDescent="0.25">
      <c r="W597" s="37"/>
      <c r="X597" s="52"/>
      <c r="Y597" s="52"/>
      <c r="Z597" s="37"/>
      <c r="AA597" s="18"/>
      <c r="AB597" s="18"/>
      <c r="AC597" s="18"/>
    </row>
    <row r="598" spans="23:29" customFormat="1" x14ac:dyDescent="0.25">
      <c r="W598" s="37"/>
      <c r="X598" s="52"/>
      <c r="Y598" s="52"/>
      <c r="Z598" s="37"/>
      <c r="AA598" s="18"/>
      <c r="AB598" s="18"/>
      <c r="AC598" s="18"/>
    </row>
    <row r="599" spans="23:29" customFormat="1" x14ac:dyDescent="0.25">
      <c r="W599" s="37"/>
      <c r="X599" s="52"/>
      <c r="Y599" s="52"/>
      <c r="Z599" s="37"/>
      <c r="AA599" s="18"/>
      <c r="AB599" s="18"/>
      <c r="AC599" s="18"/>
    </row>
    <row r="600" spans="23:29" customFormat="1" x14ac:dyDescent="0.25">
      <c r="W600" s="37"/>
      <c r="X600" s="52"/>
      <c r="Y600" s="52"/>
      <c r="Z600" s="37"/>
      <c r="AA600" s="18"/>
      <c r="AB600" s="18"/>
      <c r="AC600" s="18"/>
    </row>
    <row r="601" spans="23:29" customFormat="1" x14ac:dyDescent="0.25">
      <c r="W601" s="37"/>
      <c r="X601" s="52"/>
      <c r="Y601" s="52"/>
      <c r="Z601" s="37"/>
      <c r="AA601" s="18"/>
      <c r="AB601" s="18"/>
      <c r="AC601" s="18"/>
    </row>
    <row r="602" spans="23:29" customFormat="1" x14ac:dyDescent="0.25">
      <c r="W602" s="37"/>
      <c r="X602" s="52"/>
      <c r="Y602" s="52"/>
      <c r="Z602" s="37"/>
      <c r="AA602" s="18"/>
      <c r="AB602" s="18"/>
      <c r="AC602" s="18"/>
    </row>
    <row r="603" spans="23:29" customFormat="1" x14ac:dyDescent="0.25">
      <c r="W603" s="37"/>
      <c r="X603" s="52"/>
      <c r="Y603" s="52"/>
      <c r="Z603" s="37"/>
      <c r="AA603" s="18"/>
      <c r="AB603" s="18"/>
      <c r="AC603" s="18"/>
    </row>
    <row r="604" spans="23:29" customFormat="1" x14ac:dyDescent="0.25">
      <c r="W604" s="37"/>
      <c r="X604" s="52"/>
      <c r="Y604" s="52"/>
      <c r="Z604" s="37"/>
      <c r="AA604" s="18"/>
      <c r="AB604" s="18"/>
      <c r="AC604" s="18"/>
    </row>
    <row r="605" spans="23:29" customFormat="1" x14ac:dyDescent="0.25">
      <c r="W605" s="37"/>
      <c r="X605" s="52"/>
      <c r="Y605" s="52"/>
      <c r="Z605" s="37"/>
      <c r="AA605" s="18"/>
      <c r="AB605" s="18"/>
      <c r="AC605" s="18"/>
    </row>
    <row r="606" spans="23:29" customFormat="1" x14ac:dyDescent="0.25">
      <c r="W606" s="37"/>
      <c r="X606" s="52"/>
      <c r="Y606" s="52"/>
      <c r="Z606" s="37"/>
      <c r="AA606" s="18"/>
      <c r="AB606" s="18"/>
      <c r="AC606" s="18"/>
    </row>
    <row r="607" spans="23:29" customFormat="1" x14ac:dyDescent="0.25">
      <c r="W607" s="37"/>
      <c r="X607" s="52"/>
      <c r="Y607" s="52"/>
      <c r="Z607" s="37"/>
      <c r="AA607" s="18"/>
      <c r="AB607" s="18"/>
      <c r="AC607" s="18"/>
    </row>
    <row r="608" spans="23:29" customFormat="1" x14ac:dyDescent="0.25">
      <c r="W608" s="37"/>
      <c r="X608" s="52"/>
      <c r="Y608" s="52"/>
      <c r="Z608" s="37"/>
      <c r="AA608" s="18"/>
      <c r="AB608" s="18"/>
      <c r="AC608" s="18"/>
    </row>
    <row r="609" spans="23:29" customFormat="1" x14ac:dyDescent="0.25">
      <c r="W609" s="37"/>
      <c r="X609" s="52"/>
      <c r="Y609" s="52"/>
      <c r="Z609" s="37"/>
      <c r="AA609" s="18"/>
      <c r="AB609" s="18"/>
      <c r="AC609" s="18"/>
    </row>
    <row r="610" spans="23:29" customFormat="1" x14ac:dyDescent="0.25">
      <c r="W610" s="37"/>
      <c r="X610" s="52"/>
      <c r="Y610" s="52"/>
      <c r="Z610" s="37"/>
      <c r="AA610" s="18"/>
      <c r="AB610" s="18"/>
      <c r="AC610" s="18"/>
    </row>
    <row r="611" spans="23:29" customFormat="1" x14ac:dyDescent="0.25">
      <c r="W611" s="37"/>
      <c r="X611" s="52"/>
      <c r="Y611" s="52"/>
      <c r="Z611" s="37"/>
      <c r="AA611" s="18"/>
      <c r="AB611" s="18"/>
      <c r="AC611" s="18"/>
    </row>
    <row r="612" spans="23:29" customFormat="1" x14ac:dyDescent="0.25">
      <c r="W612" s="37"/>
      <c r="X612" s="52"/>
      <c r="Y612" s="52"/>
      <c r="Z612" s="37"/>
      <c r="AA612" s="18"/>
      <c r="AB612" s="18"/>
      <c r="AC612" s="18"/>
    </row>
    <row r="613" spans="23:29" customFormat="1" x14ac:dyDescent="0.25">
      <c r="W613" s="37"/>
      <c r="X613" s="52"/>
      <c r="Y613" s="52"/>
      <c r="Z613" s="37"/>
      <c r="AA613" s="18"/>
      <c r="AB613" s="18"/>
      <c r="AC613" s="18"/>
    </row>
    <row r="614" spans="23:29" customFormat="1" x14ac:dyDescent="0.25">
      <c r="W614" s="37"/>
      <c r="X614" s="52"/>
      <c r="Y614" s="52"/>
      <c r="Z614" s="37"/>
      <c r="AA614" s="18"/>
      <c r="AB614" s="18"/>
      <c r="AC614" s="18"/>
    </row>
    <row r="615" spans="23:29" customFormat="1" x14ac:dyDescent="0.25">
      <c r="W615" s="37"/>
      <c r="X615" s="52"/>
      <c r="Y615" s="52"/>
      <c r="Z615" s="37"/>
      <c r="AA615" s="18"/>
      <c r="AB615" s="18"/>
      <c r="AC615" s="18"/>
    </row>
    <row r="616" spans="23:29" customFormat="1" x14ac:dyDescent="0.25">
      <c r="W616" s="37"/>
      <c r="X616" s="52"/>
      <c r="Y616" s="52"/>
      <c r="Z616" s="37"/>
      <c r="AA616" s="18"/>
      <c r="AB616" s="18"/>
      <c r="AC616" s="18"/>
    </row>
    <row r="617" spans="23:29" customFormat="1" x14ac:dyDescent="0.25">
      <c r="W617" s="37"/>
      <c r="X617" s="52"/>
      <c r="Y617" s="52"/>
      <c r="Z617" s="37"/>
      <c r="AA617" s="18"/>
      <c r="AB617" s="18"/>
      <c r="AC617" s="18"/>
    </row>
    <row r="618" spans="23:29" customFormat="1" x14ac:dyDescent="0.25">
      <c r="W618" s="37"/>
      <c r="X618" s="52"/>
      <c r="Y618" s="52"/>
      <c r="Z618" s="37"/>
      <c r="AA618" s="18"/>
      <c r="AB618" s="18"/>
      <c r="AC618" s="18"/>
    </row>
    <row r="619" spans="23:29" customFormat="1" x14ac:dyDescent="0.25">
      <c r="W619" s="37"/>
      <c r="X619" s="52"/>
      <c r="Y619" s="52"/>
      <c r="Z619" s="37"/>
      <c r="AA619" s="18"/>
      <c r="AB619" s="18"/>
      <c r="AC619" s="18"/>
    </row>
    <row r="620" spans="23:29" customFormat="1" x14ac:dyDescent="0.25">
      <c r="W620" s="37"/>
      <c r="X620" s="52"/>
      <c r="Y620" s="52"/>
      <c r="Z620" s="37"/>
      <c r="AA620" s="18"/>
      <c r="AB620" s="18"/>
      <c r="AC620" s="18"/>
    </row>
    <row r="621" spans="23:29" customFormat="1" x14ac:dyDescent="0.25">
      <c r="W621" s="37"/>
      <c r="X621" s="52"/>
      <c r="Y621" s="52"/>
      <c r="Z621" s="37"/>
      <c r="AA621" s="18"/>
      <c r="AB621" s="18"/>
      <c r="AC621" s="18"/>
    </row>
    <row r="622" spans="23:29" customFormat="1" x14ac:dyDescent="0.25">
      <c r="W622" s="37"/>
      <c r="X622" s="52"/>
      <c r="Y622" s="52"/>
      <c r="Z622" s="37"/>
      <c r="AA622" s="18"/>
      <c r="AB622" s="18"/>
      <c r="AC622" s="18"/>
    </row>
    <row r="623" spans="23:29" customFormat="1" x14ac:dyDescent="0.25">
      <c r="W623" s="37"/>
      <c r="X623" s="52"/>
      <c r="Y623" s="52"/>
      <c r="Z623" s="37"/>
      <c r="AA623" s="18"/>
      <c r="AB623" s="18"/>
      <c r="AC623" s="18"/>
    </row>
    <row r="624" spans="23:29" customFormat="1" x14ac:dyDescent="0.25">
      <c r="W624" s="37"/>
      <c r="X624" s="52"/>
      <c r="Y624" s="52"/>
      <c r="Z624" s="37"/>
      <c r="AA624" s="18"/>
      <c r="AB624" s="18"/>
      <c r="AC624" s="18"/>
    </row>
    <row r="625" spans="23:29" customFormat="1" x14ac:dyDescent="0.25">
      <c r="W625" s="37"/>
      <c r="X625" s="52"/>
      <c r="Y625" s="52"/>
      <c r="Z625" s="37"/>
      <c r="AA625" s="18"/>
      <c r="AB625" s="18"/>
      <c r="AC625" s="18"/>
    </row>
    <row r="626" spans="23:29" customFormat="1" x14ac:dyDescent="0.25">
      <c r="W626" s="37"/>
      <c r="X626" s="52"/>
      <c r="Y626" s="52"/>
      <c r="Z626" s="37"/>
      <c r="AA626" s="18"/>
      <c r="AB626" s="18"/>
      <c r="AC626" s="18"/>
    </row>
    <row r="627" spans="23:29" customFormat="1" x14ac:dyDescent="0.25">
      <c r="W627" s="37"/>
      <c r="X627" s="52"/>
      <c r="Y627" s="52"/>
      <c r="Z627" s="37"/>
      <c r="AA627" s="18"/>
      <c r="AB627" s="18"/>
      <c r="AC627" s="18"/>
    </row>
    <row r="628" spans="23:29" customFormat="1" x14ac:dyDescent="0.25">
      <c r="W628" s="37"/>
      <c r="X628" s="52"/>
      <c r="Y628" s="52"/>
      <c r="Z628" s="37"/>
      <c r="AA628" s="18"/>
      <c r="AB628" s="18"/>
      <c r="AC628" s="18"/>
    </row>
    <row r="629" spans="23:29" customFormat="1" x14ac:dyDescent="0.25">
      <c r="W629" s="37"/>
      <c r="X629" s="52"/>
      <c r="Y629" s="52"/>
      <c r="Z629" s="37"/>
      <c r="AA629" s="18"/>
      <c r="AB629" s="18"/>
      <c r="AC629" s="18"/>
    </row>
    <row r="630" spans="23:29" customFormat="1" x14ac:dyDescent="0.25">
      <c r="W630" s="37"/>
      <c r="X630" s="52"/>
      <c r="Y630" s="52"/>
      <c r="Z630" s="37"/>
      <c r="AA630" s="18"/>
      <c r="AB630" s="18"/>
      <c r="AC630" s="18"/>
    </row>
    <row r="631" spans="23:29" customFormat="1" x14ac:dyDescent="0.25">
      <c r="W631" s="37"/>
      <c r="X631" s="52"/>
      <c r="Y631" s="52"/>
      <c r="Z631" s="37"/>
      <c r="AA631" s="18"/>
      <c r="AB631" s="18"/>
      <c r="AC631" s="18"/>
    </row>
    <row r="632" spans="23:29" customFormat="1" x14ac:dyDescent="0.25">
      <c r="W632" s="37"/>
      <c r="X632" s="52"/>
      <c r="Y632" s="52"/>
      <c r="Z632" s="37"/>
      <c r="AA632" s="18"/>
      <c r="AB632" s="18"/>
      <c r="AC632" s="18"/>
    </row>
    <row r="633" spans="23:29" customFormat="1" x14ac:dyDescent="0.25">
      <c r="W633" s="37"/>
      <c r="X633" s="52"/>
      <c r="Y633" s="52"/>
      <c r="Z633" s="37"/>
      <c r="AA633" s="18"/>
      <c r="AB633" s="18"/>
      <c r="AC633" s="18"/>
    </row>
    <row r="634" spans="23:29" customFormat="1" x14ac:dyDescent="0.25">
      <c r="W634" s="37"/>
      <c r="X634" s="52"/>
      <c r="Y634" s="52"/>
      <c r="Z634" s="37"/>
      <c r="AA634" s="18"/>
      <c r="AB634" s="18"/>
      <c r="AC634" s="18"/>
    </row>
    <row r="635" spans="23:29" customFormat="1" x14ac:dyDescent="0.25">
      <c r="W635" s="37"/>
      <c r="X635" s="52"/>
      <c r="Y635" s="52"/>
      <c r="Z635" s="37"/>
      <c r="AA635" s="18"/>
      <c r="AB635" s="18"/>
      <c r="AC635" s="18"/>
    </row>
    <row r="636" spans="23:29" customFormat="1" x14ac:dyDescent="0.25">
      <c r="W636" s="37"/>
      <c r="X636" s="52"/>
      <c r="Y636" s="52"/>
      <c r="Z636" s="37"/>
      <c r="AA636" s="18"/>
      <c r="AB636" s="18"/>
      <c r="AC636" s="18"/>
    </row>
    <row r="637" spans="23:29" customFormat="1" x14ac:dyDescent="0.25">
      <c r="W637" s="37"/>
      <c r="X637" s="52"/>
      <c r="Y637" s="52"/>
      <c r="Z637" s="37"/>
      <c r="AA637" s="18"/>
      <c r="AB637" s="18"/>
      <c r="AC637" s="18"/>
    </row>
    <row r="638" spans="23:29" customFormat="1" x14ac:dyDescent="0.25">
      <c r="W638" s="37"/>
      <c r="X638" s="52"/>
      <c r="Y638" s="52"/>
      <c r="Z638" s="37"/>
      <c r="AA638" s="18"/>
      <c r="AB638" s="18"/>
      <c r="AC638" s="18"/>
    </row>
    <row r="639" spans="23:29" customFormat="1" x14ac:dyDescent="0.25">
      <c r="W639" s="37"/>
      <c r="X639" s="52"/>
      <c r="Y639" s="52"/>
      <c r="Z639" s="37"/>
      <c r="AA639" s="18"/>
      <c r="AB639" s="18"/>
      <c r="AC639" s="18"/>
    </row>
    <row r="640" spans="23:29" customFormat="1" x14ac:dyDescent="0.25">
      <c r="W640" s="37"/>
      <c r="X640" s="52"/>
      <c r="Y640" s="52"/>
      <c r="Z640" s="37"/>
      <c r="AA640" s="18"/>
      <c r="AB640" s="18"/>
      <c r="AC640" s="18"/>
    </row>
    <row r="641" spans="23:29" customFormat="1" x14ac:dyDescent="0.25">
      <c r="W641" s="37"/>
      <c r="X641" s="52"/>
      <c r="Y641" s="52"/>
      <c r="Z641" s="37"/>
      <c r="AA641" s="18"/>
      <c r="AB641" s="18"/>
      <c r="AC641" s="18"/>
    </row>
    <row r="642" spans="23:29" customFormat="1" x14ac:dyDescent="0.25">
      <c r="W642" s="37"/>
      <c r="X642" s="52"/>
      <c r="Y642" s="52"/>
      <c r="Z642" s="37"/>
      <c r="AA642" s="18"/>
      <c r="AB642" s="18"/>
      <c r="AC642" s="18"/>
    </row>
    <row r="643" spans="23:29" customFormat="1" x14ac:dyDescent="0.25">
      <c r="W643" s="37"/>
      <c r="X643" s="52"/>
      <c r="Y643" s="52"/>
      <c r="Z643" s="37"/>
      <c r="AA643" s="18"/>
      <c r="AB643" s="18"/>
      <c r="AC643" s="18"/>
    </row>
    <row r="644" spans="23:29" customFormat="1" x14ac:dyDescent="0.25">
      <c r="W644" s="37"/>
      <c r="X644" s="52"/>
      <c r="Y644" s="52"/>
      <c r="Z644" s="37"/>
      <c r="AA644" s="18"/>
      <c r="AB644" s="18"/>
      <c r="AC644" s="18"/>
    </row>
    <row r="645" spans="23:29" customFormat="1" x14ac:dyDescent="0.25">
      <c r="W645" s="37"/>
      <c r="X645" s="52"/>
      <c r="Y645" s="52"/>
      <c r="Z645" s="37"/>
      <c r="AA645" s="18"/>
      <c r="AB645" s="18"/>
      <c r="AC645" s="18"/>
    </row>
    <row r="646" spans="23:29" customFormat="1" x14ac:dyDescent="0.25">
      <c r="W646" s="37"/>
      <c r="X646" s="52"/>
      <c r="Y646" s="52"/>
      <c r="Z646" s="37"/>
      <c r="AA646" s="18"/>
      <c r="AB646" s="18"/>
      <c r="AC646" s="18"/>
    </row>
    <row r="647" spans="23:29" customFormat="1" x14ac:dyDescent="0.25">
      <c r="W647" s="37"/>
      <c r="X647" s="52"/>
      <c r="Y647" s="52"/>
      <c r="Z647" s="37"/>
      <c r="AA647" s="18"/>
      <c r="AB647" s="18"/>
      <c r="AC647" s="18"/>
    </row>
    <row r="648" spans="23:29" customFormat="1" x14ac:dyDescent="0.25">
      <c r="W648" s="37"/>
      <c r="X648" s="52"/>
      <c r="Y648" s="52"/>
      <c r="Z648" s="37"/>
      <c r="AA648" s="18"/>
      <c r="AB648" s="18"/>
      <c r="AC648" s="18"/>
    </row>
    <row r="649" spans="23:29" customFormat="1" x14ac:dyDescent="0.25">
      <c r="W649" s="37"/>
      <c r="X649" s="52"/>
      <c r="Y649" s="52"/>
      <c r="Z649" s="37"/>
      <c r="AA649" s="18"/>
      <c r="AB649" s="18"/>
      <c r="AC649" s="18"/>
    </row>
    <row r="650" spans="23:29" customFormat="1" x14ac:dyDescent="0.25">
      <c r="W650" s="37"/>
      <c r="X650" s="52"/>
      <c r="Y650" s="52"/>
      <c r="Z650" s="37"/>
      <c r="AA650" s="18"/>
      <c r="AB650" s="18"/>
      <c r="AC650" s="18"/>
    </row>
    <row r="651" spans="23:29" customFormat="1" x14ac:dyDescent="0.25">
      <c r="W651" s="37"/>
      <c r="X651" s="52"/>
      <c r="Y651" s="52"/>
      <c r="Z651" s="37"/>
      <c r="AA651" s="18"/>
      <c r="AB651" s="18"/>
      <c r="AC651" s="18"/>
    </row>
    <row r="652" spans="23:29" customFormat="1" x14ac:dyDescent="0.25">
      <c r="W652" s="37"/>
      <c r="X652" s="52"/>
      <c r="Y652" s="52"/>
      <c r="Z652" s="37"/>
      <c r="AA652" s="18"/>
      <c r="AB652" s="18"/>
      <c r="AC652" s="18"/>
    </row>
    <row r="653" spans="23:29" customFormat="1" x14ac:dyDescent="0.25">
      <c r="W653" s="37"/>
      <c r="X653" s="52"/>
      <c r="Y653" s="52"/>
      <c r="Z653" s="37"/>
      <c r="AA653" s="18"/>
      <c r="AB653" s="18"/>
      <c r="AC653" s="18"/>
    </row>
    <row r="654" spans="23:29" customFormat="1" x14ac:dyDescent="0.25">
      <c r="W654" s="37"/>
      <c r="X654" s="52"/>
      <c r="Y654" s="52"/>
      <c r="Z654" s="37"/>
      <c r="AA654" s="18"/>
      <c r="AB654" s="18"/>
      <c r="AC654" s="18"/>
    </row>
    <row r="655" spans="23:29" customFormat="1" x14ac:dyDescent="0.25">
      <c r="W655" s="37"/>
      <c r="X655" s="52"/>
      <c r="Y655" s="52"/>
      <c r="Z655" s="37"/>
      <c r="AA655" s="18"/>
      <c r="AB655" s="18"/>
      <c r="AC655" s="18"/>
    </row>
    <row r="656" spans="23:29" customFormat="1" x14ac:dyDescent="0.25">
      <c r="W656" s="37"/>
      <c r="X656" s="52"/>
      <c r="Y656" s="52"/>
      <c r="Z656" s="37"/>
      <c r="AA656" s="18"/>
      <c r="AB656" s="18"/>
      <c r="AC656" s="18"/>
    </row>
    <row r="657" spans="23:29" customFormat="1" x14ac:dyDescent="0.25">
      <c r="W657" s="37"/>
      <c r="X657" s="52"/>
      <c r="Y657" s="52"/>
      <c r="Z657" s="37"/>
      <c r="AA657" s="18"/>
      <c r="AB657" s="18"/>
      <c r="AC657" s="18"/>
    </row>
    <row r="658" spans="23:29" customFormat="1" x14ac:dyDescent="0.25">
      <c r="W658" s="37"/>
      <c r="X658" s="52"/>
      <c r="Y658" s="52"/>
      <c r="Z658" s="37"/>
      <c r="AA658" s="18"/>
      <c r="AB658" s="18"/>
      <c r="AC658" s="18"/>
    </row>
    <row r="659" spans="23:29" customFormat="1" x14ac:dyDescent="0.25">
      <c r="W659" s="37"/>
      <c r="X659" s="52"/>
      <c r="Y659" s="52"/>
      <c r="Z659" s="37"/>
      <c r="AA659" s="18"/>
      <c r="AB659" s="18"/>
      <c r="AC659" s="18"/>
    </row>
    <row r="660" spans="23:29" customFormat="1" x14ac:dyDescent="0.25">
      <c r="W660" s="37"/>
      <c r="X660" s="52"/>
      <c r="Y660" s="52"/>
      <c r="Z660" s="37"/>
      <c r="AA660" s="18"/>
      <c r="AB660" s="18"/>
      <c r="AC660" s="18"/>
    </row>
    <row r="661" spans="23:29" customFormat="1" x14ac:dyDescent="0.25">
      <c r="W661" s="37"/>
      <c r="X661" s="52"/>
      <c r="Y661" s="52"/>
      <c r="Z661" s="37"/>
      <c r="AA661" s="18"/>
      <c r="AB661" s="18"/>
      <c r="AC661" s="18"/>
    </row>
    <row r="662" spans="23:29" customFormat="1" x14ac:dyDescent="0.25">
      <c r="W662" s="37"/>
      <c r="X662" s="52"/>
      <c r="Y662" s="52"/>
      <c r="Z662" s="37"/>
      <c r="AA662" s="18"/>
      <c r="AB662" s="18"/>
      <c r="AC662" s="18"/>
    </row>
    <row r="663" spans="23:29" customFormat="1" x14ac:dyDescent="0.25">
      <c r="W663" s="37"/>
      <c r="X663" s="52"/>
      <c r="Y663" s="52"/>
      <c r="Z663" s="37"/>
      <c r="AA663" s="18"/>
      <c r="AB663" s="18"/>
      <c r="AC663" s="18"/>
    </row>
    <row r="664" spans="23:29" customFormat="1" x14ac:dyDescent="0.25">
      <c r="W664" s="37"/>
      <c r="X664" s="52"/>
      <c r="Y664" s="52"/>
      <c r="Z664" s="37"/>
      <c r="AA664" s="18"/>
      <c r="AB664" s="18"/>
      <c r="AC664" s="18"/>
    </row>
    <row r="665" spans="23:29" customFormat="1" x14ac:dyDescent="0.25">
      <c r="W665" s="37"/>
      <c r="X665" s="52"/>
      <c r="Y665" s="52"/>
      <c r="Z665" s="37"/>
      <c r="AA665" s="18"/>
      <c r="AB665" s="18"/>
      <c r="AC665" s="18"/>
    </row>
    <row r="666" spans="23:29" customFormat="1" x14ac:dyDescent="0.25">
      <c r="W666" s="37"/>
      <c r="X666" s="52"/>
      <c r="Y666" s="52"/>
      <c r="Z666" s="37"/>
      <c r="AA666" s="18"/>
      <c r="AB666" s="18"/>
      <c r="AC666" s="18"/>
    </row>
    <row r="667" spans="23:29" customFormat="1" x14ac:dyDescent="0.25">
      <c r="W667" s="37"/>
      <c r="X667" s="52"/>
      <c r="Y667" s="52"/>
      <c r="Z667" s="37"/>
      <c r="AA667" s="18"/>
      <c r="AB667" s="18"/>
      <c r="AC667" s="18"/>
    </row>
    <row r="668" spans="23:29" customFormat="1" x14ac:dyDescent="0.25">
      <c r="W668" s="37"/>
      <c r="X668" s="52"/>
      <c r="Y668" s="52"/>
      <c r="Z668" s="37"/>
      <c r="AA668" s="18"/>
      <c r="AB668" s="18"/>
      <c r="AC668" s="18"/>
    </row>
    <row r="669" spans="23:29" customFormat="1" x14ac:dyDescent="0.25">
      <c r="W669" s="37"/>
      <c r="X669" s="52"/>
      <c r="Y669" s="52"/>
      <c r="Z669" s="37"/>
      <c r="AA669" s="18"/>
      <c r="AB669" s="18"/>
      <c r="AC669" s="18"/>
    </row>
    <row r="670" spans="23:29" customFormat="1" x14ac:dyDescent="0.25">
      <c r="W670" s="37"/>
      <c r="X670" s="52"/>
      <c r="Y670" s="52"/>
      <c r="Z670" s="37"/>
      <c r="AA670" s="18"/>
      <c r="AB670" s="18"/>
      <c r="AC670" s="18"/>
    </row>
    <row r="671" spans="23:29" customFormat="1" x14ac:dyDescent="0.25">
      <c r="W671" s="37"/>
      <c r="X671" s="52"/>
      <c r="Y671" s="52"/>
      <c r="Z671" s="37"/>
      <c r="AA671" s="18"/>
      <c r="AB671" s="18"/>
      <c r="AC671" s="18"/>
    </row>
    <row r="672" spans="23:29" customFormat="1" x14ac:dyDescent="0.25">
      <c r="W672" s="37"/>
      <c r="X672" s="52"/>
      <c r="Y672" s="52"/>
      <c r="Z672" s="37"/>
      <c r="AA672" s="18"/>
      <c r="AB672" s="18"/>
      <c r="AC672" s="18"/>
    </row>
    <row r="673" spans="23:29" customFormat="1" x14ac:dyDescent="0.25">
      <c r="W673" s="37"/>
      <c r="X673" s="52"/>
      <c r="Y673" s="52"/>
      <c r="Z673" s="37"/>
      <c r="AA673" s="18"/>
      <c r="AB673" s="18"/>
      <c r="AC673" s="18"/>
    </row>
    <row r="674" spans="23:29" customFormat="1" x14ac:dyDescent="0.25">
      <c r="W674" s="37"/>
      <c r="X674" s="52"/>
      <c r="Y674" s="52"/>
      <c r="Z674" s="37"/>
      <c r="AA674" s="18"/>
      <c r="AB674" s="18"/>
      <c r="AC674" s="18"/>
    </row>
    <row r="675" spans="23:29" customFormat="1" x14ac:dyDescent="0.25">
      <c r="W675" s="37"/>
      <c r="X675" s="52"/>
      <c r="Y675" s="52"/>
      <c r="Z675" s="37"/>
      <c r="AA675" s="18"/>
      <c r="AB675" s="18"/>
      <c r="AC675" s="18"/>
    </row>
    <row r="676" spans="23:29" customFormat="1" x14ac:dyDescent="0.25">
      <c r="W676" s="37"/>
      <c r="X676" s="52"/>
      <c r="Y676" s="52"/>
      <c r="Z676" s="37"/>
      <c r="AA676" s="18"/>
      <c r="AB676" s="18"/>
      <c r="AC676" s="18"/>
    </row>
    <row r="677" spans="23:29" customFormat="1" x14ac:dyDescent="0.25">
      <c r="W677" s="37"/>
      <c r="X677" s="52"/>
      <c r="Y677" s="52"/>
      <c r="Z677" s="37"/>
      <c r="AA677" s="18"/>
      <c r="AB677" s="18"/>
      <c r="AC677" s="18"/>
    </row>
    <row r="678" spans="23:29" customFormat="1" x14ac:dyDescent="0.25">
      <c r="W678" s="37"/>
      <c r="X678" s="52"/>
      <c r="Y678" s="52"/>
      <c r="Z678" s="37"/>
      <c r="AA678" s="18"/>
      <c r="AB678" s="18"/>
      <c r="AC678" s="18"/>
    </row>
    <row r="679" spans="23:29" customFormat="1" x14ac:dyDescent="0.25">
      <c r="W679" s="37"/>
      <c r="X679" s="52"/>
      <c r="Y679" s="52"/>
      <c r="Z679" s="37"/>
      <c r="AA679" s="18"/>
      <c r="AB679" s="18"/>
      <c r="AC679" s="18"/>
    </row>
    <row r="680" spans="23:29" customFormat="1" x14ac:dyDescent="0.25">
      <c r="W680" s="37"/>
      <c r="X680" s="52"/>
      <c r="Y680" s="52"/>
      <c r="Z680" s="37"/>
      <c r="AA680" s="18"/>
      <c r="AB680" s="18"/>
      <c r="AC680" s="18"/>
    </row>
    <row r="681" spans="23:29" customFormat="1" x14ac:dyDescent="0.25">
      <c r="W681" s="37"/>
      <c r="X681" s="52"/>
      <c r="Y681" s="52"/>
      <c r="Z681" s="37"/>
      <c r="AA681" s="18"/>
      <c r="AB681" s="18"/>
      <c r="AC681" s="18"/>
    </row>
    <row r="682" spans="23:29" customFormat="1" x14ac:dyDescent="0.25">
      <c r="W682" s="37"/>
      <c r="X682" s="52"/>
      <c r="Y682" s="52"/>
      <c r="Z682" s="37"/>
      <c r="AA682" s="18"/>
      <c r="AB682" s="18"/>
      <c r="AC682" s="18"/>
    </row>
    <row r="683" spans="23:29" customFormat="1" x14ac:dyDescent="0.25">
      <c r="W683" s="37"/>
      <c r="X683" s="52"/>
      <c r="Y683" s="52"/>
      <c r="Z683" s="37"/>
      <c r="AA683" s="18"/>
      <c r="AB683" s="18"/>
      <c r="AC683" s="18"/>
    </row>
    <row r="684" spans="23:29" customFormat="1" x14ac:dyDescent="0.25">
      <c r="W684" s="37"/>
      <c r="X684" s="52"/>
      <c r="Y684" s="52"/>
      <c r="Z684" s="37"/>
      <c r="AA684" s="18"/>
      <c r="AB684" s="18"/>
      <c r="AC684" s="18"/>
    </row>
    <row r="685" spans="23:29" customFormat="1" x14ac:dyDescent="0.25">
      <c r="W685" s="37"/>
      <c r="X685" s="52"/>
      <c r="Y685" s="52"/>
      <c r="Z685" s="37"/>
      <c r="AA685" s="18"/>
      <c r="AB685" s="18"/>
      <c r="AC685" s="18"/>
    </row>
    <row r="686" spans="23:29" customFormat="1" x14ac:dyDescent="0.25">
      <c r="W686" s="37"/>
      <c r="X686" s="52"/>
      <c r="Y686" s="52"/>
      <c r="Z686" s="37"/>
      <c r="AA686" s="18"/>
      <c r="AB686" s="18"/>
      <c r="AC686" s="18"/>
    </row>
    <row r="687" spans="23:29" customFormat="1" x14ac:dyDescent="0.25">
      <c r="W687" s="37"/>
      <c r="X687" s="52"/>
      <c r="Y687" s="52"/>
      <c r="Z687" s="37"/>
      <c r="AA687" s="18"/>
      <c r="AB687" s="18"/>
      <c r="AC687" s="18"/>
    </row>
    <row r="688" spans="23:29" customFormat="1" x14ac:dyDescent="0.25">
      <c r="W688" s="37"/>
      <c r="X688" s="52"/>
      <c r="Y688" s="52"/>
      <c r="Z688" s="37"/>
      <c r="AA688" s="18"/>
      <c r="AB688" s="18"/>
      <c r="AC688" s="18"/>
    </row>
    <row r="689" spans="23:29" customFormat="1" x14ac:dyDescent="0.25">
      <c r="W689" s="37"/>
      <c r="X689" s="52"/>
      <c r="Y689" s="52"/>
      <c r="Z689" s="37"/>
      <c r="AA689" s="18"/>
      <c r="AB689" s="18"/>
      <c r="AC689" s="18"/>
    </row>
    <row r="690" spans="23:29" customFormat="1" x14ac:dyDescent="0.25">
      <c r="W690" s="37"/>
      <c r="X690" s="52"/>
      <c r="Y690" s="52"/>
      <c r="Z690" s="37"/>
      <c r="AA690" s="18"/>
      <c r="AB690" s="18"/>
      <c r="AC690" s="18"/>
    </row>
    <row r="691" spans="23:29" customFormat="1" x14ac:dyDescent="0.25">
      <c r="W691" s="37"/>
      <c r="X691" s="52"/>
      <c r="Y691" s="52"/>
      <c r="Z691" s="37"/>
      <c r="AA691" s="18"/>
      <c r="AB691" s="18"/>
      <c r="AC691" s="18"/>
    </row>
    <row r="692" spans="23:29" customFormat="1" x14ac:dyDescent="0.25">
      <c r="W692" s="37"/>
      <c r="X692" s="52"/>
      <c r="Y692" s="52"/>
      <c r="Z692" s="37"/>
      <c r="AA692" s="18"/>
      <c r="AB692" s="18"/>
      <c r="AC692" s="18"/>
    </row>
    <row r="693" spans="23:29" customFormat="1" x14ac:dyDescent="0.25">
      <c r="W693" s="37"/>
      <c r="X693" s="52"/>
      <c r="Y693" s="52"/>
      <c r="Z693" s="37"/>
      <c r="AA693" s="18"/>
      <c r="AB693" s="18"/>
      <c r="AC693" s="18"/>
    </row>
    <row r="694" spans="23:29" customFormat="1" x14ac:dyDescent="0.25">
      <c r="W694" s="37"/>
      <c r="X694" s="52"/>
      <c r="Y694" s="52"/>
      <c r="Z694" s="37"/>
      <c r="AA694" s="18"/>
      <c r="AB694" s="18"/>
      <c r="AC694" s="18"/>
    </row>
    <row r="695" spans="23:29" customFormat="1" x14ac:dyDescent="0.25">
      <c r="W695" s="37"/>
      <c r="X695" s="52"/>
      <c r="Y695" s="52"/>
      <c r="Z695" s="37"/>
      <c r="AA695" s="18"/>
      <c r="AB695" s="18"/>
      <c r="AC695" s="18"/>
    </row>
    <row r="696" spans="23:29" customFormat="1" x14ac:dyDescent="0.25">
      <c r="W696" s="37"/>
      <c r="X696" s="52"/>
      <c r="Y696" s="52"/>
      <c r="Z696" s="37"/>
      <c r="AA696" s="18"/>
      <c r="AB696" s="18"/>
      <c r="AC696" s="18"/>
    </row>
    <row r="697" spans="23:29" customFormat="1" x14ac:dyDescent="0.25">
      <c r="W697" s="37"/>
      <c r="X697" s="52"/>
      <c r="Y697" s="52"/>
      <c r="Z697" s="37"/>
      <c r="AA697" s="18"/>
      <c r="AB697" s="18"/>
      <c r="AC697" s="18"/>
    </row>
    <row r="698" spans="23:29" customFormat="1" x14ac:dyDescent="0.25">
      <c r="W698" s="37"/>
      <c r="X698" s="52"/>
      <c r="Y698" s="52"/>
      <c r="Z698" s="37"/>
      <c r="AA698" s="18"/>
      <c r="AB698" s="18"/>
      <c r="AC698" s="18"/>
    </row>
    <row r="699" spans="23:29" customFormat="1" x14ac:dyDescent="0.25">
      <c r="W699" s="37"/>
      <c r="X699" s="52"/>
      <c r="Y699" s="52"/>
      <c r="Z699" s="37"/>
      <c r="AA699" s="18"/>
      <c r="AB699" s="18"/>
      <c r="AC699" s="18"/>
    </row>
    <row r="700" spans="23:29" customFormat="1" x14ac:dyDescent="0.25">
      <c r="W700" s="37"/>
      <c r="X700" s="52"/>
      <c r="Y700" s="52"/>
      <c r="Z700" s="37"/>
      <c r="AA700" s="18"/>
      <c r="AB700" s="18"/>
      <c r="AC700" s="18"/>
    </row>
    <row r="701" spans="23:29" customFormat="1" x14ac:dyDescent="0.25">
      <c r="W701" s="37"/>
      <c r="X701" s="52"/>
      <c r="Y701" s="52"/>
      <c r="Z701" s="37"/>
      <c r="AA701" s="18"/>
      <c r="AB701" s="18"/>
      <c r="AC701" s="18"/>
    </row>
    <row r="702" spans="23:29" customFormat="1" x14ac:dyDescent="0.25">
      <c r="W702" s="37"/>
      <c r="X702" s="52"/>
      <c r="Y702" s="52"/>
      <c r="Z702" s="37"/>
      <c r="AA702" s="18"/>
      <c r="AB702" s="18"/>
      <c r="AC702" s="18"/>
    </row>
    <row r="703" spans="23:29" customFormat="1" x14ac:dyDescent="0.25">
      <c r="W703" s="37"/>
      <c r="X703" s="52"/>
      <c r="Y703" s="52"/>
      <c r="Z703" s="37"/>
      <c r="AA703" s="18"/>
      <c r="AB703" s="18"/>
      <c r="AC703" s="18"/>
    </row>
    <row r="704" spans="23:29" customFormat="1" x14ac:dyDescent="0.25">
      <c r="W704" s="37"/>
      <c r="X704" s="52"/>
      <c r="Y704" s="52"/>
      <c r="Z704" s="37"/>
      <c r="AA704" s="18"/>
      <c r="AB704" s="18"/>
      <c r="AC704" s="18"/>
    </row>
    <row r="705" spans="23:29" customFormat="1" x14ac:dyDescent="0.25">
      <c r="W705" s="37"/>
      <c r="X705" s="52"/>
      <c r="Y705" s="52"/>
      <c r="Z705" s="37"/>
      <c r="AA705" s="18"/>
      <c r="AB705" s="18"/>
      <c r="AC705" s="18"/>
    </row>
    <row r="706" spans="23:29" customFormat="1" x14ac:dyDescent="0.25">
      <c r="W706" s="37"/>
      <c r="X706" s="52"/>
      <c r="Y706" s="52"/>
      <c r="Z706" s="37"/>
      <c r="AA706" s="18"/>
      <c r="AB706" s="18"/>
      <c r="AC706" s="18"/>
    </row>
    <row r="707" spans="23:29" customFormat="1" x14ac:dyDescent="0.25">
      <c r="W707" s="37"/>
      <c r="X707" s="52"/>
      <c r="Y707" s="52"/>
      <c r="Z707" s="37"/>
      <c r="AA707" s="18"/>
      <c r="AB707" s="18"/>
      <c r="AC707" s="18"/>
    </row>
    <row r="708" spans="23:29" customFormat="1" x14ac:dyDescent="0.25">
      <c r="W708" s="37"/>
      <c r="X708" s="52"/>
      <c r="Y708" s="52"/>
      <c r="Z708" s="37"/>
      <c r="AA708" s="18"/>
      <c r="AB708" s="18"/>
      <c r="AC708" s="18"/>
    </row>
    <row r="709" spans="23:29" customFormat="1" x14ac:dyDescent="0.25">
      <c r="W709" s="37"/>
      <c r="X709" s="52"/>
      <c r="Y709" s="52"/>
      <c r="Z709" s="37"/>
      <c r="AA709" s="18"/>
      <c r="AB709" s="18"/>
      <c r="AC709" s="18"/>
    </row>
    <row r="710" spans="23:29" customFormat="1" x14ac:dyDescent="0.25">
      <c r="W710" s="37"/>
      <c r="X710" s="52"/>
      <c r="Y710" s="52"/>
      <c r="Z710" s="37"/>
      <c r="AA710" s="18"/>
      <c r="AB710" s="18"/>
      <c r="AC710" s="18"/>
    </row>
    <row r="711" spans="23:29" customFormat="1" x14ac:dyDescent="0.25">
      <c r="W711" s="37"/>
      <c r="X711" s="52"/>
      <c r="Y711" s="52"/>
      <c r="Z711" s="37"/>
      <c r="AA711" s="18"/>
      <c r="AB711" s="18"/>
      <c r="AC711" s="18"/>
    </row>
    <row r="712" spans="23:29" customFormat="1" x14ac:dyDescent="0.25">
      <c r="W712" s="37"/>
      <c r="X712" s="52"/>
      <c r="Y712" s="52"/>
      <c r="Z712" s="37"/>
      <c r="AA712" s="18"/>
      <c r="AB712" s="18"/>
      <c r="AC712" s="18"/>
    </row>
    <row r="713" spans="23:29" customFormat="1" x14ac:dyDescent="0.25">
      <c r="W713" s="37"/>
      <c r="X713" s="52"/>
      <c r="Y713" s="52"/>
      <c r="Z713" s="37"/>
      <c r="AA713" s="18"/>
      <c r="AB713" s="18"/>
      <c r="AC713" s="18"/>
    </row>
    <row r="714" spans="23:29" customFormat="1" x14ac:dyDescent="0.25">
      <c r="W714" s="37"/>
      <c r="X714" s="52"/>
      <c r="Y714" s="52"/>
      <c r="Z714" s="37"/>
      <c r="AA714" s="18"/>
      <c r="AB714" s="18"/>
      <c r="AC714" s="18"/>
    </row>
    <row r="715" spans="23:29" customFormat="1" x14ac:dyDescent="0.25">
      <c r="W715" s="37"/>
      <c r="X715" s="52"/>
      <c r="Y715" s="52"/>
      <c r="Z715" s="37"/>
      <c r="AA715" s="18"/>
      <c r="AB715" s="18"/>
      <c r="AC715" s="18"/>
    </row>
    <row r="716" spans="23:29" customFormat="1" x14ac:dyDescent="0.25">
      <c r="W716" s="37"/>
      <c r="X716" s="52"/>
      <c r="Y716" s="52"/>
      <c r="Z716" s="37"/>
      <c r="AA716" s="18"/>
      <c r="AB716" s="18"/>
      <c r="AC716" s="18"/>
    </row>
    <row r="717" spans="23:29" customFormat="1" x14ac:dyDescent="0.25">
      <c r="W717" s="37"/>
      <c r="X717" s="52"/>
      <c r="Y717" s="52"/>
      <c r="Z717" s="37"/>
      <c r="AA717" s="18"/>
      <c r="AB717" s="18"/>
      <c r="AC717" s="18"/>
    </row>
    <row r="718" spans="23:29" customFormat="1" x14ac:dyDescent="0.25">
      <c r="W718" s="37"/>
      <c r="X718" s="52"/>
      <c r="Y718" s="52"/>
      <c r="Z718" s="37"/>
      <c r="AA718" s="18"/>
      <c r="AB718" s="18"/>
      <c r="AC718" s="18"/>
    </row>
    <row r="719" spans="23:29" customFormat="1" x14ac:dyDescent="0.25">
      <c r="W719" s="37"/>
      <c r="X719" s="52"/>
      <c r="Y719" s="52"/>
      <c r="Z719" s="37"/>
      <c r="AA719" s="18"/>
      <c r="AB719" s="18"/>
      <c r="AC719" s="18"/>
    </row>
    <row r="720" spans="23:29" customFormat="1" x14ac:dyDescent="0.25">
      <c r="W720" s="37"/>
      <c r="X720" s="52"/>
      <c r="Y720" s="52"/>
      <c r="Z720" s="37"/>
      <c r="AA720" s="18"/>
      <c r="AB720" s="18"/>
      <c r="AC720" s="18"/>
    </row>
    <row r="721" spans="23:29" customFormat="1" x14ac:dyDescent="0.25">
      <c r="W721" s="37"/>
      <c r="X721" s="52"/>
      <c r="Y721" s="52"/>
      <c r="Z721" s="37"/>
      <c r="AA721" s="18"/>
      <c r="AB721" s="18"/>
      <c r="AC721" s="18"/>
    </row>
    <row r="722" spans="23:29" customFormat="1" x14ac:dyDescent="0.25">
      <c r="W722" s="37"/>
      <c r="X722" s="52"/>
      <c r="Y722" s="52"/>
      <c r="Z722" s="37"/>
      <c r="AA722" s="18"/>
      <c r="AB722" s="18"/>
      <c r="AC722" s="18"/>
    </row>
    <row r="723" spans="23:29" customFormat="1" x14ac:dyDescent="0.25">
      <c r="W723" s="37"/>
      <c r="X723" s="52"/>
      <c r="Y723" s="52"/>
      <c r="Z723" s="37"/>
      <c r="AA723" s="18"/>
      <c r="AB723" s="18"/>
      <c r="AC723" s="18"/>
    </row>
    <row r="724" spans="23:29" customFormat="1" x14ac:dyDescent="0.25">
      <c r="W724" s="37"/>
      <c r="X724" s="52"/>
      <c r="Y724" s="52"/>
      <c r="Z724" s="37"/>
      <c r="AA724" s="18"/>
      <c r="AB724" s="18"/>
      <c r="AC724" s="18"/>
    </row>
    <row r="725" spans="23:29" customFormat="1" x14ac:dyDescent="0.25">
      <c r="W725" s="37"/>
      <c r="X725" s="52"/>
      <c r="Y725" s="52"/>
      <c r="Z725" s="37"/>
      <c r="AA725" s="18"/>
      <c r="AB725" s="18"/>
      <c r="AC725" s="18"/>
    </row>
    <row r="726" spans="23:29" customFormat="1" x14ac:dyDescent="0.25">
      <c r="W726" s="37"/>
      <c r="X726" s="52"/>
      <c r="Y726" s="52"/>
      <c r="Z726" s="37"/>
      <c r="AA726" s="18"/>
      <c r="AB726" s="18"/>
      <c r="AC726" s="18"/>
    </row>
    <row r="727" spans="23:29" customFormat="1" x14ac:dyDescent="0.25">
      <c r="W727" s="37"/>
      <c r="X727" s="52"/>
      <c r="Y727" s="52"/>
      <c r="Z727" s="37"/>
      <c r="AA727" s="18"/>
      <c r="AB727" s="18"/>
      <c r="AC727" s="18"/>
    </row>
    <row r="728" spans="23:29" customFormat="1" x14ac:dyDescent="0.25">
      <c r="W728" s="37"/>
      <c r="X728" s="52"/>
      <c r="Y728" s="52"/>
      <c r="Z728" s="37"/>
      <c r="AA728" s="18"/>
      <c r="AB728" s="18"/>
      <c r="AC728" s="18"/>
    </row>
    <row r="729" spans="23:29" customFormat="1" x14ac:dyDescent="0.25">
      <c r="W729" s="37"/>
      <c r="X729" s="52"/>
      <c r="Y729" s="52"/>
      <c r="Z729" s="37"/>
      <c r="AA729" s="18"/>
      <c r="AB729" s="18"/>
      <c r="AC729" s="18"/>
    </row>
    <row r="730" spans="23:29" customFormat="1" x14ac:dyDescent="0.25">
      <c r="W730" s="37"/>
      <c r="X730" s="52"/>
      <c r="Y730" s="52"/>
      <c r="Z730" s="37"/>
      <c r="AA730" s="18"/>
      <c r="AB730" s="18"/>
      <c r="AC730" s="18"/>
    </row>
    <row r="731" spans="23:29" customFormat="1" x14ac:dyDescent="0.25">
      <c r="W731" s="37"/>
      <c r="X731" s="52"/>
      <c r="Y731" s="52"/>
      <c r="Z731" s="37"/>
      <c r="AA731" s="18"/>
      <c r="AB731" s="18"/>
      <c r="AC731" s="18"/>
    </row>
    <row r="732" spans="23:29" customFormat="1" x14ac:dyDescent="0.25">
      <c r="W732" s="37"/>
      <c r="X732" s="52"/>
      <c r="Y732" s="52"/>
      <c r="Z732" s="37"/>
      <c r="AA732" s="18"/>
      <c r="AB732" s="18"/>
      <c r="AC732" s="18"/>
    </row>
    <row r="733" spans="23:29" customFormat="1" x14ac:dyDescent="0.25">
      <c r="W733" s="37"/>
      <c r="X733" s="52"/>
      <c r="Y733" s="52"/>
      <c r="Z733" s="37"/>
      <c r="AA733" s="18"/>
      <c r="AB733" s="18"/>
      <c r="AC733" s="18"/>
    </row>
    <row r="734" spans="23:29" customFormat="1" x14ac:dyDescent="0.25">
      <c r="W734" s="37"/>
      <c r="X734" s="52"/>
      <c r="Y734" s="52"/>
      <c r="Z734" s="37"/>
      <c r="AA734" s="18"/>
      <c r="AB734" s="18"/>
      <c r="AC734" s="18"/>
    </row>
    <row r="735" spans="23:29" customFormat="1" x14ac:dyDescent="0.25">
      <c r="W735" s="37"/>
      <c r="X735" s="52"/>
      <c r="Y735" s="52"/>
      <c r="Z735" s="37"/>
      <c r="AA735" s="18"/>
      <c r="AB735" s="18"/>
      <c r="AC735" s="18"/>
    </row>
    <row r="736" spans="23:29" customFormat="1" x14ac:dyDescent="0.25">
      <c r="W736" s="37"/>
      <c r="X736" s="52"/>
      <c r="Y736" s="52"/>
      <c r="Z736" s="37"/>
      <c r="AA736" s="18"/>
      <c r="AB736" s="18"/>
      <c r="AC736" s="18"/>
    </row>
    <row r="737" spans="23:29" customFormat="1" x14ac:dyDescent="0.25">
      <c r="W737" s="37"/>
      <c r="X737" s="52"/>
      <c r="Y737" s="52"/>
      <c r="Z737" s="37"/>
      <c r="AA737" s="18"/>
      <c r="AB737" s="18"/>
      <c r="AC737" s="18"/>
    </row>
    <row r="738" spans="23:29" customFormat="1" x14ac:dyDescent="0.25">
      <c r="W738" s="37"/>
      <c r="X738" s="52"/>
      <c r="Y738" s="52"/>
      <c r="Z738" s="37"/>
      <c r="AA738" s="18"/>
      <c r="AB738" s="18"/>
      <c r="AC738" s="18"/>
    </row>
    <row r="739" spans="23:29" customFormat="1" x14ac:dyDescent="0.25">
      <c r="W739" s="37"/>
      <c r="X739" s="52"/>
      <c r="Y739" s="52"/>
      <c r="Z739" s="37"/>
      <c r="AA739" s="18"/>
      <c r="AB739" s="18"/>
      <c r="AC739" s="18"/>
    </row>
    <row r="740" spans="23:29" customFormat="1" x14ac:dyDescent="0.25">
      <c r="W740" s="37"/>
      <c r="X740" s="52"/>
      <c r="Y740" s="52"/>
      <c r="Z740" s="37"/>
      <c r="AA740" s="18"/>
      <c r="AB740" s="18"/>
      <c r="AC740" s="18"/>
    </row>
    <row r="741" spans="23:29" customFormat="1" x14ac:dyDescent="0.25">
      <c r="W741" s="37"/>
      <c r="X741" s="52"/>
      <c r="Y741" s="52"/>
      <c r="Z741" s="37"/>
      <c r="AA741" s="18"/>
      <c r="AB741" s="18"/>
      <c r="AC741" s="18"/>
    </row>
    <row r="742" spans="23:29" customFormat="1" x14ac:dyDescent="0.25">
      <c r="W742" s="37"/>
      <c r="X742" s="52"/>
      <c r="Y742" s="52"/>
      <c r="Z742" s="37"/>
      <c r="AA742" s="18"/>
      <c r="AB742" s="18"/>
      <c r="AC742" s="18"/>
    </row>
    <row r="743" spans="23:29" customFormat="1" x14ac:dyDescent="0.25">
      <c r="W743" s="37"/>
      <c r="X743" s="52"/>
      <c r="Y743" s="52"/>
      <c r="Z743" s="37"/>
      <c r="AA743" s="18"/>
      <c r="AB743" s="18"/>
      <c r="AC743" s="18"/>
    </row>
    <row r="744" spans="23:29" customFormat="1" x14ac:dyDescent="0.25">
      <c r="W744" s="37"/>
      <c r="X744" s="52"/>
      <c r="Y744" s="52"/>
      <c r="Z744" s="37"/>
      <c r="AA744" s="18"/>
      <c r="AB744" s="18"/>
      <c r="AC744" s="18"/>
    </row>
    <row r="745" spans="23:29" customFormat="1" x14ac:dyDescent="0.25">
      <c r="W745" s="37"/>
      <c r="X745" s="52"/>
      <c r="Y745" s="52"/>
      <c r="Z745" s="37"/>
      <c r="AA745" s="18"/>
      <c r="AB745" s="18"/>
      <c r="AC745" s="18"/>
    </row>
    <row r="746" spans="23:29" customFormat="1" x14ac:dyDescent="0.25">
      <c r="W746" s="37"/>
      <c r="X746" s="52"/>
      <c r="Y746" s="52"/>
      <c r="Z746" s="37"/>
      <c r="AA746" s="18"/>
      <c r="AB746" s="18"/>
      <c r="AC746" s="18"/>
    </row>
    <row r="747" spans="23:29" customFormat="1" x14ac:dyDescent="0.25">
      <c r="W747" s="37"/>
      <c r="X747" s="52"/>
      <c r="Y747" s="52"/>
      <c r="Z747" s="37"/>
      <c r="AA747" s="18"/>
      <c r="AB747" s="18"/>
      <c r="AC747" s="18"/>
    </row>
    <row r="748" spans="23:29" customFormat="1" x14ac:dyDescent="0.25">
      <c r="W748" s="37"/>
      <c r="X748" s="52"/>
      <c r="Y748" s="52"/>
      <c r="Z748" s="37"/>
      <c r="AA748" s="18"/>
      <c r="AB748" s="18"/>
      <c r="AC748" s="18"/>
    </row>
    <row r="749" spans="23:29" customFormat="1" x14ac:dyDescent="0.25">
      <c r="W749" s="37"/>
      <c r="X749" s="52"/>
      <c r="Y749" s="52"/>
      <c r="Z749" s="37"/>
      <c r="AA749" s="18"/>
      <c r="AB749" s="18"/>
      <c r="AC749" s="18"/>
    </row>
    <row r="750" spans="23:29" customFormat="1" x14ac:dyDescent="0.25">
      <c r="W750" s="37"/>
      <c r="X750" s="52"/>
      <c r="Y750" s="52"/>
      <c r="Z750" s="37"/>
      <c r="AA750" s="18"/>
      <c r="AB750" s="18"/>
      <c r="AC750" s="18"/>
    </row>
    <row r="751" spans="23:29" customFormat="1" x14ac:dyDescent="0.25">
      <c r="W751" s="37"/>
      <c r="X751" s="52"/>
      <c r="Y751" s="52"/>
      <c r="Z751" s="37"/>
      <c r="AA751" s="18"/>
      <c r="AB751" s="18"/>
      <c r="AC751" s="18"/>
    </row>
    <row r="752" spans="23:29" customFormat="1" x14ac:dyDescent="0.25">
      <c r="W752" s="37"/>
      <c r="X752" s="52"/>
      <c r="Y752" s="52"/>
      <c r="Z752" s="37"/>
      <c r="AA752" s="18"/>
      <c r="AB752" s="18"/>
      <c r="AC752" s="18"/>
    </row>
    <row r="753" spans="23:29" customFormat="1" x14ac:dyDescent="0.25">
      <c r="W753" s="37"/>
      <c r="X753" s="52"/>
      <c r="Y753" s="52"/>
      <c r="Z753" s="37"/>
      <c r="AA753" s="18"/>
      <c r="AB753" s="18"/>
      <c r="AC753" s="18"/>
    </row>
    <row r="754" spans="23:29" customFormat="1" x14ac:dyDescent="0.25">
      <c r="W754" s="37"/>
      <c r="X754" s="52"/>
      <c r="Y754" s="52"/>
      <c r="Z754" s="37"/>
      <c r="AA754" s="18"/>
      <c r="AB754" s="18"/>
      <c r="AC754" s="18"/>
    </row>
    <row r="755" spans="23:29" customFormat="1" x14ac:dyDescent="0.25">
      <c r="W755" s="37"/>
      <c r="X755" s="52"/>
      <c r="Y755" s="52"/>
      <c r="Z755" s="37"/>
      <c r="AA755" s="18"/>
      <c r="AB755" s="18"/>
      <c r="AC755" s="18"/>
    </row>
    <row r="756" spans="23:29" customFormat="1" x14ac:dyDescent="0.25">
      <c r="W756" s="37"/>
      <c r="X756" s="52"/>
      <c r="Y756" s="52"/>
      <c r="Z756" s="37"/>
      <c r="AA756" s="18"/>
      <c r="AB756" s="18"/>
      <c r="AC756" s="18"/>
    </row>
    <row r="757" spans="23:29" customFormat="1" x14ac:dyDescent="0.25">
      <c r="W757" s="37"/>
      <c r="X757" s="52"/>
      <c r="Y757" s="52"/>
      <c r="Z757" s="37"/>
      <c r="AA757" s="18"/>
      <c r="AB757" s="18"/>
      <c r="AC757" s="18"/>
    </row>
    <row r="758" spans="23:29" customFormat="1" x14ac:dyDescent="0.25">
      <c r="W758" s="37"/>
      <c r="X758" s="52"/>
      <c r="Y758" s="52"/>
      <c r="Z758" s="37"/>
      <c r="AA758" s="18"/>
      <c r="AB758" s="18"/>
      <c r="AC758" s="18"/>
    </row>
    <row r="759" spans="23:29" customFormat="1" x14ac:dyDescent="0.25">
      <c r="W759" s="37"/>
      <c r="X759" s="52"/>
      <c r="Y759" s="52"/>
      <c r="Z759" s="37"/>
      <c r="AA759" s="18"/>
      <c r="AB759" s="18"/>
      <c r="AC759" s="18"/>
    </row>
    <row r="760" spans="23:29" customFormat="1" x14ac:dyDescent="0.25">
      <c r="W760" s="37"/>
      <c r="X760" s="52"/>
      <c r="Y760" s="52"/>
      <c r="Z760" s="37"/>
      <c r="AA760" s="18"/>
      <c r="AB760" s="18"/>
      <c r="AC760" s="18"/>
    </row>
    <row r="761" spans="23:29" customFormat="1" x14ac:dyDescent="0.25">
      <c r="W761" s="37"/>
      <c r="X761" s="52"/>
      <c r="Y761" s="52"/>
      <c r="Z761" s="37"/>
      <c r="AA761" s="18"/>
      <c r="AB761" s="18"/>
      <c r="AC761" s="18"/>
    </row>
    <row r="762" spans="23:29" customFormat="1" x14ac:dyDescent="0.25">
      <c r="W762" s="37"/>
      <c r="X762" s="52"/>
      <c r="Y762" s="52"/>
      <c r="Z762" s="37"/>
      <c r="AA762" s="18"/>
      <c r="AB762" s="18"/>
      <c r="AC762" s="18"/>
    </row>
    <row r="763" spans="23:29" customFormat="1" x14ac:dyDescent="0.25">
      <c r="W763" s="37"/>
      <c r="X763" s="52"/>
      <c r="Y763" s="52"/>
      <c r="Z763" s="37"/>
      <c r="AA763" s="18"/>
      <c r="AB763" s="18"/>
      <c r="AC763" s="18"/>
    </row>
    <row r="764" spans="23:29" customFormat="1" x14ac:dyDescent="0.25">
      <c r="W764" s="37"/>
      <c r="X764" s="52"/>
      <c r="Y764" s="52"/>
      <c r="Z764" s="37"/>
      <c r="AA764" s="18"/>
      <c r="AB764" s="18"/>
      <c r="AC764" s="18"/>
    </row>
    <row r="765" spans="23:29" customFormat="1" x14ac:dyDescent="0.25">
      <c r="W765" s="37"/>
      <c r="X765" s="52"/>
      <c r="Y765" s="52"/>
      <c r="Z765" s="37"/>
      <c r="AA765" s="18"/>
      <c r="AB765" s="18"/>
      <c r="AC765" s="18"/>
    </row>
    <row r="766" spans="23:29" customFormat="1" x14ac:dyDescent="0.25">
      <c r="W766" s="37"/>
      <c r="X766" s="52"/>
      <c r="Y766" s="52"/>
      <c r="Z766" s="37"/>
      <c r="AA766" s="18"/>
      <c r="AB766" s="18"/>
      <c r="AC766" s="18"/>
    </row>
    <row r="767" spans="23:29" customFormat="1" x14ac:dyDescent="0.25">
      <c r="W767" s="37"/>
      <c r="X767" s="52"/>
      <c r="Y767" s="52"/>
      <c r="Z767" s="37"/>
      <c r="AA767" s="18"/>
      <c r="AB767" s="18"/>
      <c r="AC767" s="18"/>
    </row>
    <row r="768" spans="23:29" customFormat="1" x14ac:dyDescent="0.25">
      <c r="W768" s="37"/>
      <c r="X768" s="52"/>
      <c r="Y768" s="52"/>
      <c r="Z768" s="37"/>
      <c r="AA768" s="18"/>
      <c r="AB768" s="18"/>
      <c r="AC768" s="18"/>
    </row>
    <row r="769" spans="23:29" customFormat="1" x14ac:dyDescent="0.25">
      <c r="W769" s="37"/>
      <c r="X769" s="52"/>
      <c r="Y769" s="52"/>
      <c r="Z769" s="37"/>
      <c r="AA769" s="18"/>
      <c r="AB769" s="18"/>
      <c r="AC769" s="18"/>
    </row>
    <row r="770" spans="23:29" customFormat="1" x14ac:dyDescent="0.25">
      <c r="W770" s="37"/>
      <c r="X770" s="52"/>
      <c r="Y770" s="52"/>
      <c r="Z770" s="37"/>
      <c r="AA770" s="18"/>
      <c r="AB770" s="18"/>
      <c r="AC770" s="18"/>
    </row>
    <row r="771" spans="23:29" customFormat="1" x14ac:dyDescent="0.25">
      <c r="W771" s="37"/>
      <c r="X771" s="52"/>
      <c r="Y771" s="52"/>
      <c r="Z771" s="37"/>
      <c r="AA771" s="18"/>
      <c r="AB771" s="18"/>
      <c r="AC771" s="18"/>
    </row>
    <row r="772" spans="23:29" customFormat="1" x14ac:dyDescent="0.25">
      <c r="W772" s="37"/>
      <c r="X772" s="52"/>
      <c r="Y772" s="52"/>
      <c r="Z772" s="37"/>
      <c r="AA772" s="18"/>
      <c r="AB772" s="18"/>
      <c r="AC772" s="18"/>
    </row>
    <row r="773" spans="23:29" customFormat="1" x14ac:dyDescent="0.25">
      <c r="W773" s="37"/>
      <c r="X773" s="52"/>
      <c r="Y773" s="52"/>
      <c r="Z773" s="37"/>
      <c r="AA773" s="18"/>
      <c r="AB773" s="18"/>
      <c r="AC773" s="18"/>
    </row>
    <row r="774" spans="23:29" customFormat="1" x14ac:dyDescent="0.25">
      <c r="W774" s="37"/>
      <c r="X774" s="52"/>
      <c r="Y774" s="52"/>
      <c r="Z774" s="37"/>
      <c r="AA774" s="18"/>
      <c r="AB774" s="18"/>
      <c r="AC774" s="18"/>
    </row>
    <row r="775" spans="23:29" customFormat="1" x14ac:dyDescent="0.25">
      <c r="W775" s="37"/>
      <c r="X775" s="52"/>
      <c r="Y775" s="52"/>
      <c r="Z775" s="37"/>
      <c r="AA775" s="18"/>
      <c r="AB775" s="18"/>
      <c r="AC775" s="18"/>
    </row>
    <row r="776" spans="23:29" customFormat="1" x14ac:dyDescent="0.25">
      <c r="W776" s="37"/>
      <c r="X776" s="52"/>
      <c r="Y776" s="52"/>
      <c r="Z776" s="37"/>
      <c r="AA776" s="18"/>
      <c r="AB776" s="18"/>
      <c r="AC776" s="18"/>
    </row>
    <row r="777" spans="23:29" customFormat="1" x14ac:dyDescent="0.25">
      <c r="W777" s="37"/>
      <c r="X777" s="52"/>
      <c r="Y777" s="52"/>
      <c r="Z777" s="37"/>
      <c r="AA777" s="18"/>
      <c r="AB777" s="18"/>
      <c r="AC777" s="18"/>
    </row>
    <row r="778" spans="23:29" customFormat="1" x14ac:dyDescent="0.25">
      <c r="W778" s="37"/>
      <c r="X778" s="52"/>
      <c r="Y778" s="52"/>
      <c r="Z778" s="37"/>
      <c r="AA778" s="18"/>
      <c r="AB778" s="18"/>
      <c r="AC778" s="18"/>
    </row>
    <row r="779" spans="23:29" customFormat="1" x14ac:dyDescent="0.25">
      <c r="W779" s="37"/>
      <c r="X779" s="52"/>
      <c r="Y779" s="52"/>
      <c r="Z779" s="37"/>
      <c r="AA779" s="18"/>
      <c r="AB779" s="18"/>
      <c r="AC779" s="18"/>
    </row>
    <row r="780" spans="23:29" customFormat="1" x14ac:dyDescent="0.25">
      <c r="W780" s="37"/>
      <c r="X780" s="52"/>
      <c r="Y780" s="52"/>
      <c r="Z780" s="37"/>
      <c r="AA780" s="18"/>
      <c r="AB780" s="18"/>
      <c r="AC780" s="18"/>
    </row>
    <row r="781" spans="23:29" customFormat="1" x14ac:dyDescent="0.25">
      <c r="W781" s="37"/>
      <c r="X781" s="52"/>
      <c r="Y781" s="52"/>
      <c r="Z781" s="37"/>
      <c r="AA781" s="18"/>
      <c r="AB781" s="18"/>
      <c r="AC781" s="18"/>
    </row>
    <row r="782" spans="23:29" customFormat="1" x14ac:dyDescent="0.25">
      <c r="W782" s="37"/>
      <c r="X782" s="52"/>
      <c r="Y782" s="52"/>
      <c r="Z782" s="37"/>
      <c r="AA782" s="18"/>
      <c r="AB782" s="18"/>
      <c r="AC782" s="18"/>
    </row>
    <row r="783" spans="23:29" customFormat="1" x14ac:dyDescent="0.25">
      <c r="W783" s="37"/>
      <c r="X783" s="52"/>
      <c r="Y783" s="52"/>
      <c r="Z783" s="37"/>
      <c r="AA783" s="18"/>
      <c r="AB783" s="18"/>
      <c r="AC783" s="18"/>
    </row>
    <row r="784" spans="23:29" customFormat="1" x14ac:dyDescent="0.25">
      <c r="W784" s="37"/>
      <c r="X784" s="52"/>
      <c r="Y784" s="52"/>
      <c r="Z784" s="37"/>
      <c r="AA784" s="18"/>
      <c r="AB784" s="18"/>
      <c r="AC784" s="18"/>
    </row>
    <row r="785" spans="23:29" customFormat="1" x14ac:dyDescent="0.25">
      <c r="W785" s="37"/>
      <c r="X785" s="52"/>
      <c r="Y785" s="52"/>
      <c r="Z785" s="37"/>
      <c r="AA785" s="18"/>
      <c r="AB785" s="18"/>
      <c r="AC785" s="18"/>
    </row>
    <row r="786" spans="23:29" customFormat="1" x14ac:dyDescent="0.25">
      <c r="W786" s="37"/>
      <c r="X786" s="52"/>
      <c r="Y786" s="52"/>
      <c r="Z786" s="37"/>
      <c r="AA786" s="18"/>
      <c r="AB786" s="18"/>
      <c r="AC786" s="18"/>
    </row>
    <row r="787" spans="23:29" customFormat="1" x14ac:dyDescent="0.25">
      <c r="W787" s="37"/>
      <c r="X787" s="52"/>
      <c r="Y787" s="52"/>
      <c r="Z787" s="37"/>
      <c r="AA787" s="18"/>
      <c r="AB787" s="18"/>
      <c r="AC787" s="18"/>
    </row>
    <row r="788" spans="23:29" customFormat="1" x14ac:dyDescent="0.25">
      <c r="W788" s="37"/>
      <c r="X788" s="52"/>
      <c r="Y788" s="52"/>
      <c r="Z788" s="37"/>
      <c r="AA788" s="18"/>
      <c r="AB788" s="18"/>
      <c r="AC788" s="18"/>
    </row>
    <row r="789" spans="23:29" customFormat="1" x14ac:dyDescent="0.25">
      <c r="W789" s="37"/>
      <c r="X789" s="52"/>
      <c r="Y789" s="52"/>
      <c r="Z789" s="37"/>
      <c r="AA789" s="18"/>
      <c r="AB789" s="18"/>
      <c r="AC789" s="18"/>
    </row>
    <row r="790" spans="23:29" customFormat="1" x14ac:dyDescent="0.25">
      <c r="W790" s="37"/>
      <c r="X790" s="52"/>
      <c r="Y790" s="52"/>
      <c r="Z790" s="37"/>
      <c r="AA790" s="18"/>
      <c r="AB790" s="18"/>
      <c r="AC790" s="18"/>
    </row>
    <row r="791" spans="23:29" customFormat="1" x14ac:dyDescent="0.25">
      <c r="W791" s="37"/>
      <c r="X791" s="52"/>
      <c r="Y791" s="52"/>
      <c r="Z791" s="37"/>
      <c r="AA791" s="18"/>
      <c r="AB791" s="18"/>
      <c r="AC791" s="18"/>
    </row>
    <row r="792" spans="23:29" customFormat="1" x14ac:dyDescent="0.25">
      <c r="W792" s="37"/>
      <c r="X792" s="52"/>
      <c r="Y792" s="52"/>
      <c r="Z792" s="37"/>
      <c r="AA792" s="18"/>
      <c r="AB792" s="18"/>
      <c r="AC792" s="18"/>
    </row>
    <row r="793" spans="23:29" customFormat="1" x14ac:dyDescent="0.25">
      <c r="W793" s="37"/>
      <c r="X793" s="52"/>
      <c r="Y793" s="52"/>
      <c r="Z793" s="37"/>
      <c r="AA793" s="18"/>
      <c r="AB793" s="18"/>
      <c r="AC793" s="18"/>
    </row>
    <row r="794" spans="23:29" customFormat="1" x14ac:dyDescent="0.25">
      <c r="W794" s="37"/>
      <c r="X794" s="52"/>
      <c r="Y794" s="52"/>
      <c r="Z794" s="37"/>
      <c r="AA794" s="18"/>
      <c r="AB794" s="18"/>
      <c r="AC794" s="18"/>
    </row>
    <row r="795" spans="23:29" customFormat="1" x14ac:dyDescent="0.25">
      <c r="W795" s="37"/>
      <c r="X795" s="52"/>
      <c r="Y795" s="52"/>
      <c r="Z795" s="37"/>
      <c r="AA795" s="18"/>
      <c r="AB795" s="18"/>
      <c r="AC795" s="18"/>
    </row>
    <row r="796" spans="23:29" customFormat="1" x14ac:dyDescent="0.25">
      <c r="W796" s="37"/>
      <c r="X796" s="52"/>
      <c r="Y796" s="52"/>
      <c r="Z796" s="37"/>
      <c r="AA796" s="18"/>
      <c r="AB796" s="18"/>
      <c r="AC796" s="18"/>
    </row>
    <row r="797" spans="23:29" customFormat="1" x14ac:dyDescent="0.25">
      <c r="W797" s="37"/>
      <c r="X797" s="52"/>
      <c r="Y797" s="52"/>
      <c r="Z797" s="37"/>
      <c r="AA797" s="18"/>
      <c r="AB797" s="18"/>
      <c r="AC797" s="18"/>
    </row>
    <row r="798" spans="23:29" customFormat="1" x14ac:dyDescent="0.25">
      <c r="W798" s="37"/>
      <c r="X798" s="52"/>
      <c r="Y798" s="52"/>
      <c r="Z798" s="37"/>
      <c r="AA798" s="18"/>
      <c r="AB798" s="18"/>
      <c r="AC798" s="18"/>
    </row>
    <row r="799" spans="23:29" customFormat="1" x14ac:dyDescent="0.25">
      <c r="W799" s="37"/>
      <c r="X799" s="52"/>
      <c r="Y799" s="52"/>
      <c r="Z799" s="37"/>
      <c r="AA799" s="18"/>
      <c r="AB799" s="18"/>
      <c r="AC799" s="18"/>
    </row>
    <row r="800" spans="23:29" customFormat="1" x14ac:dyDescent="0.25">
      <c r="W800" s="37"/>
      <c r="X800" s="52"/>
      <c r="Y800" s="52"/>
      <c r="Z800" s="37"/>
      <c r="AA800" s="18"/>
      <c r="AB800" s="18"/>
      <c r="AC800" s="18"/>
    </row>
    <row r="801" spans="23:29" customFormat="1" x14ac:dyDescent="0.25">
      <c r="W801" s="37"/>
      <c r="X801" s="52"/>
      <c r="Y801" s="52"/>
      <c r="Z801" s="37"/>
      <c r="AA801" s="18"/>
      <c r="AB801" s="18"/>
      <c r="AC801" s="18"/>
    </row>
    <row r="802" spans="23:29" customFormat="1" x14ac:dyDescent="0.25">
      <c r="W802" s="37"/>
      <c r="X802" s="52"/>
      <c r="Y802" s="52"/>
      <c r="Z802" s="37"/>
      <c r="AA802" s="18"/>
      <c r="AB802" s="18"/>
      <c r="AC802" s="18"/>
    </row>
    <row r="803" spans="23:29" customFormat="1" x14ac:dyDescent="0.25">
      <c r="W803" s="37"/>
      <c r="X803" s="52"/>
      <c r="Y803" s="52"/>
      <c r="Z803" s="37"/>
      <c r="AA803" s="18"/>
      <c r="AB803" s="18"/>
      <c r="AC803" s="18"/>
    </row>
    <row r="804" spans="23:29" customFormat="1" x14ac:dyDescent="0.25">
      <c r="W804" s="37"/>
      <c r="X804" s="52"/>
      <c r="Y804" s="52"/>
      <c r="Z804" s="37"/>
      <c r="AA804" s="18"/>
      <c r="AB804" s="18"/>
      <c r="AC804" s="18"/>
    </row>
    <row r="805" spans="23:29" customFormat="1" x14ac:dyDescent="0.25">
      <c r="W805" s="37"/>
      <c r="X805" s="52"/>
      <c r="Y805" s="52"/>
      <c r="Z805" s="37"/>
      <c r="AA805" s="18"/>
      <c r="AB805" s="18"/>
      <c r="AC805" s="18"/>
    </row>
    <row r="806" spans="23:29" customFormat="1" x14ac:dyDescent="0.25">
      <c r="W806" s="37"/>
      <c r="X806" s="52"/>
      <c r="Y806" s="52"/>
      <c r="Z806" s="37"/>
      <c r="AA806" s="18"/>
      <c r="AB806" s="18"/>
      <c r="AC806" s="18"/>
    </row>
    <row r="807" spans="23:29" customFormat="1" x14ac:dyDescent="0.25">
      <c r="W807" s="37"/>
      <c r="X807" s="52"/>
      <c r="Y807" s="52"/>
      <c r="Z807" s="37"/>
      <c r="AA807" s="18"/>
      <c r="AB807" s="18"/>
      <c r="AC807" s="18"/>
    </row>
    <row r="808" spans="23:29" customFormat="1" x14ac:dyDescent="0.25">
      <c r="W808" s="37"/>
      <c r="X808" s="52"/>
      <c r="Y808" s="52"/>
      <c r="Z808" s="37"/>
      <c r="AA808" s="18"/>
      <c r="AB808" s="18"/>
      <c r="AC808" s="18"/>
    </row>
    <row r="809" spans="23:29" customFormat="1" x14ac:dyDescent="0.25">
      <c r="W809" s="37"/>
      <c r="X809" s="52"/>
      <c r="Y809" s="52"/>
      <c r="Z809" s="37"/>
      <c r="AA809" s="18"/>
      <c r="AB809" s="18"/>
      <c r="AC809" s="18"/>
    </row>
    <row r="810" spans="23:29" customFormat="1" x14ac:dyDescent="0.25">
      <c r="W810" s="37"/>
      <c r="X810" s="52"/>
      <c r="Y810" s="52"/>
      <c r="Z810" s="37"/>
      <c r="AA810" s="18"/>
      <c r="AB810" s="18"/>
      <c r="AC810" s="18"/>
    </row>
    <row r="811" spans="23:29" customFormat="1" x14ac:dyDescent="0.25">
      <c r="W811" s="37"/>
      <c r="X811" s="52"/>
      <c r="Y811" s="52"/>
      <c r="Z811" s="37"/>
      <c r="AA811" s="18"/>
      <c r="AB811" s="18"/>
      <c r="AC811" s="18"/>
    </row>
    <row r="812" spans="23:29" customFormat="1" x14ac:dyDescent="0.25">
      <c r="W812" s="37"/>
      <c r="X812" s="52"/>
      <c r="Y812" s="52"/>
      <c r="Z812" s="37"/>
      <c r="AA812" s="18"/>
      <c r="AB812" s="18"/>
      <c r="AC812" s="18"/>
    </row>
    <row r="813" spans="23:29" customFormat="1" x14ac:dyDescent="0.25">
      <c r="W813" s="37"/>
      <c r="X813" s="52"/>
      <c r="Y813" s="52"/>
      <c r="Z813" s="37"/>
      <c r="AA813" s="18"/>
      <c r="AB813" s="18"/>
      <c r="AC813" s="18"/>
    </row>
    <row r="814" spans="23:29" customFormat="1" x14ac:dyDescent="0.25">
      <c r="W814" s="37"/>
      <c r="X814" s="52"/>
      <c r="Y814" s="52"/>
      <c r="Z814" s="37"/>
      <c r="AA814" s="18"/>
      <c r="AB814" s="18"/>
      <c r="AC814" s="18"/>
    </row>
    <row r="815" spans="23:29" customFormat="1" x14ac:dyDescent="0.25">
      <c r="W815" s="37"/>
      <c r="X815" s="52"/>
      <c r="Y815" s="52"/>
      <c r="Z815" s="37"/>
      <c r="AA815" s="18"/>
      <c r="AB815" s="18"/>
      <c r="AC815" s="18"/>
    </row>
    <row r="816" spans="23:29" customFormat="1" x14ac:dyDescent="0.25">
      <c r="W816" s="37"/>
      <c r="X816" s="52"/>
      <c r="Y816" s="52"/>
      <c r="Z816" s="37"/>
      <c r="AA816" s="18"/>
      <c r="AB816" s="18"/>
      <c r="AC816" s="18"/>
    </row>
    <row r="817" spans="23:29" customFormat="1" x14ac:dyDescent="0.25">
      <c r="W817" s="37"/>
      <c r="X817" s="52"/>
      <c r="Y817" s="52"/>
      <c r="Z817" s="37"/>
      <c r="AA817" s="18"/>
      <c r="AB817" s="18"/>
      <c r="AC817" s="18"/>
    </row>
    <row r="818" spans="23:29" customFormat="1" x14ac:dyDescent="0.25">
      <c r="W818" s="37"/>
      <c r="X818" s="52"/>
      <c r="Y818" s="52"/>
      <c r="Z818" s="37"/>
      <c r="AA818" s="18"/>
      <c r="AB818" s="18"/>
      <c r="AC818" s="18"/>
    </row>
    <row r="819" spans="23:29" customFormat="1" x14ac:dyDescent="0.25">
      <c r="W819" s="37"/>
      <c r="X819" s="52"/>
      <c r="Y819" s="52"/>
      <c r="Z819" s="37"/>
      <c r="AA819" s="18"/>
      <c r="AB819" s="18"/>
      <c r="AC819" s="18"/>
    </row>
    <row r="820" spans="23:29" customFormat="1" x14ac:dyDescent="0.25">
      <c r="W820" s="37"/>
      <c r="X820" s="52"/>
      <c r="Y820" s="52"/>
      <c r="Z820" s="37"/>
      <c r="AA820" s="18"/>
      <c r="AB820" s="18"/>
      <c r="AC820" s="18"/>
    </row>
    <row r="821" spans="23:29" customFormat="1" x14ac:dyDescent="0.25">
      <c r="W821" s="37"/>
      <c r="X821" s="52"/>
      <c r="Y821" s="52"/>
      <c r="Z821" s="37"/>
      <c r="AA821" s="18"/>
      <c r="AB821" s="18"/>
      <c r="AC821" s="18"/>
    </row>
    <row r="822" spans="23:29" customFormat="1" x14ac:dyDescent="0.25">
      <c r="W822" s="37"/>
      <c r="X822" s="52"/>
      <c r="Y822" s="52"/>
      <c r="Z822" s="37"/>
      <c r="AA822" s="18"/>
      <c r="AB822" s="18"/>
      <c r="AC822" s="18"/>
    </row>
    <row r="823" spans="23:29" customFormat="1" x14ac:dyDescent="0.25">
      <c r="W823" s="37"/>
      <c r="X823" s="52"/>
      <c r="Y823" s="52"/>
      <c r="Z823" s="37"/>
      <c r="AA823" s="18"/>
      <c r="AB823" s="18"/>
      <c r="AC823" s="18"/>
    </row>
    <row r="824" spans="23:29" customFormat="1" x14ac:dyDescent="0.25">
      <c r="W824" s="37"/>
      <c r="X824" s="52"/>
      <c r="Y824" s="52"/>
      <c r="Z824" s="37"/>
      <c r="AA824" s="18"/>
      <c r="AB824" s="18"/>
      <c r="AC824" s="18"/>
    </row>
    <row r="825" spans="23:29" customFormat="1" x14ac:dyDescent="0.25">
      <c r="W825" s="37"/>
      <c r="X825" s="52"/>
      <c r="Y825" s="52"/>
      <c r="Z825" s="37"/>
      <c r="AA825" s="18"/>
      <c r="AB825" s="18"/>
      <c r="AC825" s="18"/>
    </row>
    <row r="826" spans="23:29" customFormat="1" x14ac:dyDescent="0.25">
      <c r="W826" s="37"/>
      <c r="X826" s="52"/>
      <c r="Y826" s="52"/>
      <c r="Z826" s="37"/>
      <c r="AA826" s="18"/>
      <c r="AB826" s="18"/>
      <c r="AC826" s="18"/>
    </row>
    <row r="827" spans="23:29" customFormat="1" x14ac:dyDescent="0.25">
      <c r="W827" s="37"/>
      <c r="X827" s="52"/>
      <c r="Y827" s="52"/>
      <c r="Z827" s="37"/>
      <c r="AA827" s="18"/>
      <c r="AB827" s="18"/>
      <c r="AC827" s="18"/>
    </row>
    <row r="828" spans="23:29" customFormat="1" x14ac:dyDescent="0.25">
      <c r="W828" s="37"/>
      <c r="X828" s="52"/>
      <c r="Y828" s="52"/>
      <c r="Z828" s="37"/>
      <c r="AA828" s="18"/>
      <c r="AB828" s="18"/>
      <c r="AC828" s="18"/>
    </row>
    <row r="829" spans="23:29" customFormat="1" x14ac:dyDescent="0.25">
      <c r="W829" s="37"/>
      <c r="X829" s="52"/>
      <c r="Y829" s="52"/>
      <c r="Z829" s="37"/>
      <c r="AA829" s="18"/>
      <c r="AB829" s="18"/>
      <c r="AC829" s="18"/>
    </row>
    <row r="830" spans="23:29" customFormat="1" x14ac:dyDescent="0.25">
      <c r="W830" s="37"/>
      <c r="X830" s="52"/>
      <c r="Y830" s="52"/>
      <c r="Z830" s="37"/>
      <c r="AA830" s="18"/>
      <c r="AB830" s="18"/>
      <c r="AC830" s="18"/>
    </row>
    <row r="831" spans="23:29" customFormat="1" x14ac:dyDescent="0.25">
      <c r="W831" s="37"/>
      <c r="X831" s="52"/>
      <c r="Y831" s="52"/>
      <c r="Z831" s="37"/>
      <c r="AA831" s="18"/>
      <c r="AB831" s="18"/>
      <c r="AC831" s="18"/>
    </row>
    <row r="832" spans="23:29" customFormat="1" x14ac:dyDescent="0.25">
      <c r="W832" s="37"/>
      <c r="X832" s="52"/>
      <c r="Y832" s="52"/>
      <c r="Z832" s="37"/>
      <c r="AA832" s="18"/>
      <c r="AB832" s="18"/>
      <c r="AC832" s="18"/>
    </row>
    <row r="833" spans="23:29" customFormat="1" x14ac:dyDescent="0.25">
      <c r="W833" s="37"/>
      <c r="X833" s="52"/>
      <c r="Y833" s="52"/>
      <c r="Z833" s="37"/>
      <c r="AA833" s="18"/>
      <c r="AB833" s="18"/>
      <c r="AC833" s="18"/>
    </row>
    <row r="834" spans="23:29" customFormat="1" x14ac:dyDescent="0.25">
      <c r="W834" s="37"/>
      <c r="X834" s="52"/>
      <c r="Y834" s="52"/>
      <c r="Z834" s="37"/>
      <c r="AA834" s="18"/>
      <c r="AB834" s="18"/>
      <c r="AC834" s="18"/>
    </row>
    <row r="835" spans="23:29" customFormat="1" x14ac:dyDescent="0.25">
      <c r="W835" s="37"/>
      <c r="X835" s="52"/>
      <c r="Y835" s="52"/>
      <c r="Z835" s="37"/>
      <c r="AA835" s="18"/>
      <c r="AB835" s="18"/>
      <c r="AC835" s="18"/>
    </row>
    <row r="836" spans="23:29" customFormat="1" x14ac:dyDescent="0.25">
      <c r="W836" s="37"/>
      <c r="X836" s="52"/>
      <c r="Y836" s="52"/>
      <c r="Z836" s="37"/>
      <c r="AA836" s="18"/>
      <c r="AB836" s="18"/>
      <c r="AC836" s="18"/>
    </row>
    <row r="837" spans="23:29" customFormat="1" x14ac:dyDescent="0.25">
      <c r="W837" s="37"/>
      <c r="X837" s="52"/>
      <c r="Y837" s="52"/>
      <c r="Z837" s="37"/>
      <c r="AA837" s="18"/>
      <c r="AB837" s="18"/>
      <c r="AC837" s="18"/>
    </row>
    <row r="838" spans="23:29" customFormat="1" x14ac:dyDescent="0.25">
      <c r="W838" s="37"/>
      <c r="X838" s="52"/>
      <c r="Y838" s="52"/>
      <c r="Z838" s="37"/>
      <c r="AA838" s="18"/>
      <c r="AB838" s="18"/>
      <c r="AC838" s="18"/>
    </row>
    <row r="839" spans="23:29" customFormat="1" x14ac:dyDescent="0.25">
      <c r="W839" s="37"/>
      <c r="X839" s="52"/>
      <c r="Y839" s="52"/>
      <c r="Z839" s="37"/>
      <c r="AA839" s="18"/>
      <c r="AB839" s="18"/>
      <c r="AC839" s="18"/>
    </row>
    <row r="840" spans="23:29" customFormat="1" x14ac:dyDescent="0.25">
      <c r="W840" s="37"/>
      <c r="X840" s="52"/>
      <c r="Y840" s="52"/>
      <c r="Z840" s="37"/>
      <c r="AA840" s="18"/>
      <c r="AB840" s="18"/>
      <c r="AC840" s="18"/>
    </row>
    <row r="841" spans="23:29" customFormat="1" x14ac:dyDescent="0.25">
      <c r="W841" s="37"/>
      <c r="X841" s="52"/>
      <c r="Y841" s="52"/>
      <c r="Z841" s="37"/>
      <c r="AA841" s="18"/>
      <c r="AB841" s="18"/>
      <c r="AC841" s="18"/>
    </row>
    <row r="842" spans="23:29" customFormat="1" x14ac:dyDescent="0.25">
      <c r="W842" s="37"/>
      <c r="X842" s="52"/>
      <c r="Y842" s="52"/>
      <c r="Z842" s="37"/>
      <c r="AA842" s="18"/>
      <c r="AB842" s="18"/>
      <c r="AC842" s="18"/>
    </row>
    <row r="843" spans="23:29" customFormat="1" x14ac:dyDescent="0.25">
      <c r="W843" s="37"/>
      <c r="X843" s="52"/>
      <c r="Y843" s="52"/>
      <c r="Z843" s="37"/>
      <c r="AA843" s="18"/>
      <c r="AB843" s="18"/>
      <c r="AC843" s="18"/>
    </row>
    <row r="844" spans="23:29" customFormat="1" x14ac:dyDescent="0.25">
      <c r="W844" s="37"/>
      <c r="X844" s="52"/>
      <c r="Y844" s="52"/>
      <c r="Z844" s="37"/>
      <c r="AA844" s="18"/>
      <c r="AB844" s="18"/>
      <c r="AC844" s="18"/>
    </row>
    <row r="845" spans="23:29" customFormat="1" x14ac:dyDescent="0.25">
      <c r="W845" s="37"/>
      <c r="X845" s="52"/>
      <c r="Y845" s="52"/>
      <c r="Z845" s="37"/>
      <c r="AA845" s="18"/>
      <c r="AB845" s="18"/>
      <c r="AC845" s="18"/>
    </row>
    <row r="846" spans="23:29" customFormat="1" x14ac:dyDescent="0.25">
      <c r="W846" s="37"/>
      <c r="X846" s="52"/>
      <c r="Y846" s="52"/>
      <c r="Z846" s="37"/>
      <c r="AA846" s="18"/>
      <c r="AB846" s="18"/>
      <c r="AC846" s="18"/>
    </row>
    <row r="847" spans="23:29" customFormat="1" x14ac:dyDescent="0.25">
      <c r="W847" s="37"/>
      <c r="X847" s="52"/>
      <c r="Y847" s="52"/>
      <c r="Z847" s="37"/>
      <c r="AA847" s="18"/>
      <c r="AB847" s="18"/>
      <c r="AC847" s="18"/>
    </row>
    <row r="848" spans="23:29" customFormat="1" x14ac:dyDescent="0.25">
      <c r="W848" s="37"/>
      <c r="X848" s="52"/>
      <c r="Y848" s="52"/>
      <c r="Z848" s="37"/>
      <c r="AA848" s="18"/>
      <c r="AB848" s="18"/>
      <c r="AC848" s="18"/>
    </row>
    <row r="849" spans="23:29" customFormat="1" x14ac:dyDescent="0.25">
      <c r="W849" s="37"/>
      <c r="X849" s="52"/>
      <c r="Y849" s="52"/>
      <c r="Z849" s="37"/>
      <c r="AA849" s="18"/>
      <c r="AB849" s="18"/>
      <c r="AC849" s="18"/>
    </row>
    <row r="850" spans="23:29" customFormat="1" x14ac:dyDescent="0.25">
      <c r="W850" s="37"/>
      <c r="X850" s="52"/>
      <c r="Y850" s="52"/>
      <c r="Z850" s="37"/>
      <c r="AA850" s="18"/>
      <c r="AB850" s="18"/>
      <c r="AC850" s="18"/>
    </row>
    <row r="851" spans="23:29" customFormat="1" x14ac:dyDescent="0.25">
      <c r="W851" s="37"/>
      <c r="X851" s="52"/>
      <c r="Y851" s="52"/>
      <c r="Z851" s="37"/>
      <c r="AA851" s="18"/>
      <c r="AB851" s="18"/>
      <c r="AC851" s="18"/>
    </row>
    <row r="852" spans="23:29" customFormat="1" x14ac:dyDescent="0.25">
      <c r="W852" s="37"/>
      <c r="X852" s="52"/>
      <c r="Y852" s="52"/>
      <c r="Z852" s="37"/>
      <c r="AA852" s="18"/>
      <c r="AB852" s="18"/>
      <c r="AC852" s="18"/>
    </row>
    <row r="853" spans="23:29" customFormat="1" x14ac:dyDescent="0.25">
      <c r="W853" s="37"/>
      <c r="X853" s="52"/>
      <c r="Y853" s="52"/>
      <c r="Z853" s="37"/>
      <c r="AA853" s="18"/>
      <c r="AB853" s="18"/>
      <c r="AC853" s="18"/>
    </row>
    <row r="854" spans="23:29" customFormat="1" x14ac:dyDescent="0.25">
      <c r="W854" s="37"/>
      <c r="X854" s="52"/>
      <c r="Y854" s="52"/>
      <c r="Z854" s="37"/>
      <c r="AA854" s="18"/>
      <c r="AB854" s="18"/>
      <c r="AC854" s="18"/>
    </row>
    <row r="855" spans="23:29" customFormat="1" x14ac:dyDescent="0.25">
      <c r="W855" s="37"/>
      <c r="X855" s="52"/>
      <c r="Y855" s="52"/>
      <c r="Z855" s="37"/>
      <c r="AA855" s="18"/>
      <c r="AB855" s="18"/>
      <c r="AC855" s="18"/>
    </row>
    <row r="856" spans="23:29" customFormat="1" x14ac:dyDescent="0.25">
      <c r="W856" s="37"/>
      <c r="X856" s="52"/>
      <c r="Y856" s="52"/>
      <c r="Z856" s="37"/>
      <c r="AA856" s="18"/>
      <c r="AB856" s="18"/>
      <c r="AC856" s="18"/>
    </row>
    <row r="857" spans="23:29" customFormat="1" x14ac:dyDescent="0.25">
      <c r="W857" s="37"/>
      <c r="X857" s="52"/>
      <c r="Y857" s="52"/>
      <c r="Z857" s="37"/>
      <c r="AA857" s="18"/>
      <c r="AB857" s="18"/>
      <c r="AC857" s="18"/>
    </row>
    <row r="858" spans="23:29" customFormat="1" x14ac:dyDescent="0.25">
      <c r="W858" s="37"/>
      <c r="X858" s="52"/>
      <c r="Y858" s="52"/>
      <c r="Z858" s="37"/>
      <c r="AA858" s="18"/>
      <c r="AB858" s="18"/>
      <c r="AC858" s="18"/>
    </row>
    <row r="859" spans="23:29" customFormat="1" x14ac:dyDescent="0.25">
      <c r="W859" s="37"/>
      <c r="X859" s="52"/>
      <c r="Y859" s="52"/>
      <c r="Z859" s="37"/>
      <c r="AA859" s="18"/>
      <c r="AB859" s="18"/>
      <c r="AC859" s="18"/>
    </row>
    <row r="860" spans="23:29" customFormat="1" x14ac:dyDescent="0.25">
      <c r="W860" s="37"/>
      <c r="X860" s="52"/>
      <c r="Y860" s="52"/>
      <c r="Z860" s="37"/>
      <c r="AA860" s="18"/>
      <c r="AB860" s="18"/>
      <c r="AC860" s="18"/>
    </row>
    <row r="861" spans="23:29" customFormat="1" x14ac:dyDescent="0.25">
      <c r="W861" s="37"/>
      <c r="X861" s="52"/>
      <c r="Y861" s="52"/>
      <c r="Z861" s="37"/>
      <c r="AA861" s="18"/>
      <c r="AB861" s="18"/>
      <c r="AC861" s="18"/>
    </row>
    <row r="862" spans="23:29" customFormat="1" x14ac:dyDescent="0.25">
      <c r="W862" s="37"/>
      <c r="X862" s="52"/>
      <c r="Y862" s="52"/>
      <c r="Z862" s="37"/>
      <c r="AA862" s="18"/>
      <c r="AB862" s="18"/>
      <c r="AC862" s="18"/>
    </row>
    <row r="863" spans="23:29" customFormat="1" x14ac:dyDescent="0.25">
      <c r="W863" s="37"/>
      <c r="X863" s="52"/>
      <c r="Y863" s="52"/>
      <c r="Z863" s="37"/>
      <c r="AA863" s="18"/>
      <c r="AB863" s="18"/>
      <c r="AC863" s="18"/>
    </row>
    <row r="864" spans="23:29" customFormat="1" x14ac:dyDescent="0.25">
      <c r="W864" s="37"/>
      <c r="X864" s="52"/>
      <c r="Y864" s="52"/>
      <c r="Z864" s="37"/>
      <c r="AA864" s="18"/>
      <c r="AB864" s="18"/>
      <c r="AC864" s="18"/>
    </row>
    <row r="865" spans="23:29" customFormat="1" x14ac:dyDescent="0.25">
      <c r="W865" s="37"/>
      <c r="X865" s="52"/>
      <c r="Y865" s="52"/>
      <c r="Z865" s="37"/>
      <c r="AA865" s="18"/>
      <c r="AB865" s="18"/>
      <c r="AC865" s="18"/>
    </row>
    <row r="866" spans="23:29" customFormat="1" x14ac:dyDescent="0.25">
      <c r="W866" s="37"/>
      <c r="X866" s="52"/>
      <c r="Y866" s="52"/>
      <c r="Z866" s="37"/>
      <c r="AA866" s="18"/>
      <c r="AB866" s="18"/>
      <c r="AC866" s="18"/>
    </row>
    <row r="867" spans="23:29" customFormat="1" x14ac:dyDescent="0.25">
      <c r="W867" s="37"/>
      <c r="X867" s="52"/>
      <c r="Y867" s="52"/>
      <c r="Z867" s="37"/>
      <c r="AA867" s="18"/>
      <c r="AB867" s="18"/>
      <c r="AC867" s="18"/>
    </row>
    <row r="868" spans="23:29" customFormat="1" x14ac:dyDescent="0.25">
      <c r="W868" s="37"/>
      <c r="X868" s="52"/>
      <c r="Y868" s="52"/>
      <c r="Z868" s="37"/>
      <c r="AA868" s="18"/>
      <c r="AB868" s="18"/>
      <c r="AC868" s="18"/>
    </row>
    <row r="869" spans="23:29" customFormat="1" x14ac:dyDescent="0.25">
      <c r="W869" s="37"/>
      <c r="X869" s="52"/>
      <c r="Y869" s="52"/>
      <c r="Z869" s="37"/>
      <c r="AA869" s="18"/>
      <c r="AB869" s="18"/>
      <c r="AC869" s="18"/>
    </row>
    <row r="870" spans="23:29" customFormat="1" x14ac:dyDescent="0.25">
      <c r="W870" s="37"/>
      <c r="X870" s="52"/>
      <c r="Y870" s="52"/>
      <c r="Z870" s="37"/>
      <c r="AA870" s="18"/>
      <c r="AB870" s="18"/>
      <c r="AC870" s="18"/>
    </row>
    <row r="871" spans="23:29" customFormat="1" x14ac:dyDescent="0.25">
      <c r="W871" s="37"/>
      <c r="X871" s="52"/>
      <c r="Y871" s="52"/>
      <c r="Z871" s="37"/>
      <c r="AA871" s="18"/>
      <c r="AB871" s="18"/>
      <c r="AC871" s="18"/>
    </row>
    <row r="872" spans="23:29" customFormat="1" x14ac:dyDescent="0.25">
      <c r="W872" s="37"/>
      <c r="X872" s="52"/>
      <c r="Y872" s="52"/>
      <c r="Z872" s="37"/>
      <c r="AA872" s="18"/>
      <c r="AB872" s="18"/>
      <c r="AC872" s="18"/>
    </row>
    <row r="873" spans="23:29" customFormat="1" x14ac:dyDescent="0.25">
      <c r="W873" s="37"/>
      <c r="X873" s="52"/>
      <c r="Y873" s="52"/>
      <c r="Z873" s="37"/>
      <c r="AA873" s="18"/>
      <c r="AB873" s="18"/>
      <c r="AC873" s="18"/>
    </row>
    <row r="874" spans="23:29" customFormat="1" x14ac:dyDescent="0.25">
      <c r="W874" s="37"/>
      <c r="X874" s="52"/>
      <c r="Y874" s="52"/>
      <c r="Z874" s="37"/>
      <c r="AA874" s="18"/>
      <c r="AB874" s="18"/>
      <c r="AC874" s="18"/>
    </row>
  </sheetData>
  <mergeCells count="8">
    <mergeCell ref="W31:Y31"/>
    <mergeCell ref="W32:Z32"/>
    <mergeCell ref="A1:AI1"/>
    <mergeCell ref="JK2:JM2"/>
    <mergeCell ref="AA18:AC18"/>
    <mergeCell ref="IY27:JA27"/>
    <mergeCell ref="A28:B28"/>
    <mergeCell ref="IY28:JB2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R874"/>
  <sheetViews>
    <sheetView topLeftCell="EV11" workbookViewId="0">
      <selection sqref="A1:XFD1048576"/>
    </sheetView>
  </sheetViews>
  <sheetFormatPr defaultRowHeight="15" x14ac:dyDescent="0.25"/>
  <cols>
    <col min="1" max="1" width="6.5703125" customWidth="1"/>
    <col min="2" max="2" width="39.28515625" customWidth="1"/>
    <col min="3" max="3" width="4" style="1" customWidth="1"/>
    <col min="4" max="4" width="5.28515625" style="6" customWidth="1"/>
    <col min="5" max="5" width="7.28515625" customWidth="1"/>
    <col min="6" max="6" width="8.140625" customWidth="1"/>
    <col min="7" max="7" width="4" style="1" customWidth="1"/>
    <col min="8" max="8" width="5.28515625" style="6" customWidth="1"/>
    <col min="9" max="9" width="7.28515625" style="2" customWidth="1"/>
    <col min="10" max="10" width="8.42578125" style="2" customWidth="1"/>
    <col min="11" max="11" width="4" style="1" customWidth="1"/>
    <col min="12" max="12" width="5.28515625" style="6" customWidth="1"/>
    <col min="13" max="13" width="7.85546875" style="2" customWidth="1"/>
    <col min="14" max="14" width="9" style="2" customWidth="1"/>
    <col min="15" max="15" width="4.28515625" style="2" customWidth="1"/>
    <col min="16" max="16" width="4.5703125" style="2" customWidth="1"/>
    <col min="17" max="17" width="7.7109375" style="2" customWidth="1"/>
    <col min="18" max="18" width="8.28515625" style="2" customWidth="1"/>
    <col min="19" max="19" width="4" style="1" customWidth="1"/>
    <col min="20" max="20" width="5.28515625" style="6" customWidth="1"/>
    <col min="21" max="21" width="8" style="2" customWidth="1"/>
    <col min="22" max="22" width="8.140625" style="2" customWidth="1"/>
    <col min="23" max="23" width="3.85546875" customWidth="1"/>
    <col min="24" max="24" width="4.28515625" style="11" customWidth="1"/>
    <col min="25" max="25" width="8" style="11" customWidth="1"/>
    <col min="26" max="26" width="8.28515625" customWidth="1"/>
    <col min="27" max="27" width="4.28515625" style="2" customWidth="1"/>
    <col min="28" max="28" width="5" style="2" customWidth="1"/>
    <col min="29" max="30" width="8.42578125" style="2" customWidth="1"/>
    <col min="31" max="31" width="4" customWidth="1"/>
    <col min="32" max="32" width="5.42578125" customWidth="1"/>
    <col min="33" max="33" width="8" customWidth="1"/>
    <col min="34" max="34" width="7.140625" customWidth="1"/>
    <col min="35" max="35" width="5" customWidth="1"/>
    <col min="36" max="36" width="5.140625" customWidth="1"/>
    <col min="37" max="37" width="7.42578125" customWidth="1"/>
    <col min="38" max="38" width="7.5703125" customWidth="1"/>
    <col min="39" max="40" width="4.7109375" customWidth="1"/>
    <col min="41" max="41" width="7.85546875" customWidth="1"/>
    <col min="42" max="42" width="7.5703125" customWidth="1"/>
    <col min="43" max="43" width="4" customWidth="1"/>
    <col min="44" max="44" width="5.5703125" customWidth="1"/>
    <col min="45" max="45" width="8.42578125" customWidth="1"/>
    <col min="46" max="46" width="8.5703125" customWidth="1"/>
    <col min="47" max="47" width="4.140625" customWidth="1"/>
    <col min="48" max="48" width="4.7109375" customWidth="1"/>
    <col min="49" max="49" width="7.5703125" customWidth="1"/>
    <col min="50" max="50" width="8.42578125" customWidth="1"/>
    <col min="51" max="51" width="4.7109375" customWidth="1"/>
    <col min="52" max="52" width="4.85546875" customWidth="1"/>
    <col min="53" max="53" width="7.28515625" customWidth="1"/>
    <col min="54" max="54" width="7.5703125" customWidth="1"/>
    <col min="55" max="55" width="4.42578125" customWidth="1"/>
    <col min="56" max="56" width="4.85546875" customWidth="1"/>
    <col min="57" max="57" width="7.5703125" customWidth="1"/>
    <col min="58" max="58" width="8" customWidth="1"/>
    <col min="59" max="59" width="4.5703125" customWidth="1"/>
    <col min="60" max="60" width="4.85546875" customWidth="1"/>
    <col min="61" max="61" width="7.5703125" customWidth="1"/>
    <col min="62" max="62" width="8.140625" customWidth="1"/>
    <col min="63" max="63" width="4.7109375" customWidth="1"/>
    <col min="64" max="64" width="4.85546875" customWidth="1"/>
    <col min="65" max="65" width="7.7109375" customWidth="1"/>
    <col min="66" max="66" width="8.28515625" customWidth="1"/>
    <col min="67" max="67" width="5.5703125" customWidth="1"/>
    <col min="68" max="68" width="5.42578125" customWidth="1"/>
    <col min="69" max="69" width="8" customWidth="1"/>
    <col min="70" max="70" width="8.28515625" customWidth="1"/>
    <col min="71" max="71" width="4.42578125" customWidth="1"/>
    <col min="72" max="72" width="4.7109375" customWidth="1"/>
    <col min="73" max="73" width="7.7109375" customWidth="1"/>
    <col min="74" max="74" width="8" customWidth="1"/>
    <col min="75" max="75" width="5" customWidth="1"/>
    <col min="76" max="76" width="5.42578125" customWidth="1"/>
    <col min="77" max="77" width="7.5703125" customWidth="1"/>
    <col min="78" max="78" width="8" customWidth="1"/>
    <col min="79" max="79" width="4.28515625" customWidth="1"/>
    <col min="80" max="80" width="5.5703125" customWidth="1"/>
    <col min="81" max="81" width="7.7109375" customWidth="1"/>
    <col min="82" max="82" width="8" customWidth="1"/>
    <col min="83" max="83" width="4" customWidth="1"/>
    <col min="84" max="84" width="4.5703125" customWidth="1"/>
    <col min="85" max="85" width="7.85546875" customWidth="1"/>
    <col min="86" max="86" width="8" customWidth="1"/>
    <col min="87" max="87" width="4.140625" customWidth="1"/>
    <col min="88" max="88" width="3.5703125" customWidth="1"/>
    <col min="89" max="90" width="8" customWidth="1"/>
    <col min="91" max="91" width="4.85546875" customWidth="1"/>
    <col min="92" max="92" width="5.5703125" customWidth="1"/>
    <col min="93" max="93" width="7.7109375" customWidth="1"/>
    <col min="94" max="94" width="8" customWidth="1"/>
    <col min="95" max="95" width="3.7109375" customWidth="1"/>
    <col min="96" max="96" width="4" customWidth="1"/>
    <col min="97" max="97" width="8.5703125" customWidth="1"/>
    <col min="98" max="98" width="8.140625" customWidth="1"/>
    <col min="99" max="99" width="4.7109375" customWidth="1"/>
    <col min="100" max="100" width="4.140625" customWidth="1"/>
    <col min="101" max="101" width="8.28515625" customWidth="1"/>
    <col min="102" max="102" width="7.5703125" customWidth="1"/>
    <col min="103" max="103" width="4.42578125" customWidth="1"/>
    <col min="104" max="104" width="4.140625" customWidth="1"/>
    <col min="105" max="105" width="8" customWidth="1"/>
    <col min="106" max="106" width="7.7109375" customWidth="1"/>
    <col min="107" max="107" width="4.42578125" customWidth="1"/>
    <col min="108" max="108" width="5" customWidth="1"/>
    <col min="109" max="109" width="8" customWidth="1"/>
    <col min="110" max="110" width="7.7109375" customWidth="1"/>
    <col min="111" max="111" width="3.85546875" customWidth="1"/>
    <col min="112" max="112" width="4.5703125" customWidth="1"/>
    <col min="113" max="114" width="7.85546875" customWidth="1"/>
    <col min="115" max="115" width="4.140625" customWidth="1"/>
    <col min="116" max="116" width="4" customWidth="1"/>
    <col min="117" max="117" width="9" customWidth="1"/>
    <col min="118" max="118" width="8.28515625" customWidth="1"/>
    <col min="119" max="119" width="3.85546875" customWidth="1"/>
    <col min="120" max="120" width="4.5703125" customWidth="1"/>
    <col min="121" max="121" width="7.5703125" customWidth="1"/>
    <col min="122" max="122" width="7.7109375" customWidth="1"/>
    <col min="123" max="123" width="4" customWidth="1"/>
    <col min="124" max="124" width="4.7109375" customWidth="1"/>
    <col min="125" max="125" width="7.5703125" customWidth="1"/>
    <col min="126" max="126" width="9" customWidth="1"/>
    <col min="127" max="128" width="4.7109375" customWidth="1"/>
    <col min="129" max="129" width="7.42578125" customWidth="1"/>
    <col min="130" max="130" width="8.42578125" customWidth="1"/>
    <col min="131" max="131" width="4.7109375" customWidth="1"/>
    <col min="132" max="132" width="5.42578125" customWidth="1"/>
    <col min="133" max="133" width="7.85546875" customWidth="1"/>
    <col min="134" max="134" width="8.42578125" customWidth="1"/>
    <col min="135" max="135" width="3.7109375" customWidth="1"/>
    <col min="136" max="136" width="4" customWidth="1"/>
    <col min="137" max="137" width="8.28515625" customWidth="1"/>
    <col min="138" max="138" width="8" customWidth="1"/>
    <col min="139" max="139" width="4.42578125" customWidth="1"/>
    <col min="140" max="140" width="5" customWidth="1"/>
    <col min="141" max="141" width="7.5703125" customWidth="1"/>
    <col min="142" max="142" width="8" customWidth="1"/>
    <col min="143" max="143" width="4.85546875" customWidth="1"/>
    <col min="144" max="144" width="4.7109375" customWidth="1"/>
    <col min="145" max="145" width="7.5703125" customWidth="1"/>
    <col min="146" max="146" width="8" customWidth="1"/>
    <col min="147" max="148" width="4.7109375" customWidth="1"/>
    <col min="149" max="149" width="8" customWidth="1"/>
    <col min="150" max="150" width="8.42578125" customWidth="1"/>
    <col min="151" max="151" width="4.5703125" customWidth="1"/>
    <col min="152" max="152" width="4.42578125" customWidth="1"/>
    <col min="153" max="153" width="7.5703125" customWidth="1"/>
    <col min="154" max="154" width="7.28515625" customWidth="1"/>
    <col min="155" max="155" width="5" customWidth="1"/>
    <col min="156" max="156" width="4.7109375" customWidth="1"/>
    <col min="157" max="157" width="7.42578125" customWidth="1"/>
    <col min="158" max="158" width="8" customWidth="1"/>
    <col min="159" max="159" width="4.85546875" customWidth="1"/>
    <col min="160" max="160" width="4.42578125" customWidth="1"/>
    <col min="161" max="161" width="8" customWidth="1"/>
    <col min="162" max="162" width="8.42578125" customWidth="1"/>
    <col min="163" max="163" width="5.140625" customWidth="1"/>
    <col min="164" max="164" width="5.5703125" customWidth="1"/>
    <col min="165" max="165" width="7.5703125" customWidth="1"/>
    <col min="166" max="166" width="8" customWidth="1"/>
    <col min="167" max="173" width="7.140625" customWidth="1"/>
  </cols>
  <sheetData>
    <row r="1" spans="1:174" ht="33.75" customHeight="1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spans="1:174" ht="70.5" customHeight="1" thickBot="1" x14ac:dyDescent="0.3">
      <c r="A2" s="23" t="s">
        <v>4</v>
      </c>
      <c r="B2" s="55" t="s">
        <v>5</v>
      </c>
      <c r="C2" s="3" t="s">
        <v>0</v>
      </c>
      <c r="D2" s="9" t="s">
        <v>2</v>
      </c>
      <c r="E2" s="7" t="s">
        <v>1</v>
      </c>
      <c r="F2" s="7" t="s">
        <v>6</v>
      </c>
      <c r="G2" s="3" t="s">
        <v>0</v>
      </c>
      <c r="H2" s="9" t="s">
        <v>2</v>
      </c>
      <c r="I2" s="7" t="s">
        <v>1</v>
      </c>
      <c r="J2" s="7" t="s">
        <v>6</v>
      </c>
      <c r="K2" s="3" t="s">
        <v>0</v>
      </c>
      <c r="L2" s="9" t="s">
        <v>2</v>
      </c>
      <c r="M2" s="7" t="s">
        <v>1</v>
      </c>
      <c r="N2" s="7" t="s">
        <v>6</v>
      </c>
      <c r="O2" s="3" t="s">
        <v>0</v>
      </c>
      <c r="P2" s="9" t="s">
        <v>2</v>
      </c>
      <c r="Q2" s="7" t="s">
        <v>1</v>
      </c>
      <c r="R2" s="7" t="s">
        <v>6</v>
      </c>
      <c r="S2" s="3" t="s">
        <v>0</v>
      </c>
      <c r="T2" s="9" t="s">
        <v>2</v>
      </c>
      <c r="U2" s="7" t="s">
        <v>1</v>
      </c>
      <c r="V2" s="7" t="s">
        <v>6</v>
      </c>
      <c r="W2" s="3" t="s">
        <v>0</v>
      </c>
      <c r="X2" s="9" t="s">
        <v>2</v>
      </c>
      <c r="Y2" s="7" t="s">
        <v>1</v>
      </c>
      <c r="Z2" s="7" t="s">
        <v>6</v>
      </c>
      <c r="AA2" s="3" t="s">
        <v>0</v>
      </c>
      <c r="AB2" s="9" t="s">
        <v>2</v>
      </c>
      <c r="AC2" s="7" t="s">
        <v>1</v>
      </c>
      <c r="AD2" s="7" t="s">
        <v>6</v>
      </c>
      <c r="AE2" s="3" t="s">
        <v>0</v>
      </c>
      <c r="AF2" s="9" t="s">
        <v>2</v>
      </c>
      <c r="AG2" s="7" t="s">
        <v>1</v>
      </c>
      <c r="AH2" s="7" t="s">
        <v>6</v>
      </c>
      <c r="AI2" s="3" t="s">
        <v>0</v>
      </c>
      <c r="AJ2" s="9" t="s">
        <v>2</v>
      </c>
      <c r="AK2" s="7" t="s">
        <v>1</v>
      </c>
      <c r="AL2" s="7" t="s">
        <v>6</v>
      </c>
      <c r="AM2" s="3" t="s">
        <v>0</v>
      </c>
      <c r="AN2" s="9" t="s">
        <v>2</v>
      </c>
      <c r="AO2" s="7" t="s">
        <v>1</v>
      </c>
      <c r="AP2" s="7" t="s">
        <v>6</v>
      </c>
      <c r="AQ2" s="3" t="s">
        <v>0</v>
      </c>
      <c r="AR2" s="9" t="s">
        <v>2</v>
      </c>
      <c r="AS2" s="7" t="s">
        <v>1</v>
      </c>
      <c r="AT2" s="7" t="s">
        <v>6</v>
      </c>
      <c r="AU2" s="3" t="s">
        <v>0</v>
      </c>
      <c r="AV2" s="9" t="s">
        <v>2</v>
      </c>
      <c r="AW2" s="7" t="s">
        <v>1</v>
      </c>
      <c r="AX2" s="7" t="s">
        <v>6</v>
      </c>
      <c r="AY2" s="3" t="s">
        <v>0</v>
      </c>
      <c r="AZ2" s="9" t="s">
        <v>2</v>
      </c>
      <c r="BA2" s="7" t="s">
        <v>1</v>
      </c>
      <c r="BB2" s="7" t="s">
        <v>6</v>
      </c>
      <c r="BC2" s="3" t="s">
        <v>0</v>
      </c>
      <c r="BD2" s="9" t="s">
        <v>2</v>
      </c>
      <c r="BE2" s="7" t="s">
        <v>1</v>
      </c>
      <c r="BF2" s="7" t="s">
        <v>6</v>
      </c>
      <c r="BG2" s="3" t="s">
        <v>0</v>
      </c>
      <c r="BH2" s="9" t="s">
        <v>2</v>
      </c>
      <c r="BI2" s="7" t="s">
        <v>1</v>
      </c>
      <c r="BJ2" s="7" t="s">
        <v>6</v>
      </c>
      <c r="BK2" s="3" t="s">
        <v>0</v>
      </c>
      <c r="BL2" s="9" t="s">
        <v>2</v>
      </c>
      <c r="BM2" s="7" t="s">
        <v>1</v>
      </c>
      <c r="BN2" s="7" t="s">
        <v>6</v>
      </c>
      <c r="BO2" s="3" t="s">
        <v>0</v>
      </c>
      <c r="BP2" s="9" t="s">
        <v>2</v>
      </c>
      <c r="BQ2" s="7" t="s">
        <v>1</v>
      </c>
      <c r="BR2" s="7" t="s">
        <v>6</v>
      </c>
      <c r="BS2" s="3" t="s">
        <v>0</v>
      </c>
      <c r="BT2" s="9" t="s">
        <v>2</v>
      </c>
      <c r="BU2" s="7" t="s">
        <v>1</v>
      </c>
      <c r="BV2" s="7" t="s">
        <v>6</v>
      </c>
      <c r="BW2" s="3" t="s">
        <v>0</v>
      </c>
      <c r="BX2" s="9" t="s">
        <v>2</v>
      </c>
      <c r="BY2" s="7" t="s">
        <v>1</v>
      </c>
      <c r="BZ2" s="7" t="s">
        <v>6</v>
      </c>
      <c r="CA2" s="3" t="s">
        <v>0</v>
      </c>
      <c r="CB2" s="9" t="s">
        <v>2</v>
      </c>
      <c r="CC2" s="7" t="s">
        <v>1</v>
      </c>
      <c r="CD2" s="7" t="s">
        <v>6</v>
      </c>
      <c r="CE2" s="3" t="s">
        <v>0</v>
      </c>
      <c r="CF2" s="9" t="s">
        <v>2</v>
      </c>
      <c r="CG2" s="7" t="s">
        <v>1</v>
      </c>
      <c r="CH2" s="7" t="s">
        <v>6</v>
      </c>
      <c r="CI2" s="3" t="s">
        <v>0</v>
      </c>
      <c r="CJ2" s="9" t="s">
        <v>2</v>
      </c>
      <c r="CK2" s="7" t="s">
        <v>1</v>
      </c>
      <c r="CL2" s="7" t="s">
        <v>6</v>
      </c>
      <c r="CM2" s="3" t="s">
        <v>0</v>
      </c>
      <c r="CN2" s="9" t="s">
        <v>2</v>
      </c>
      <c r="CO2" s="7" t="s">
        <v>1</v>
      </c>
      <c r="CP2" s="7" t="s">
        <v>6</v>
      </c>
      <c r="CQ2" s="3" t="s">
        <v>0</v>
      </c>
      <c r="CR2" s="9" t="s">
        <v>2</v>
      </c>
      <c r="CS2" s="7" t="s">
        <v>1</v>
      </c>
      <c r="CT2" s="7" t="s">
        <v>6</v>
      </c>
      <c r="CU2" s="3" t="s">
        <v>0</v>
      </c>
      <c r="CV2" s="9" t="s">
        <v>2</v>
      </c>
      <c r="CW2" s="7" t="s">
        <v>1</v>
      </c>
      <c r="CX2" s="7" t="s">
        <v>6</v>
      </c>
      <c r="CY2" s="3" t="s">
        <v>0</v>
      </c>
      <c r="CZ2" s="9" t="s">
        <v>2</v>
      </c>
      <c r="DA2" s="7" t="s">
        <v>1</v>
      </c>
      <c r="DB2" s="7" t="s">
        <v>6</v>
      </c>
      <c r="DC2" s="3" t="s">
        <v>0</v>
      </c>
      <c r="DD2" s="9" t="s">
        <v>2</v>
      </c>
      <c r="DE2" s="7" t="s">
        <v>1</v>
      </c>
      <c r="DF2" s="7" t="s">
        <v>6</v>
      </c>
      <c r="DG2" s="3" t="s">
        <v>0</v>
      </c>
      <c r="DH2" s="9" t="s">
        <v>2</v>
      </c>
      <c r="DI2" s="7" t="s">
        <v>1</v>
      </c>
      <c r="DJ2" s="7" t="s">
        <v>6</v>
      </c>
      <c r="DK2" s="3" t="s">
        <v>0</v>
      </c>
      <c r="DL2" s="9" t="s">
        <v>2</v>
      </c>
      <c r="DM2" s="7" t="s">
        <v>1</v>
      </c>
      <c r="DN2" s="7" t="s">
        <v>6</v>
      </c>
      <c r="DO2" s="3" t="s">
        <v>0</v>
      </c>
      <c r="DP2" s="9" t="s">
        <v>2</v>
      </c>
      <c r="DQ2" s="7" t="s">
        <v>1</v>
      </c>
      <c r="DR2" s="7" t="s">
        <v>6</v>
      </c>
      <c r="DS2" s="3" t="s">
        <v>0</v>
      </c>
      <c r="DT2" s="9" t="s">
        <v>2</v>
      </c>
      <c r="DU2" s="7" t="s">
        <v>1</v>
      </c>
      <c r="DV2" s="7" t="s">
        <v>6</v>
      </c>
      <c r="DW2" s="3" t="s">
        <v>0</v>
      </c>
      <c r="DX2" s="9" t="s">
        <v>2</v>
      </c>
      <c r="DY2" s="7" t="s">
        <v>1</v>
      </c>
      <c r="DZ2" s="7" t="s">
        <v>6</v>
      </c>
      <c r="EA2" s="3" t="s">
        <v>0</v>
      </c>
      <c r="EB2" s="9" t="s">
        <v>2</v>
      </c>
      <c r="EC2" s="7" t="s">
        <v>1</v>
      </c>
      <c r="ED2" s="7" t="s">
        <v>6</v>
      </c>
      <c r="EE2" s="3" t="s">
        <v>0</v>
      </c>
      <c r="EF2" s="9" t="s">
        <v>2</v>
      </c>
      <c r="EG2" s="7" t="s">
        <v>1</v>
      </c>
      <c r="EH2" s="7" t="s">
        <v>6</v>
      </c>
      <c r="EI2" s="3" t="s">
        <v>0</v>
      </c>
      <c r="EJ2" s="9" t="s">
        <v>2</v>
      </c>
      <c r="EK2" s="7" t="s">
        <v>1</v>
      </c>
      <c r="EL2" s="7" t="s">
        <v>6</v>
      </c>
      <c r="EM2" s="3" t="s">
        <v>0</v>
      </c>
      <c r="EN2" s="9" t="s">
        <v>2</v>
      </c>
      <c r="EO2" s="7" t="s">
        <v>1</v>
      </c>
      <c r="EP2" s="7" t="s">
        <v>6</v>
      </c>
      <c r="EQ2" s="3" t="s">
        <v>0</v>
      </c>
      <c r="ER2" s="9" t="s">
        <v>2</v>
      </c>
      <c r="ES2" s="7" t="s">
        <v>1</v>
      </c>
      <c r="ET2" s="7" t="s">
        <v>6</v>
      </c>
      <c r="EU2" s="3" t="s">
        <v>0</v>
      </c>
      <c r="EV2" s="9" t="s">
        <v>2</v>
      </c>
      <c r="EW2" s="7" t="s">
        <v>1</v>
      </c>
      <c r="EX2" s="7" t="s">
        <v>6</v>
      </c>
      <c r="EY2" s="3" t="s">
        <v>0</v>
      </c>
      <c r="EZ2" s="9" t="s">
        <v>2</v>
      </c>
      <c r="FA2" s="7" t="s">
        <v>1</v>
      </c>
      <c r="FB2" s="7" t="s">
        <v>6</v>
      </c>
      <c r="FC2" s="3" t="s">
        <v>0</v>
      </c>
      <c r="FD2" s="9" t="s">
        <v>2</v>
      </c>
      <c r="FE2" s="7" t="s">
        <v>1</v>
      </c>
      <c r="FF2" s="7" t="s">
        <v>6</v>
      </c>
      <c r="FG2" s="3" t="s">
        <v>0</v>
      </c>
      <c r="FH2" s="9" t="s">
        <v>2</v>
      </c>
      <c r="FI2" s="7" t="s">
        <v>1</v>
      </c>
      <c r="FJ2" s="7" t="s">
        <v>6</v>
      </c>
      <c r="FK2" s="49" t="s">
        <v>19</v>
      </c>
      <c r="FL2" s="10" t="s">
        <v>20</v>
      </c>
      <c r="FM2" s="10" t="s">
        <v>21</v>
      </c>
      <c r="FN2" s="10" t="s">
        <v>22</v>
      </c>
      <c r="FO2" s="81" t="s">
        <v>23</v>
      </c>
      <c r="FP2" s="81"/>
      <c r="FQ2" s="81"/>
      <c r="FR2" s="22" t="s">
        <v>24</v>
      </c>
    </row>
    <row r="3" spans="1:174" ht="72" customHeight="1" thickBot="1" x14ac:dyDescent="0.3">
      <c r="A3" s="21">
        <v>1</v>
      </c>
      <c r="B3" s="30" t="s">
        <v>13</v>
      </c>
      <c r="C3" s="3"/>
      <c r="D3" s="3"/>
      <c r="E3" s="12" t="e">
        <f>D3/C3</f>
        <v>#DIV/0!</v>
      </c>
      <c r="F3" s="12" t="e">
        <f>POWER(D3-$FM3,2)</f>
        <v>#DIV/0!</v>
      </c>
      <c r="G3" s="3"/>
      <c r="H3" s="5"/>
      <c r="I3" s="12" t="e">
        <f>H3/G3</f>
        <v>#DIV/0!</v>
      </c>
      <c r="J3" s="12" t="e">
        <f>POWER(H3-$FM3,2)</f>
        <v>#DIV/0!</v>
      </c>
      <c r="K3" s="3"/>
      <c r="L3" s="5"/>
      <c r="M3" s="12" t="e">
        <f>L3/K3</f>
        <v>#DIV/0!</v>
      </c>
      <c r="N3" s="12" t="e">
        <f>POWER(L3-$FM3,2)</f>
        <v>#DIV/0!</v>
      </c>
      <c r="O3" s="3"/>
      <c r="P3" s="5"/>
      <c r="Q3" s="12" t="e">
        <f>P3/O3</f>
        <v>#DIV/0!</v>
      </c>
      <c r="R3" s="12" t="e">
        <f>POWER(P3-$FM3,2)</f>
        <v>#DIV/0!</v>
      </c>
      <c r="S3" s="3"/>
      <c r="T3" s="26"/>
      <c r="U3" s="12" t="e">
        <f>T3/S3</f>
        <v>#DIV/0!</v>
      </c>
      <c r="V3" s="12" t="e">
        <f>POWER(T3-$FM3,2)</f>
        <v>#DIV/0!</v>
      </c>
      <c r="W3" s="3"/>
      <c r="X3" s="5"/>
      <c r="Y3" s="12" t="e">
        <f>X3/W3</f>
        <v>#DIV/0!</v>
      </c>
      <c r="Z3" s="12" t="e">
        <f>POWER(X3-$FM3,2)</f>
        <v>#DIV/0!</v>
      </c>
      <c r="AA3" s="3"/>
      <c r="AB3" s="5"/>
      <c r="AC3" s="12" t="e">
        <f>AB3/AA3</f>
        <v>#DIV/0!</v>
      </c>
      <c r="AD3" s="12" t="e">
        <f>POWER(AB3-$FM3,2)</f>
        <v>#DIV/0!</v>
      </c>
      <c r="AE3" s="3"/>
      <c r="AF3" s="5"/>
      <c r="AG3" s="12" t="e">
        <f>AF3/AE3</f>
        <v>#DIV/0!</v>
      </c>
      <c r="AH3" s="12" t="e">
        <f>POWER(AF3-$FM3,2)</f>
        <v>#DIV/0!</v>
      </c>
      <c r="AI3" s="3"/>
      <c r="AJ3" s="5"/>
      <c r="AK3" s="12" t="e">
        <f>AJ3/AI3</f>
        <v>#DIV/0!</v>
      </c>
      <c r="AL3" s="12" t="e">
        <f>POWER(AJ3-$FM3,2)</f>
        <v>#DIV/0!</v>
      </c>
      <c r="AM3" s="3"/>
      <c r="AN3" s="5"/>
      <c r="AO3" s="12" t="e">
        <f>AN3/AM3</f>
        <v>#DIV/0!</v>
      </c>
      <c r="AP3" s="12" t="e">
        <f>POWER(AN3-$FM3,2)</f>
        <v>#DIV/0!</v>
      </c>
      <c r="AQ3" s="3"/>
      <c r="AR3" s="5"/>
      <c r="AS3" s="12" t="e">
        <f>AR3/AQ3</f>
        <v>#DIV/0!</v>
      </c>
      <c r="AT3" s="12" t="e">
        <f>POWER(AR3-$FM3,2)</f>
        <v>#DIV/0!</v>
      </c>
      <c r="AU3" s="3"/>
      <c r="AV3" s="5"/>
      <c r="AW3" s="12" t="e">
        <f>AV3/AU3</f>
        <v>#DIV/0!</v>
      </c>
      <c r="AX3" s="12" t="e">
        <f>POWER(AV3-$FM3,2)</f>
        <v>#DIV/0!</v>
      </c>
      <c r="AY3" s="3"/>
      <c r="AZ3" s="5"/>
      <c r="BA3" s="12" t="e">
        <f>AZ3/AY3</f>
        <v>#DIV/0!</v>
      </c>
      <c r="BB3" s="12" t="e">
        <f>POWER(AZ3-$FM3,2)</f>
        <v>#DIV/0!</v>
      </c>
      <c r="BC3" s="3"/>
      <c r="BD3" s="5"/>
      <c r="BE3" s="12" t="e">
        <f>BD3/BC3</f>
        <v>#DIV/0!</v>
      </c>
      <c r="BF3" s="12" t="e">
        <f>POWER(BD3-$FM3,2)</f>
        <v>#DIV/0!</v>
      </c>
      <c r="BG3" s="3"/>
      <c r="BH3" s="5"/>
      <c r="BI3" s="12" t="e">
        <f>BH3/BG3</f>
        <v>#DIV/0!</v>
      </c>
      <c r="BJ3" s="12" t="e">
        <f>POWER(BH3-$FM3,2)</f>
        <v>#DIV/0!</v>
      </c>
      <c r="BK3" s="3"/>
      <c r="BL3" s="5"/>
      <c r="BM3" s="12" t="e">
        <f>BL3/BK3</f>
        <v>#DIV/0!</v>
      </c>
      <c r="BN3" s="12" t="e">
        <f>POWER(BL3-$FM3,2)</f>
        <v>#DIV/0!</v>
      </c>
      <c r="BO3" s="3"/>
      <c r="BP3" s="5"/>
      <c r="BQ3" s="12" t="e">
        <f>BP3/BO3</f>
        <v>#DIV/0!</v>
      </c>
      <c r="BR3" s="12" t="e">
        <f>POWER(BP3-$FM3,2)</f>
        <v>#DIV/0!</v>
      </c>
      <c r="BS3" s="3"/>
      <c r="BT3" s="5"/>
      <c r="BU3" s="12" t="e">
        <f>BT3/BS3</f>
        <v>#DIV/0!</v>
      </c>
      <c r="BV3" s="12" t="e">
        <f>POWER(BT3-$FM3,2)</f>
        <v>#DIV/0!</v>
      </c>
      <c r="BW3" s="3"/>
      <c r="BX3" s="5"/>
      <c r="BY3" s="12" t="e">
        <f>BX3/BW3</f>
        <v>#DIV/0!</v>
      </c>
      <c r="BZ3" s="12" t="e">
        <f>POWER(BX3-$FM3,2)</f>
        <v>#DIV/0!</v>
      </c>
      <c r="CA3" s="3"/>
      <c r="CB3" s="5"/>
      <c r="CC3" s="12" t="e">
        <f>CB3/CA3</f>
        <v>#DIV/0!</v>
      </c>
      <c r="CD3" s="12" t="e">
        <f>POWER(CB3-$FM3,2)</f>
        <v>#DIV/0!</v>
      </c>
      <c r="CE3" s="3"/>
      <c r="CF3" s="5"/>
      <c r="CG3" s="12" t="e">
        <f>CF3/CE3</f>
        <v>#DIV/0!</v>
      </c>
      <c r="CH3" s="12" t="e">
        <f>POWER(CF3-$FM3,2)</f>
        <v>#DIV/0!</v>
      </c>
      <c r="CI3" s="3"/>
      <c r="CJ3" s="5"/>
      <c r="CK3" s="12" t="e">
        <f>CJ3/CI3</f>
        <v>#DIV/0!</v>
      </c>
      <c r="CL3" s="12" t="e">
        <f>POWER(CJ3-$FM3,2)</f>
        <v>#DIV/0!</v>
      </c>
      <c r="CM3" s="3"/>
      <c r="CN3" s="5"/>
      <c r="CO3" s="12" t="e">
        <f>CN3/CM3</f>
        <v>#DIV/0!</v>
      </c>
      <c r="CP3" s="12" t="e">
        <f>POWER(CN3-$FM3,2)</f>
        <v>#DIV/0!</v>
      </c>
      <c r="CQ3" s="3"/>
      <c r="CR3" s="5"/>
      <c r="CS3" s="12" t="e">
        <f>CR3/CQ3</f>
        <v>#DIV/0!</v>
      </c>
      <c r="CT3" s="12" t="e">
        <f>POWER(CR3-$FM3,2)</f>
        <v>#DIV/0!</v>
      </c>
      <c r="CU3" s="3"/>
      <c r="CV3" s="5"/>
      <c r="CW3" s="12" t="e">
        <f>CV3/CU3</f>
        <v>#DIV/0!</v>
      </c>
      <c r="CX3" s="12" t="e">
        <f>POWER(CV3-$FM3,2)</f>
        <v>#DIV/0!</v>
      </c>
      <c r="CY3" s="3"/>
      <c r="CZ3" s="5"/>
      <c r="DA3" s="12" t="e">
        <f>CZ3/CY3</f>
        <v>#DIV/0!</v>
      </c>
      <c r="DB3" s="12" t="e">
        <f>POWER(CZ3-$FM3,2)</f>
        <v>#DIV/0!</v>
      </c>
      <c r="DC3" s="3"/>
      <c r="DD3" s="5"/>
      <c r="DE3" s="12" t="e">
        <f>DD3/DC3</f>
        <v>#DIV/0!</v>
      </c>
      <c r="DF3" s="12" t="e">
        <f>POWER(DD3-$FM3,2)</f>
        <v>#DIV/0!</v>
      </c>
      <c r="DG3" s="3"/>
      <c r="DH3" s="5"/>
      <c r="DI3" s="12" t="e">
        <f>DH3/DG3</f>
        <v>#DIV/0!</v>
      </c>
      <c r="DJ3" s="12" t="e">
        <f>POWER(DH3-$FM3,2)</f>
        <v>#DIV/0!</v>
      </c>
      <c r="DK3" s="3"/>
      <c r="DL3" s="5"/>
      <c r="DM3" s="12" t="e">
        <f>DL3/DK3</f>
        <v>#DIV/0!</v>
      </c>
      <c r="DN3" s="12" t="e">
        <f>POWER(DL3-$FM3,2)</f>
        <v>#DIV/0!</v>
      </c>
      <c r="DO3" s="3"/>
      <c r="DP3" s="5"/>
      <c r="DQ3" s="12" t="e">
        <f>DP3/DO3</f>
        <v>#DIV/0!</v>
      </c>
      <c r="DR3" s="12" t="e">
        <f>POWER(DP3-$FM3,2)</f>
        <v>#DIV/0!</v>
      </c>
      <c r="DS3" s="3"/>
      <c r="DT3" s="5"/>
      <c r="DU3" s="12" t="e">
        <f>DT3/DS3</f>
        <v>#DIV/0!</v>
      </c>
      <c r="DV3" s="12" t="e">
        <f>POWER(DT3-$FM3,2)</f>
        <v>#DIV/0!</v>
      </c>
      <c r="DW3" s="3"/>
      <c r="DX3" s="5"/>
      <c r="DY3" s="12" t="e">
        <f>DX3/DW3</f>
        <v>#DIV/0!</v>
      </c>
      <c r="DZ3" s="12" t="e">
        <f>POWER(DX3-$FM3,2)</f>
        <v>#DIV/0!</v>
      </c>
      <c r="EA3" s="3"/>
      <c r="EB3" s="5"/>
      <c r="EC3" s="12" t="e">
        <f>EB3/EA3</f>
        <v>#DIV/0!</v>
      </c>
      <c r="ED3" s="12" t="e">
        <f>POWER(EB3-$FM3,2)</f>
        <v>#DIV/0!</v>
      </c>
      <c r="EE3" s="3"/>
      <c r="EF3" s="5"/>
      <c r="EG3" s="12" t="e">
        <f>EF3/EE3</f>
        <v>#DIV/0!</v>
      </c>
      <c r="EH3" s="12" t="e">
        <f>POWER(EF3-$FM3,2)</f>
        <v>#DIV/0!</v>
      </c>
      <c r="EI3" s="3"/>
      <c r="EJ3" s="5"/>
      <c r="EK3" s="12" t="e">
        <f>EJ3/EI3</f>
        <v>#DIV/0!</v>
      </c>
      <c r="EL3" s="12" t="e">
        <f>POWER(EJ3-$FM3,2)</f>
        <v>#DIV/0!</v>
      </c>
      <c r="EM3" s="3"/>
      <c r="EN3" s="5"/>
      <c r="EO3" s="12" t="e">
        <f>EN3/EM3</f>
        <v>#DIV/0!</v>
      </c>
      <c r="EP3" s="12" t="e">
        <f>POWER(EN3-$FM3,2)</f>
        <v>#DIV/0!</v>
      </c>
      <c r="EQ3" s="3"/>
      <c r="ER3" s="5"/>
      <c r="ES3" s="12" t="e">
        <f>ER3/EQ3</f>
        <v>#DIV/0!</v>
      </c>
      <c r="ET3" s="12" t="e">
        <f>POWER(ER3-$FM3,2)</f>
        <v>#DIV/0!</v>
      </c>
      <c r="EU3" s="3"/>
      <c r="EV3" s="5"/>
      <c r="EW3" s="12" t="e">
        <f>EV3/EU3</f>
        <v>#DIV/0!</v>
      </c>
      <c r="EX3" s="12" t="e">
        <f>POWER(EV3-$FM3,2)</f>
        <v>#DIV/0!</v>
      </c>
      <c r="EY3" s="3"/>
      <c r="EZ3" s="5"/>
      <c r="FA3" s="12" t="e">
        <f>EZ3/EY3</f>
        <v>#DIV/0!</v>
      </c>
      <c r="FB3" s="12" t="e">
        <f>POWER(EZ3-$FM3,2)</f>
        <v>#DIV/0!</v>
      </c>
      <c r="FC3" s="3"/>
      <c r="FD3" s="5"/>
      <c r="FE3" s="12" t="e">
        <f>FD3/FC3</f>
        <v>#DIV/0!</v>
      </c>
      <c r="FF3" s="12" t="e">
        <f>POWER(FD3-$FM3,2)</f>
        <v>#DIV/0!</v>
      </c>
      <c r="FG3" s="3"/>
      <c r="FH3" s="5"/>
      <c r="FI3" s="12" t="e">
        <f>FH3/FG3</f>
        <v>#DIV/0!</v>
      </c>
      <c r="FJ3" s="12" t="e">
        <f>POWER(FH3-$FM3,2)</f>
        <v>#DIV/0!</v>
      </c>
      <c r="FK3" s="4">
        <f>COUNT(C3,G3,K3,O3,S3,W3,AA3,AE3,AI3,AM3,AQ3,AU3,AY3,BC3,BG3,BK3,BO3,BS3,BW3,CA3,CE3,CI3,CM3,CQ3,CU3,CY3,DC3,DG3,DK3,DO3,DS3,DW3,EA3,EE3,EI3,EM3,EQ3,EU3,EY3,FC3,FG3)</f>
        <v>0</v>
      </c>
      <c r="FL3" s="15" t="e">
        <f>(E3+I3+M3+Q3+U3+Y3+AC3+AG3+AK3+AO3+AS3+AW3+BA3+BE3+BI3+BM3+BQ3+BU3+BY3+CC3+CG3+CK3+CO3+CS3+CW3+DA3+DE3+DI3+DM3+DQ3+DU3+DY3+EC3+EG3+EK3+EO3+ES3+EW3+FA3+FE3+FI3)*100/FK3</f>
        <v>#DIV/0!</v>
      </c>
      <c r="FM3" s="15" t="e">
        <f>AVERAGE(D3,H3,L3,P3,T3,X3,AB3,AF3,AJ3,AN3,AR3,AV3,AZ3,BD3,BH3,BL3,BP3,BT3,BX3,CB3,CF3,CJ3,CN3,CR3,CV3,CZ3,DD3,DH3,DL3,DP3,DT3,DX3,EB3,EF3,EJ3,EN3,ER3,EV3,EZ3,FD3,FH3)</f>
        <v>#DIV/0!</v>
      </c>
      <c r="FN3" s="15" t="e">
        <f>SQRT((F3+J3+N3+R3+V3+Z3+AD3+AH3+AL3+AP3+AT3+AX3+BB3+BF3+BJ3+BN3+BR3++BV3+BZ3+CD3+CH3+CL3+CP3+CT3+CX3+DB3+DF3+DJ3+DN3+DR3+DV3+DZ3+ED3+EH3+EL3+EP3+ET3+EX3+FB3+FF3+FJ3)/FK3)</f>
        <v>#DIV/0!</v>
      </c>
      <c r="FO3" s="16" t="e">
        <f>FL3</f>
        <v>#DIV/0!</v>
      </c>
      <c r="FP3" s="17" t="s">
        <v>3</v>
      </c>
      <c r="FQ3" s="24" t="e">
        <f>FN3</f>
        <v>#DIV/0!</v>
      </c>
      <c r="FR3" s="4" t="e">
        <f>IF(FL3&lt;40,"неудовлетворительно",IF((FL3&gt;=40)*AND(FL3&lt;60),"удовлетворительно",IF((FL3&gt;=60)*AND(FL3&lt;80),"хорошо","отлично")))</f>
        <v>#DIV/0!</v>
      </c>
    </row>
    <row r="4" spans="1:174" ht="39.75" customHeight="1" thickBot="1" x14ac:dyDescent="0.3">
      <c r="A4" s="21">
        <v>2</v>
      </c>
      <c r="B4" s="31" t="s">
        <v>14</v>
      </c>
      <c r="C4" s="3"/>
      <c r="D4" s="3"/>
      <c r="E4" s="12" t="e">
        <f t="shared" ref="E4:E14" si="0">D4/C4</f>
        <v>#DIV/0!</v>
      </c>
      <c r="F4" s="12" t="e">
        <f t="shared" ref="F4:F11" si="1">POWER(D4-$FM4,2)</f>
        <v>#DIV/0!</v>
      </c>
      <c r="G4" s="3"/>
      <c r="H4" s="5"/>
      <c r="I4" s="12" t="e">
        <f t="shared" ref="I4:I14" si="2">H4/G4</f>
        <v>#DIV/0!</v>
      </c>
      <c r="J4" s="12" t="e">
        <f t="shared" ref="J4:J11" si="3">POWER(H4-$FM4,2)</f>
        <v>#DIV/0!</v>
      </c>
      <c r="K4" s="3"/>
      <c r="L4" s="5"/>
      <c r="M4" s="12" t="e">
        <f t="shared" ref="M4:M14" si="4">L4/K4</f>
        <v>#DIV/0!</v>
      </c>
      <c r="N4" s="12" t="e">
        <f t="shared" ref="N4:N11" si="5">POWER(L4-$FM4,2)</f>
        <v>#DIV/0!</v>
      </c>
      <c r="O4" s="3"/>
      <c r="P4" s="5"/>
      <c r="Q4" s="12" t="e">
        <f t="shared" ref="Q4:Q14" si="6">P4/O4</f>
        <v>#DIV/0!</v>
      </c>
      <c r="R4" s="12" t="e">
        <f t="shared" ref="R4:R11" si="7">POWER(P4-$FM4,2)</f>
        <v>#DIV/0!</v>
      </c>
      <c r="S4" s="3"/>
      <c r="T4" s="3"/>
      <c r="U4" s="12" t="e">
        <f t="shared" ref="U4:U14" si="8">T4/S4</f>
        <v>#DIV/0!</v>
      </c>
      <c r="V4" s="12" t="e">
        <f t="shared" ref="V4:V11" si="9">POWER(T4-$FM4,2)</f>
        <v>#DIV/0!</v>
      </c>
      <c r="W4" s="3"/>
      <c r="X4" s="5"/>
      <c r="Y4" s="12" t="e">
        <f t="shared" ref="Y4:Y14" si="10">X4/W4</f>
        <v>#DIV/0!</v>
      </c>
      <c r="Z4" s="12" t="e">
        <f t="shared" ref="Z4:Z11" si="11">POWER(X4-$FM4,2)</f>
        <v>#DIV/0!</v>
      </c>
      <c r="AA4" s="3"/>
      <c r="AB4" s="5"/>
      <c r="AC4" s="12" t="e">
        <f t="shared" ref="AC4:AC14" si="12">AB4/AA4</f>
        <v>#DIV/0!</v>
      </c>
      <c r="AD4" s="12" t="e">
        <f t="shared" ref="AD4:AD11" si="13">POWER(AB4-$FM4,2)</f>
        <v>#DIV/0!</v>
      </c>
      <c r="AE4" s="3"/>
      <c r="AF4" s="5"/>
      <c r="AG4" s="12" t="e">
        <f t="shared" ref="AG4:AG14" si="14">AF4/AE4</f>
        <v>#DIV/0!</v>
      </c>
      <c r="AH4" s="12" t="e">
        <f t="shared" ref="AH4:AH11" si="15">POWER(AF4-$FM4,2)</f>
        <v>#DIV/0!</v>
      </c>
      <c r="AI4" s="3"/>
      <c r="AJ4" s="5"/>
      <c r="AK4" s="12" t="e">
        <f t="shared" ref="AK4:AK14" si="16">AJ4/AI4</f>
        <v>#DIV/0!</v>
      </c>
      <c r="AL4" s="12" t="e">
        <f t="shared" ref="AL4:AL11" si="17">POWER(AJ4-$FM4,2)</f>
        <v>#DIV/0!</v>
      </c>
      <c r="AM4" s="3"/>
      <c r="AN4" s="5"/>
      <c r="AO4" s="12" t="e">
        <f t="shared" ref="AO4:AO14" si="18">AN4/AM4</f>
        <v>#DIV/0!</v>
      </c>
      <c r="AP4" s="12" t="e">
        <f t="shared" ref="AP4:AP11" si="19">POWER(AN4-$FM4,2)</f>
        <v>#DIV/0!</v>
      </c>
      <c r="AQ4" s="3"/>
      <c r="AR4" s="5"/>
      <c r="AS4" s="12" t="e">
        <f t="shared" ref="AS4:AS14" si="20">AR4/AQ4</f>
        <v>#DIV/0!</v>
      </c>
      <c r="AT4" s="12" t="e">
        <f t="shared" ref="AT4:AT11" si="21">POWER(AR4-$FM4,2)</f>
        <v>#DIV/0!</v>
      </c>
      <c r="AU4" s="3"/>
      <c r="AV4" s="5"/>
      <c r="AW4" s="12" t="e">
        <f t="shared" ref="AW4:AW11" si="22">AV4/AU4</f>
        <v>#DIV/0!</v>
      </c>
      <c r="AX4" s="12" t="e">
        <f t="shared" ref="AX4:AX11" si="23">POWER(AV4-$FM4,2)</f>
        <v>#DIV/0!</v>
      </c>
      <c r="AY4" s="3"/>
      <c r="AZ4" s="5"/>
      <c r="BA4" s="12" t="e">
        <f t="shared" ref="BA4:BA11" si="24">AZ4/AY4</f>
        <v>#DIV/0!</v>
      </c>
      <c r="BB4" s="12" t="e">
        <f t="shared" ref="BB4:BB11" si="25">POWER(AZ4-$FM4,2)</f>
        <v>#DIV/0!</v>
      </c>
      <c r="BC4" s="3"/>
      <c r="BD4" s="5"/>
      <c r="BE4" s="12" t="e">
        <f t="shared" ref="BE4:BE11" si="26">BD4/BC4</f>
        <v>#DIV/0!</v>
      </c>
      <c r="BF4" s="12" t="e">
        <f t="shared" ref="BF4:BF11" si="27">POWER(BD4-$FM4,2)</f>
        <v>#DIV/0!</v>
      </c>
      <c r="BG4" s="3"/>
      <c r="BH4" s="5"/>
      <c r="BI4" s="12" t="e">
        <f t="shared" ref="BI4:BI11" si="28">BH4/BG4</f>
        <v>#DIV/0!</v>
      </c>
      <c r="BJ4" s="12" t="e">
        <f t="shared" ref="BJ4:BJ14" si="29">POWER(BH4-$FM4,2)</f>
        <v>#DIV/0!</v>
      </c>
      <c r="BK4" s="3"/>
      <c r="BL4" s="5"/>
      <c r="BM4" s="12" t="e">
        <f t="shared" ref="BM4:BM11" si="30">BL4/BK4</f>
        <v>#DIV/0!</v>
      </c>
      <c r="BN4" s="12" t="e">
        <f t="shared" ref="BN4:BN11" si="31">POWER(BL4-$FM4,2)</f>
        <v>#DIV/0!</v>
      </c>
      <c r="BO4" s="3"/>
      <c r="BP4" s="5"/>
      <c r="BQ4" s="12" t="e">
        <f t="shared" ref="BQ4:BQ11" si="32">BP4/BO4</f>
        <v>#DIV/0!</v>
      </c>
      <c r="BR4" s="12" t="e">
        <f t="shared" ref="BR4:BR11" si="33">POWER(BP4-$FM4,2)</f>
        <v>#DIV/0!</v>
      </c>
      <c r="BS4" s="3"/>
      <c r="BT4" s="5"/>
      <c r="BU4" s="12" t="e">
        <f t="shared" ref="BU4:BU11" si="34">BT4/BS4</f>
        <v>#DIV/0!</v>
      </c>
      <c r="BV4" s="12" t="e">
        <f t="shared" ref="BV4:BV11" si="35">POWER(BT4-$FM4,2)</f>
        <v>#DIV/0!</v>
      </c>
      <c r="BW4" s="3"/>
      <c r="BX4" s="5"/>
      <c r="BY4" s="12" t="e">
        <f t="shared" ref="BY4:BY11" si="36">BX4/BW4</f>
        <v>#DIV/0!</v>
      </c>
      <c r="BZ4" s="12" t="e">
        <f t="shared" ref="BZ4:BZ11" si="37">POWER(BX4-$FM4,2)</f>
        <v>#DIV/0!</v>
      </c>
      <c r="CA4" s="3"/>
      <c r="CB4" s="5"/>
      <c r="CC4" s="12" t="e">
        <f t="shared" ref="CC4:CC11" si="38">CB4/CA4</f>
        <v>#DIV/0!</v>
      </c>
      <c r="CD4" s="12" t="e">
        <f t="shared" ref="CD4:CD11" si="39">POWER(CB4-$FM4,2)</f>
        <v>#DIV/0!</v>
      </c>
      <c r="CE4" s="3"/>
      <c r="CF4" s="5"/>
      <c r="CG4" s="12" t="e">
        <f t="shared" ref="CG4:CG11" si="40">CF4/CE4</f>
        <v>#DIV/0!</v>
      </c>
      <c r="CH4" s="12" t="e">
        <f t="shared" ref="CH4:CH11" si="41">POWER(CF4-$FM4,2)</f>
        <v>#DIV/0!</v>
      </c>
      <c r="CI4" s="3"/>
      <c r="CJ4" s="5"/>
      <c r="CK4" s="12" t="e">
        <f t="shared" ref="CK4:CK11" si="42">CJ4/CI4</f>
        <v>#DIV/0!</v>
      </c>
      <c r="CL4" s="12" t="e">
        <f t="shared" ref="CL4:CL11" si="43">POWER(CJ4-$FM4,2)</f>
        <v>#DIV/0!</v>
      </c>
      <c r="CM4" s="3"/>
      <c r="CN4" s="5"/>
      <c r="CO4" s="12" t="e">
        <f t="shared" ref="CO4:CO11" si="44">CN4/CM4</f>
        <v>#DIV/0!</v>
      </c>
      <c r="CP4" s="12" t="e">
        <f t="shared" ref="CP4:CP11" si="45">POWER(CN4-$FM4,2)</f>
        <v>#DIV/0!</v>
      </c>
      <c r="CQ4" s="3"/>
      <c r="CR4" s="5"/>
      <c r="CS4" s="12" t="e">
        <f t="shared" ref="CS4:CS11" si="46">CR4/CQ4</f>
        <v>#DIV/0!</v>
      </c>
      <c r="CT4" s="12" t="e">
        <f t="shared" ref="CT4:CT11" si="47">POWER(CR4-$FM4,2)</f>
        <v>#DIV/0!</v>
      </c>
      <c r="CU4" s="3"/>
      <c r="CV4" s="5"/>
      <c r="CW4" s="12" t="e">
        <f t="shared" ref="CW4:CW11" si="48">CV4/CU4</f>
        <v>#DIV/0!</v>
      </c>
      <c r="CX4" s="12" t="e">
        <f t="shared" ref="CX4:CX11" si="49">POWER(CV4-$FM4,2)</f>
        <v>#DIV/0!</v>
      </c>
      <c r="CY4" s="3"/>
      <c r="CZ4" s="5"/>
      <c r="DA4" s="12" t="e">
        <f t="shared" ref="DA4:DA11" si="50">CZ4/CY4</f>
        <v>#DIV/0!</v>
      </c>
      <c r="DB4" s="12" t="e">
        <f t="shared" ref="DB4:DB11" si="51">POWER(CZ4-$FM4,2)</f>
        <v>#DIV/0!</v>
      </c>
      <c r="DC4" s="3"/>
      <c r="DD4" s="5"/>
      <c r="DE4" s="12" t="e">
        <f t="shared" ref="DE4:DE11" si="52">DD4/DC4</f>
        <v>#DIV/0!</v>
      </c>
      <c r="DF4" s="12" t="e">
        <f t="shared" ref="DF4:DF11" si="53">POWER(DD4-$FM4,2)</f>
        <v>#DIV/0!</v>
      </c>
      <c r="DG4" s="3"/>
      <c r="DH4" s="5"/>
      <c r="DI4" s="12" t="e">
        <f t="shared" ref="DI4:DI11" si="54">DH4/DG4</f>
        <v>#DIV/0!</v>
      </c>
      <c r="DJ4" s="12" t="e">
        <f t="shared" ref="DJ4:DJ11" si="55">POWER(DH4-$FM4,2)</f>
        <v>#DIV/0!</v>
      </c>
      <c r="DK4" s="3"/>
      <c r="DL4" s="5"/>
      <c r="DM4" s="12" t="e">
        <f t="shared" ref="DM4:DM11" si="56">DL4/DK4</f>
        <v>#DIV/0!</v>
      </c>
      <c r="DN4" s="12" t="e">
        <f t="shared" ref="DN4:DN11" si="57">POWER(DL4-$FM4,2)</f>
        <v>#DIV/0!</v>
      </c>
      <c r="DO4" s="3"/>
      <c r="DP4" s="5"/>
      <c r="DQ4" s="12" t="e">
        <f t="shared" ref="DQ4:DQ11" si="58">DP4/DO4</f>
        <v>#DIV/0!</v>
      </c>
      <c r="DR4" s="12" t="e">
        <f t="shared" ref="DR4:DR11" si="59">POWER(DP4-$FM4,2)</f>
        <v>#DIV/0!</v>
      </c>
      <c r="DS4" s="3"/>
      <c r="DT4" s="5"/>
      <c r="DU4" s="12" t="e">
        <f t="shared" ref="DU4:DU11" si="60">DT4/DS4</f>
        <v>#DIV/0!</v>
      </c>
      <c r="DV4" s="12" t="e">
        <f t="shared" ref="DV4:DV11" si="61">POWER(DT4-$FM4,2)</f>
        <v>#DIV/0!</v>
      </c>
      <c r="DW4" s="3"/>
      <c r="DX4" s="5"/>
      <c r="DY4" s="12" t="e">
        <f t="shared" ref="DY4:DY11" si="62">DX4/DW4</f>
        <v>#DIV/0!</v>
      </c>
      <c r="DZ4" s="12" t="e">
        <f t="shared" ref="DZ4:DZ11" si="63">POWER(DX4-$FM4,2)</f>
        <v>#DIV/0!</v>
      </c>
      <c r="EA4" s="3"/>
      <c r="EB4" s="5"/>
      <c r="EC4" s="12" t="e">
        <f t="shared" ref="EC4:EC11" si="64">EB4/EA4</f>
        <v>#DIV/0!</v>
      </c>
      <c r="ED4" s="12" t="e">
        <f t="shared" ref="ED4:ED11" si="65">POWER(EB4-$FM4,2)</f>
        <v>#DIV/0!</v>
      </c>
      <c r="EE4" s="3"/>
      <c r="EF4" s="5"/>
      <c r="EG4" s="12" t="e">
        <f t="shared" ref="EG4:EG11" si="66">EF4/EE4</f>
        <v>#DIV/0!</v>
      </c>
      <c r="EH4" s="12" t="e">
        <f t="shared" ref="EH4:EH11" si="67">POWER(EF4-$FM4,2)</f>
        <v>#DIV/0!</v>
      </c>
      <c r="EI4" s="3"/>
      <c r="EJ4" s="5"/>
      <c r="EK4" s="12" t="e">
        <f t="shared" ref="EK4:EK11" si="68">EJ4/EI4</f>
        <v>#DIV/0!</v>
      </c>
      <c r="EL4" s="12" t="e">
        <f t="shared" ref="EL4:EL11" si="69">POWER(EJ4-$FM4,2)</f>
        <v>#DIV/0!</v>
      </c>
      <c r="EM4" s="3"/>
      <c r="EN4" s="5"/>
      <c r="EO4" s="12" t="e">
        <f t="shared" ref="EO4:EO11" si="70">EN4/EM4</f>
        <v>#DIV/0!</v>
      </c>
      <c r="EP4" s="12" t="e">
        <f t="shared" ref="EP4:EP10" si="71">POWER(EN4-$FM4,2)</f>
        <v>#DIV/0!</v>
      </c>
      <c r="EQ4" s="3"/>
      <c r="ER4" s="5"/>
      <c r="ES4" s="12" t="e">
        <f t="shared" ref="ES4:ES11" si="72">ER4/EQ4</f>
        <v>#DIV/0!</v>
      </c>
      <c r="ET4" s="12" t="e">
        <f t="shared" ref="ET4:ET11" si="73">POWER(ER4-$FM4,2)</f>
        <v>#DIV/0!</v>
      </c>
      <c r="EU4" s="3"/>
      <c r="EV4" s="5"/>
      <c r="EW4" s="12" t="e">
        <f t="shared" ref="EW4:EW11" si="74">EV4/EU4</f>
        <v>#DIV/0!</v>
      </c>
      <c r="EX4" s="12" t="e">
        <f t="shared" ref="EX4:EX11" si="75">POWER(EV4-$FM4,2)</f>
        <v>#DIV/0!</v>
      </c>
      <c r="EY4" s="3"/>
      <c r="EZ4" s="5"/>
      <c r="FA4" s="12" t="e">
        <f t="shared" ref="FA4:FA11" si="76">EZ4/EY4</f>
        <v>#DIV/0!</v>
      </c>
      <c r="FB4" s="12" t="e">
        <f t="shared" ref="FB4:FB11" si="77">POWER(EZ4-$FM4,2)</f>
        <v>#DIV/0!</v>
      </c>
      <c r="FC4" s="3"/>
      <c r="FD4" s="5"/>
      <c r="FE4" s="12" t="e">
        <f t="shared" ref="FE4:FE11" si="78">FD4/FC4</f>
        <v>#DIV/0!</v>
      </c>
      <c r="FF4" s="12" t="e">
        <f t="shared" ref="FF4:FF11" si="79">POWER(FD4-$FM4,2)</f>
        <v>#DIV/0!</v>
      </c>
      <c r="FG4" s="3"/>
      <c r="FH4" s="5"/>
      <c r="FI4" s="12" t="e">
        <f t="shared" ref="FI4:FI11" si="80">FH4/FG4</f>
        <v>#DIV/0!</v>
      </c>
      <c r="FJ4" s="12" t="e">
        <f t="shared" ref="FJ4:FJ11" si="81">POWER(FH4-$FM4,2)</f>
        <v>#DIV/0!</v>
      </c>
      <c r="FK4" s="4">
        <f t="shared" ref="FK4:FK11" si="82">COUNT(C4,G4,K4,O4,S4,W4,AA4,AE4,AI4,AM4,AQ4,AU4,AY4,BC4,BG4,BK4,BO4,BS4,BW4,CA4,CE4,CI4,CM4,CQ4,CU4,CY4,DC4,DG4,DK4,DO4,DS4,DW4,EA4,EE4,EI4,EM4,EQ4,EU4,EY4,FC4,FG4)</f>
        <v>0</v>
      </c>
      <c r="FL4" s="15" t="e">
        <f t="shared" ref="FL4:FL14" si="83">(E4+I4+M4+Q4+U4+Y4+AC4+AG4+AK4+AO4+AS4+AW4+BA4+BE4+BI4+BM4+BQ4+BU4+BY4+CC4+CG4+CK4+CO4+CS4+CW4+DA4+DE4+DI4+DM4+DQ4+DU4+DY4+EC4+EG4+EK4+EO4+ES4+EW4+FA4+FE4+FI4)*100/FK4</f>
        <v>#DIV/0!</v>
      </c>
      <c r="FM4" s="15" t="e">
        <f t="shared" ref="FM4:FM14" si="84">AVERAGE(D4,H4,L4,P4,T4,X4,AB4,AF4,AJ4,AN4,AR4,AV4,AZ4,BD4,BH4,BL4,BP4,BT4,BX4,CB4,CF4,CJ4,CN4,CR4,CV4,CZ4,DD4,DH4,DL4,DP4,DT4,DX4,EB4,EF4,EJ4,EN4,ER4,EV4,EZ4,FD4,FH4)</f>
        <v>#DIV/0!</v>
      </c>
      <c r="FN4" s="15" t="e">
        <f t="shared" ref="FN4:FN11" si="85">SQRT((F4+J4+N4+R4+V4+Z4+AD4+AH4+AL4+AP4+AT4+AX4+BB4+BF4+BJ4+BN4+BR4++BV4+BZ4+CD4+CH4+CL4+CP4+CT4+CX4+DB4+DF4+DJ4+DN4+DR4+DV4+DZ4+ED4+EH4+EL4+EP4+ET4+EX4+FB4+FF4+FJ4)/FK4)</f>
        <v>#DIV/0!</v>
      </c>
      <c r="FO4" s="16" t="e">
        <f t="shared" ref="FO4:FO11" si="86">FL4</f>
        <v>#DIV/0!</v>
      </c>
      <c r="FP4" s="17" t="s">
        <v>3</v>
      </c>
      <c r="FQ4" s="24" t="e">
        <f t="shared" ref="FQ4:FQ11" si="87">FN4</f>
        <v>#DIV/0!</v>
      </c>
      <c r="FR4" s="4" t="e">
        <f t="shared" ref="FR4:FR11" si="88">IF(FL4&lt;40,"неудовлетворительно",IF((FL4&gt;=40)*AND(FL4&lt;60),"удовлетворительно",IF((FL4&gt;=60)*AND(FL4&lt;80),"хорошо","отлично")))</f>
        <v>#DIV/0!</v>
      </c>
    </row>
    <row r="5" spans="1:174" ht="52.5" customHeight="1" thickBot="1" x14ac:dyDescent="0.3">
      <c r="A5" s="21">
        <v>3</v>
      </c>
      <c r="B5" s="31" t="s">
        <v>15</v>
      </c>
      <c r="C5" s="3"/>
      <c r="D5" s="3"/>
      <c r="E5" s="12" t="e">
        <f t="shared" si="0"/>
        <v>#DIV/0!</v>
      </c>
      <c r="F5" s="12" t="e">
        <f t="shared" si="1"/>
        <v>#DIV/0!</v>
      </c>
      <c r="G5" s="3"/>
      <c r="H5" s="5"/>
      <c r="I5" s="12" t="e">
        <f t="shared" si="2"/>
        <v>#DIV/0!</v>
      </c>
      <c r="J5" s="12" t="e">
        <f t="shared" si="3"/>
        <v>#DIV/0!</v>
      </c>
      <c r="K5" s="3"/>
      <c r="L5" s="5"/>
      <c r="M5" s="12" t="e">
        <f t="shared" si="4"/>
        <v>#DIV/0!</v>
      </c>
      <c r="N5" s="12" t="e">
        <f t="shared" si="5"/>
        <v>#DIV/0!</v>
      </c>
      <c r="O5" s="3"/>
      <c r="P5" s="5"/>
      <c r="Q5" s="12" t="e">
        <f t="shared" si="6"/>
        <v>#DIV/0!</v>
      </c>
      <c r="R5" s="12" t="e">
        <f t="shared" si="7"/>
        <v>#DIV/0!</v>
      </c>
      <c r="S5" s="3"/>
      <c r="T5" s="26"/>
      <c r="U5" s="12" t="e">
        <f t="shared" si="8"/>
        <v>#DIV/0!</v>
      </c>
      <c r="V5" s="12" t="e">
        <f t="shared" si="9"/>
        <v>#DIV/0!</v>
      </c>
      <c r="W5" s="3"/>
      <c r="X5" s="5"/>
      <c r="Y5" s="12" t="e">
        <f t="shared" si="10"/>
        <v>#DIV/0!</v>
      </c>
      <c r="Z5" s="12" t="e">
        <f t="shared" si="11"/>
        <v>#DIV/0!</v>
      </c>
      <c r="AA5" s="3"/>
      <c r="AB5" s="5"/>
      <c r="AC5" s="12" t="e">
        <f t="shared" si="12"/>
        <v>#DIV/0!</v>
      </c>
      <c r="AD5" s="12" t="e">
        <f t="shared" si="13"/>
        <v>#DIV/0!</v>
      </c>
      <c r="AE5" s="3"/>
      <c r="AF5" s="5"/>
      <c r="AG5" s="12" t="e">
        <f t="shared" si="14"/>
        <v>#DIV/0!</v>
      </c>
      <c r="AH5" s="12" t="e">
        <f t="shared" si="15"/>
        <v>#DIV/0!</v>
      </c>
      <c r="AI5" s="3"/>
      <c r="AJ5" s="5"/>
      <c r="AK5" s="12" t="e">
        <f t="shared" si="16"/>
        <v>#DIV/0!</v>
      </c>
      <c r="AL5" s="12" t="e">
        <f t="shared" si="17"/>
        <v>#DIV/0!</v>
      </c>
      <c r="AM5" s="3"/>
      <c r="AN5" s="5"/>
      <c r="AO5" s="12" t="e">
        <f t="shared" si="18"/>
        <v>#DIV/0!</v>
      </c>
      <c r="AP5" s="12" t="e">
        <f t="shared" si="19"/>
        <v>#DIV/0!</v>
      </c>
      <c r="AQ5" s="3"/>
      <c r="AR5" s="5"/>
      <c r="AS5" s="12" t="e">
        <f t="shared" si="20"/>
        <v>#DIV/0!</v>
      </c>
      <c r="AT5" s="12" t="e">
        <f t="shared" si="21"/>
        <v>#DIV/0!</v>
      </c>
      <c r="AU5" s="3"/>
      <c r="AV5" s="5"/>
      <c r="AW5" s="12" t="e">
        <f t="shared" si="22"/>
        <v>#DIV/0!</v>
      </c>
      <c r="AX5" s="12" t="e">
        <f t="shared" si="23"/>
        <v>#DIV/0!</v>
      </c>
      <c r="AY5" s="3"/>
      <c r="AZ5" s="5"/>
      <c r="BA5" s="12" t="e">
        <f t="shared" si="24"/>
        <v>#DIV/0!</v>
      </c>
      <c r="BB5" s="12" t="e">
        <f t="shared" si="25"/>
        <v>#DIV/0!</v>
      </c>
      <c r="BC5" s="3"/>
      <c r="BD5" s="5"/>
      <c r="BE5" s="12" t="e">
        <f t="shared" si="26"/>
        <v>#DIV/0!</v>
      </c>
      <c r="BF5" s="12" t="e">
        <f t="shared" si="27"/>
        <v>#DIV/0!</v>
      </c>
      <c r="BG5" s="3"/>
      <c r="BH5" s="5"/>
      <c r="BI5" s="12" t="e">
        <f t="shared" si="28"/>
        <v>#DIV/0!</v>
      </c>
      <c r="BJ5" s="12" t="e">
        <f t="shared" si="29"/>
        <v>#DIV/0!</v>
      </c>
      <c r="BK5" s="3"/>
      <c r="BL5" s="5"/>
      <c r="BM5" s="12" t="e">
        <f t="shared" si="30"/>
        <v>#DIV/0!</v>
      </c>
      <c r="BN5" s="12" t="e">
        <f t="shared" si="31"/>
        <v>#DIV/0!</v>
      </c>
      <c r="BO5" s="3"/>
      <c r="BP5" s="5"/>
      <c r="BQ5" s="12" t="e">
        <f t="shared" si="32"/>
        <v>#DIV/0!</v>
      </c>
      <c r="BR5" s="12" t="e">
        <f t="shared" si="33"/>
        <v>#DIV/0!</v>
      </c>
      <c r="BS5" s="3"/>
      <c r="BT5" s="5"/>
      <c r="BU5" s="12" t="e">
        <f t="shared" si="34"/>
        <v>#DIV/0!</v>
      </c>
      <c r="BV5" s="12" t="e">
        <f t="shared" si="35"/>
        <v>#DIV/0!</v>
      </c>
      <c r="BW5" s="3"/>
      <c r="BX5" s="5"/>
      <c r="BY5" s="12" t="e">
        <f t="shared" si="36"/>
        <v>#DIV/0!</v>
      </c>
      <c r="BZ5" s="12" t="e">
        <f t="shared" si="37"/>
        <v>#DIV/0!</v>
      </c>
      <c r="CA5" s="3"/>
      <c r="CB5" s="5"/>
      <c r="CC5" s="12" t="e">
        <f t="shared" si="38"/>
        <v>#DIV/0!</v>
      </c>
      <c r="CD5" s="12" t="e">
        <f t="shared" si="39"/>
        <v>#DIV/0!</v>
      </c>
      <c r="CE5" s="3"/>
      <c r="CF5" s="5"/>
      <c r="CG5" s="12" t="e">
        <f t="shared" si="40"/>
        <v>#DIV/0!</v>
      </c>
      <c r="CH5" s="12" t="e">
        <f t="shared" si="41"/>
        <v>#DIV/0!</v>
      </c>
      <c r="CI5" s="3"/>
      <c r="CJ5" s="5"/>
      <c r="CK5" s="12" t="e">
        <f t="shared" si="42"/>
        <v>#DIV/0!</v>
      </c>
      <c r="CL5" s="12" t="e">
        <f t="shared" si="43"/>
        <v>#DIV/0!</v>
      </c>
      <c r="CM5" s="3"/>
      <c r="CN5" s="5"/>
      <c r="CO5" s="12" t="e">
        <f t="shared" si="44"/>
        <v>#DIV/0!</v>
      </c>
      <c r="CP5" s="12" t="e">
        <f t="shared" si="45"/>
        <v>#DIV/0!</v>
      </c>
      <c r="CQ5" s="3"/>
      <c r="CR5" s="5"/>
      <c r="CS5" s="12" t="e">
        <f t="shared" si="46"/>
        <v>#DIV/0!</v>
      </c>
      <c r="CT5" s="12" t="e">
        <f t="shared" si="47"/>
        <v>#DIV/0!</v>
      </c>
      <c r="CU5" s="3"/>
      <c r="CV5" s="5"/>
      <c r="CW5" s="12" t="e">
        <f t="shared" si="48"/>
        <v>#DIV/0!</v>
      </c>
      <c r="CX5" s="12" t="e">
        <f t="shared" si="49"/>
        <v>#DIV/0!</v>
      </c>
      <c r="CY5" s="3"/>
      <c r="CZ5" s="5"/>
      <c r="DA5" s="12" t="e">
        <f t="shared" si="50"/>
        <v>#DIV/0!</v>
      </c>
      <c r="DB5" s="12" t="e">
        <f t="shared" si="51"/>
        <v>#DIV/0!</v>
      </c>
      <c r="DC5" s="3"/>
      <c r="DD5" s="5"/>
      <c r="DE5" s="12" t="e">
        <f t="shared" si="52"/>
        <v>#DIV/0!</v>
      </c>
      <c r="DF5" s="12" t="e">
        <f t="shared" si="53"/>
        <v>#DIV/0!</v>
      </c>
      <c r="DG5" s="3"/>
      <c r="DH5" s="5"/>
      <c r="DI5" s="12" t="e">
        <f t="shared" si="54"/>
        <v>#DIV/0!</v>
      </c>
      <c r="DJ5" s="12" t="e">
        <f t="shared" si="55"/>
        <v>#DIV/0!</v>
      </c>
      <c r="DK5" s="3"/>
      <c r="DL5" s="5"/>
      <c r="DM5" s="12" t="e">
        <f t="shared" si="56"/>
        <v>#DIV/0!</v>
      </c>
      <c r="DN5" s="12" t="e">
        <f t="shared" si="57"/>
        <v>#DIV/0!</v>
      </c>
      <c r="DO5" s="3"/>
      <c r="DP5" s="5"/>
      <c r="DQ5" s="12" t="e">
        <f t="shared" si="58"/>
        <v>#DIV/0!</v>
      </c>
      <c r="DR5" s="12" t="e">
        <f t="shared" si="59"/>
        <v>#DIV/0!</v>
      </c>
      <c r="DS5" s="3"/>
      <c r="DT5" s="5"/>
      <c r="DU5" s="12" t="e">
        <f t="shared" si="60"/>
        <v>#DIV/0!</v>
      </c>
      <c r="DV5" s="12" t="e">
        <f t="shared" si="61"/>
        <v>#DIV/0!</v>
      </c>
      <c r="DW5" s="3"/>
      <c r="DX5" s="5"/>
      <c r="DY5" s="12" t="e">
        <f t="shared" si="62"/>
        <v>#DIV/0!</v>
      </c>
      <c r="DZ5" s="12" t="e">
        <f t="shared" si="63"/>
        <v>#DIV/0!</v>
      </c>
      <c r="EA5" s="3"/>
      <c r="EB5" s="5"/>
      <c r="EC5" s="12" t="e">
        <f t="shared" si="64"/>
        <v>#DIV/0!</v>
      </c>
      <c r="ED5" s="12" t="e">
        <f t="shared" si="65"/>
        <v>#DIV/0!</v>
      </c>
      <c r="EE5" s="3"/>
      <c r="EF5" s="5"/>
      <c r="EG5" s="12" t="e">
        <f t="shared" si="66"/>
        <v>#DIV/0!</v>
      </c>
      <c r="EH5" s="12" t="e">
        <f t="shared" si="67"/>
        <v>#DIV/0!</v>
      </c>
      <c r="EI5" s="3"/>
      <c r="EJ5" s="5"/>
      <c r="EK5" s="12" t="e">
        <f t="shared" si="68"/>
        <v>#DIV/0!</v>
      </c>
      <c r="EL5" s="12" t="e">
        <f t="shared" si="69"/>
        <v>#DIV/0!</v>
      </c>
      <c r="EM5" s="3"/>
      <c r="EN5" s="5"/>
      <c r="EO5" s="12" t="e">
        <f t="shared" si="70"/>
        <v>#DIV/0!</v>
      </c>
      <c r="EP5" s="12" t="e">
        <f t="shared" si="71"/>
        <v>#DIV/0!</v>
      </c>
      <c r="EQ5" s="3"/>
      <c r="ER5" s="5"/>
      <c r="ES5" s="12" t="e">
        <f t="shared" si="72"/>
        <v>#DIV/0!</v>
      </c>
      <c r="ET5" s="12" t="e">
        <f t="shared" si="73"/>
        <v>#DIV/0!</v>
      </c>
      <c r="EU5" s="3"/>
      <c r="EV5" s="5"/>
      <c r="EW5" s="12" t="e">
        <f t="shared" si="74"/>
        <v>#DIV/0!</v>
      </c>
      <c r="EX5" s="12" t="e">
        <f t="shared" si="75"/>
        <v>#DIV/0!</v>
      </c>
      <c r="EY5" s="3"/>
      <c r="EZ5" s="5"/>
      <c r="FA5" s="12" t="e">
        <f t="shared" si="76"/>
        <v>#DIV/0!</v>
      </c>
      <c r="FB5" s="12" t="e">
        <f t="shared" si="77"/>
        <v>#DIV/0!</v>
      </c>
      <c r="FC5" s="3"/>
      <c r="FD5" s="5"/>
      <c r="FE5" s="12" t="e">
        <f t="shared" si="78"/>
        <v>#DIV/0!</v>
      </c>
      <c r="FF5" s="12" t="e">
        <f t="shared" si="79"/>
        <v>#DIV/0!</v>
      </c>
      <c r="FG5" s="3"/>
      <c r="FH5" s="5"/>
      <c r="FI5" s="12" t="e">
        <f t="shared" si="80"/>
        <v>#DIV/0!</v>
      </c>
      <c r="FJ5" s="12" t="e">
        <f t="shared" si="81"/>
        <v>#DIV/0!</v>
      </c>
      <c r="FK5" s="4">
        <f t="shared" si="82"/>
        <v>0</v>
      </c>
      <c r="FL5" s="15" t="e">
        <f t="shared" si="83"/>
        <v>#DIV/0!</v>
      </c>
      <c r="FM5" s="15" t="e">
        <f t="shared" si="84"/>
        <v>#DIV/0!</v>
      </c>
      <c r="FN5" s="15" t="e">
        <f t="shared" si="85"/>
        <v>#DIV/0!</v>
      </c>
      <c r="FO5" s="16" t="e">
        <f t="shared" si="86"/>
        <v>#DIV/0!</v>
      </c>
      <c r="FP5" s="17" t="s">
        <v>3</v>
      </c>
      <c r="FQ5" s="24" t="e">
        <f t="shared" si="87"/>
        <v>#DIV/0!</v>
      </c>
      <c r="FR5" s="4" t="e">
        <f t="shared" si="88"/>
        <v>#DIV/0!</v>
      </c>
    </row>
    <row r="6" spans="1:174" ht="30.75" customHeight="1" thickBot="1" x14ac:dyDescent="0.3">
      <c r="A6" s="21">
        <v>4</v>
      </c>
      <c r="B6" s="31" t="s">
        <v>10</v>
      </c>
      <c r="C6" s="3"/>
      <c r="D6" s="3"/>
      <c r="E6" s="8" t="e">
        <f t="shared" si="0"/>
        <v>#DIV/0!</v>
      </c>
      <c r="F6" s="12" t="e">
        <f t="shared" si="1"/>
        <v>#DIV/0!</v>
      </c>
      <c r="G6" s="3"/>
      <c r="H6" s="5"/>
      <c r="I6" s="12" t="e">
        <f t="shared" si="2"/>
        <v>#DIV/0!</v>
      </c>
      <c r="J6" s="12" t="e">
        <f t="shared" si="3"/>
        <v>#DIV/0!</v>
      </c>
      <c r="K6" s="3"/>
      <c r="L6" s="5"/>
      <c r="M6" s="12" t="e">
        <f t="shared" si="4"/>
        <v>#DIV/0!</v>
      </c>
      <c r="N6" s="12" t="e">
        <f t="shared" si="5"/>
        <v>#DIV/0!</v>
      </c>
      <c r="O6" s="3"/>
      <c r="P6" s="5"/>
      <c r="Q6" s="12" t="e">
        <f t="shared" si="6"/>
        <v>#DIV/0!</v>
      </c>
      <c r="R6" s="12" t="e">
        <f t="shared" si="7"/>
        <v>#DIV/0!</v>
      </c>
      <c r="S6" s="3"/>
      <c r="T6" s="26"/>
      <c r="U6" s="12" t="e">
        <f t="shared" si="8"/>
        <v>#DIV/0!</v>
      </c>
      <c r="V6" s="12" t="e">
        <f t="shared" si="9"/>
        <v>#DIV/0!</v>
      </c>
      <c r="W6" s="3"/>
      <c r="X6" s="5"/>
      <c r="Y6" s="12" t="e">
        <f t="shared" si="10"/>
        <v>#DIV/0!</v>
      </c>
      <c r="Z6" s="12" t="e">
        <f t="shared" si="11"/>
        <v>#DIV/0!</v>
      </c>
      <c r="AA6" s="3"/>
      <c r="AB6" s="5"/>
      <c r="AC6" s="12" t="e">
        <f t="shared" si="12"/>
        <v>#DIV/0!</v>
      </c>
      <c r="AD6" s="12" t="e">
        <f t="shared" si="13"/>
        <v>#DIV/0!</v>
      </c>
      <c r="AE6" s="3"/>
      <c r="AF6" s="5"/>
      <c r="AG6" s="12" t="e">
        <f t="shared" si="14"/>
        <v>#DIV/0!</v>
      </c>
      <c r="AH6" s="12" t="e">
        <f t="shared" si="15"/>
        <v>#DIV/0!</v>
      </c>
      <c r="AI6" s="3"/>
      <c r="AJ6" s="5"/>
      <c r="AK6" s="12" t="e">
        <f t="shared" si="16"/>
        <v>#DIV/0!</v>
      </c>
      <c r="AL6" s="12" t="e">
        <f t="shared" si="17"/>
        <v>#DIV/0!</v>
      </c>
      <c r="AM6" s="3"/>
      <c r="AN6" s="5"/>
      <c r="AO6" s="12" t="e">
        <f t="shared" si="18"/>
        <v>#DIV/0!</v>
      </c>
      <c r="AP6" s="12" t="e">
        <f t="shared" si="19"/>
        <v>#DIV/0!</v>
      </c>
      <c r="AQ6" s="3"/>
      <c r="AR6" s="5"/>
      <c r="AS6" s="12" t="e">
        <f t="shared" si="20"/>
        <v>#DIV/0!</v>
      </c>
      <c r="AT6" s="12" t="e">
        <f t="shared" si="21"/>
        <v>#DIV/0!</v>
      </c>
      <c r="AU6" s="3"/>
      <c r="AV6" s="5"/>
      <c r="AW6" s="12" t="e">
        <f t="shared" si="22"/>
        <v>#DIV/0!</v>
      </c>
      <c r="AX6" s="12" t="e">
        <f t="shared" si="23"/>
        <v>#DIV/0!</v>
      </c>
      <c r="AY6" s="3"/>
      <c r="AZ6" s="5"/>
      <c r="BA6" s="12" t="e">
        <f t="shared" si="24"/>
        <v>#DIV/0!</v>
      </c>
      <c r="BB6" s="12" t="e">
        <f t="shared" si="25"/>
        <v>#DIV/0!</v>
      </c>
      <c r="BC6" s="3"/>
      <c r="BD6" s="5"/>
      <c r="BE6" s="12" t="e">
        <f t="shared" si="26"/>
        <v>#DIV/0!</v>
      </c>
      <c r="BF6" s="12" t="e">
        <f t="shared" si="27"/>
        <v>#DIV/0!</v>
      </c>
      <c r="BG6" s="3"/>
      <c r="BH6" s="5"/>
      <c r="BI6" s="12" t="e">
        <f t="shared" si="28"/>
        <v>#DIV/0!</v>
      </c>
      <c r="BJ6" s="12" t="e">
        <f t="shared" si="29"/>
        <v>#DIV/0!</v>
      </c>
      <c r="BK6" s="3"/>
      <c r="BL6" s="5"/>
      <c r="BM6" s="12" t="e">
        <f t="shared" si="30"/>
        <v>#DIV/0!</v>
      </c>
      <c r="BN6" s="12" t="e">
        <f t="shared" si="31"/>
        <v>#DIV/0!</v>
      </c>
      <c r="BO6" s="3"/>
      <c r="BP6" s="5"/>
      <c r="BQ6" s="12" t="e">
        <f t="shared" si="32"/>
        <v>#DIV/0!</v>
      </c>
      <c r="BR6" s="12" t="e">
        <f t="shared" si="33"/>
        <v>#DIV/0!</v>
      </c>
      <c r="BS6" s="3"/>
      <c r="BT6" s="5"/>
      <c r="BU6" s="12" t="e">
        <f t="shared" si="34"/>
        <v>#DIV/0!</v>
      </c>
      <c r="BV6" s="12" t="e">
        <f t="shared" si="35"/>
        <v>#DIV/0!</v>
      </c>
      <c r="BW6" s="3"/>
      <c r="BX6" s="5"/>
      <c r="BY6" s="12" t="e">
        <f t="shared" si="36"/>
        <v>#DIV/0!</v>
      </c>
      <c r="BZ6" s="12" t="e">
        <f t="shared" si="37"/>
        <v>#DIV/0!</v>
      </c>
      <c r="CA6" s="3"/>
      <c r="CB6" s="5"/>
      <c r="CC6" s="12" t="e">
        <f t="shared" si="38"/>
        <v>#DIV/0!</v>
      </c>
      <c r="CD6" s="12" t="e">
        <f t="shared" si="39"/>
        <v>#DIV/0!</v>
      </c>
      <c r="CE6" s="3"/>
      <c r="CF6" s="5"/>
      <c r="CG6" s="12" t="e">
        <f t="shared" si="40"/>
        <v>#DIV/0!</v>
      </c>
      <c r="CH6" s="12" t="e">
        <f t="shared" si="41"/>
        <v>#DIV/0!</v>
      </c>
      <c r="CI6" s="3"/>
      <c r="CJ6" s="5"/>
      <c r="CK6" s="12" t="e">
        <f t="shared" si="42"/>
        <v>#DIV/0!</v>
      </c>
      <c r="CL6" s="12" t="e">
        <f t="shared" si="43"/>
        <v>#DIV/0!</v>
      </c>
      <c r="CM6" s="3"/>
      <c r="CN6" s="5"/>
      <c r="CO6" s="12" t="e">
        <f t="shared" si="44"/>
        <v>#DIV/0!</v>
      </c>
      <c r="CP6" s="12" t="e">
        <f t="shared" si="45"/>
        <v>#DIV/0!</v>
      </c>
      <c r="CQ6" s="3"/>
      <c r="CR6" s="5"/>
      <c r="CS6" s="12" t="e">
        <f t="shared" si="46"/>
        <v>#DIV/0!</v>
      </c>
      <c r="CT6" s="12" t="e">
        <f t="shared" si="47"/>
        <v>#DIV/0!</v>
      </c>
      <c r="CU6" s="3"/>
      <c r="CV6" s="5"/>
      <c r="CW6" s="12" t="e">
        <f t="shared" si="48"/>
        <v>#DIV/0!</v>
      </c>
      <c r="CX6" s="12" t="e">
        <f t="shared" si="49"/>
        <v>#DIV/0!</v>
      </c>
      <c r="CY6" s="3"/>
      <c r="CZ6" s="5"/>
      <c r="DA6" s="12" t="e">
        <f t="shared" si="50"/>
        <v>#DIV/0!</v>
      </c>
      <c r="DB6" s="12" t="e">
        <f t="shared" si="51"/>
        <v>#DIV/0!</v>
      </c>
      <c r="DC6" s="3"/>
      <c r="DD6" s="5"/>
      <c r="DE6" s="12" t="e">
        <f t="shared" si="52"/>
        <v>#DIV/0!</v>
      </c>
      <c r="DF6" s="12" t="e">
        <f t="shared" si="53"/>
        <v>#DIV/0!</v>
      </c>
      <c r="DG6" s="3"/>
      <c r="DH6" s="5"/>
      <c r="DI6" s="12" t="e">
        <f t="shared" si="54"/>
        <v>#DIV/0!</v>
      </c>
      <c r="DJ6" s="12" t="e">
        <f t="shared" si="55"/>
        <v>#DIV/0!</v>
      </c>
      <c r="DK6" s="3"/>
      <c r="DL6" s="5"/>
      <c r="DM6" s="12" t="e">
        <f t="shared" si="56"/>
        <v>#DIV/0!</v>
      </c>
      <c r="DN6" s="12" t="e">
        <f t="shared" si="57"/>
        <v>#DIV/0!</v>
      </c>
      <c r="DO6" s="3"/>
      <c r="DP6" s="5"/>
      <c r="DQ6" s="12" t="e">
        <f t="shared" si="58"/>
        <v>#DIV/0!</v>
      </c>
      <c r="DR6" s="12" t="e">
        <f t="shared" si="59"/>
        <v>#DIV/0!</v>
      </c>
      <c r="DS6" s="3"/>
      <c r="DT6" s="5"/>
      <c r="DU6" s="12" t="e">
        <f t="shared" si="60"/>
        <v>#DIV/0!</v>
      </c>
      <c r="DV6" s="12" t="e">
        <f t="shared" si="61"/>
        <v>#DIV/0!</v>
      </c>
      <c r="DW6" s="3"/>
      <c r="DX6" s="5"/>
      <c r="DY6" s="12" t="e">
        <f t="shared" si="62"/>
        <v>#DIV/0!</v>
      </c>
      <c r="DZ6" s="12" t="e">
        <f t="shared" si="63"/>
        <v>#DIV/0!</v>
      </c>
      <c r="EA6" s="3"/>
      <c r="EB6" s="5"/>
      <c r="EC6" s="12" t="e">
        <f t="shared" si="64"/>
        <v>#DIV/0!</v>
      </c>
      <c r="ED6" s="12" t="e">
        <f t="shared" si="65"/>
        <v>#DIV/0!</v>
      </c>
      <c r="EE6" s="3"/>
      <c r="EF6" s="5"/>
      <c r="EG6" s="12" t="e">
        <f t="shared" si="66"/>
        <v>#DIV/0!</v>
      </c>
      <c r="EH6" s="12" t="e">
        <f t="shared" si="67"/>
        <v>#DIV/0!</v>
      </c>
      <c r="EI6" s="3"/>
      <c r="EJ6" s="5"/>
      <c r="EK6" s="12" t="e">
        <f t="shared" si="68"/>
        <v>#DIV/0!</v>
      </c>
      <c r="EL6" s="12" t="e">
        <f t="shared" si="69"/>
        <v>#DIV/0!</v>
      </c>
      <c r="EM6" s="3"/>
      <c r="EN6" s="5"/>
      <c r="EO6" s="12" t="e">
        <f t="shared" si="70"/>
        <v>#DIV/0!</v>
      </c>
      <c r="EP6" s="12" t="e">
        <f t="shared" si="71"/>
        <v>#DIV/0!</v>
      </c>
      <c r="EQ6" s="3"/>
      <c r="ER6" s="5"/>
      <c r="ES6" s="12" t="e">
        <f t="shared" si="72"/>
        <v>#DIV/0!</v>
      </c>
      <c r="ET6" s="12" t="e">
        <f t="shared" si="73"/>
        <v>#DIV/0!</v>
      </c>
      <c r="EU6" s="3"/>
      <c r="EV6" s="5"/>
      <c r="EW6" s="12" t="e">
        <f t="shared" si="74"/>
        <v>#DIV/0!</v>
      </c>
      <c r="EX6" s="12" t="e">
        <f t="shared" si="75"/>
        <v>#DIV/0!</v>
      </c>
      <c r="EY6" s="3"/>
      <c r="EZ6" s="5"/>
      <c r="FA6" s="12" t="e">
        <f t="shared" si="76"/>
        <v>#DIV/0!</v>
      </c>
      <c r="FB6" s="12" t="e">
        <f t="shared" si="77"/>
        <v>#DIV/0!</v>
      </c>
      <c r="FC6" s="3"/>
      <c r="FD6" s="5"/>
      <c r="FE6" s="12" t="e">
        <f t="shared" si="78"/>
        <v>#DIV/0!</v>
      </c>
      <c r="FF6" s="12" t="e">
        <f t="shared" si="79"/>
        <v>#DIV/0!</v>
      </c>
      <c r="FG6" s="3"/>
      <c r="FH6" s="5"/>
      <c r="FI6" s="12" t="e">
        <f t="shared" si="80"/>
        <v>#DIV/0!</v>
      </c>
      <c r="FJ6" s="12" t="e">
        <f t="shared" si="81"/>
        <v>#DIV/0!</v>
      </c>
      <c r="FK6" s="4">
        <f t="shared" si="82"/>
        <v>0</v>
      </c>
      <c r="FL6" s="15" t="e">
        <f t="shared" si="83"/>
        <v>#DIV/0!</v>
      </c>
      <c r="FM6" s="15" t="e">
        <f t="shared" si="84"/>
        <v>#DIV/0!</v>
      </c>
      <c r="FN6" s="15" t="e">
        <f t="shared" si="85"/>
        <v>#DIV/0!</v>
      </c>
      <c r="FO6" s="16" t="e">
        <f t="shared" si="86"/>
        <v>#DIV/0!</v>
      </c>
      <c r="FP6" s="17" t="s">
        <v>3</v>
      </c>
      <c r="FQ6" s="24" t="e">
        <f t="shared" si="87"/>
        <v>#DIV/0!</v>
      </c>
      <c r="FR6" s="4" t="e">
        <f t="shared" si="88"/>
        <v>#DIV/0!</v>
      </c>
    </row>
    <row r="7" spans="1:174" ht="54" customHeight="1" thickBot="1" x14ac:dyDescent="0.3">
      <c r="A7" s="21">
        <v>5</v>
      </c>
      <c r="B7" s="31" t="s">
        <v>11</v>
      </c>
      <c r="C7" s="3"/>
      <c r="D7" s="3"/>
      <c r="E7" s="8" t="e">
        <f t="shared" si="0"/>
        <v>#DIV/0!</v>
      </c>
      <c r="F7" s="12" t="e">
        <f t="shared" si="1"/>
        <v>#DIV/0!</v>
      </c>
      <c r="G7" s="3"/>
      <c r="H7" s="5"/>
      <c r="I7" s="12" t="e">
        <f t="shared" si="2"/>
        <v>#DIV/0!</v>
      </c>
      <c r="J7" s="12" t="e">
        <f t="shared" si="3"/>
        <v>#DIV/0!</v>
      </c>
      <c r="K7" s="3"/>
      <c r="L7" s="5"/>
      <c r="M7" s="12" t="e">
        <f t="shared" si="4"/>
        <v>#DIV/0!</v>
      </c>
      <c r="N7" s="12" t="e">
        <f t="shared" si="5"/>
        <v>#DIV/0!</v>
      </c>
      <c r="O7" s="3"/>
      <c r="P7" s="5"/>
      <c r="Q7" s="12" t="e">
        <f t="shared" si="6"/>
        <v>#DIV/0!</v>
      </c>
      <c r="R7" s="12" t="e">
        <f t="shared" si="7"/>
        <v>#DIV/0!</v>
      </c>
      <c r="S7" s="3"/>
      <c r="T7" s="26"/>
      <c r="U7" s="12" t="e">
        <f t="shared" si="8"/>
        <v>#DIV/0!</v>
      </c>
      <c r="V7" s="12" t="e">
        <f t="shared" si="9"/>
        <v>#DIV/0!</v>
      </c>
      <c r="W7" s="3"/>
      <c r="X7" s="5"/>
      <c r="Y7" s="12" t="e">
        <f t="shared" si="10"/>
        <v>#DIV/0!</v>
      </c>
      <c r="Z7" s="12" t="e">
        <f t="shared" si="11"/>
        <v>#DIV/0!</v>
      </c>
      <c r="AA7" s="3"/>
      <c r="AB7" s="5"/>
      <c r="AC7" s="12" t="e">
        <f t="shared" si="12"/>
        <v>#DIV/0!</v>
      </c>
      <c r="AD7" s="12" t="e">
        <f t="shared" si="13"/>
        <v>#DIV/0!</v>
      </c>
      <c r="AE7" s="3"/>
      <c r="AF7" s="5"/>
      <c r="AG7" s="12" t="e">
        <f t="shared" si="14"/>
        <v>#DIV/0!</v>
      </c>
      <c r="AH7" s="12" t="e">
        <f t="shared" si="15"/>
        <v>#DIV/0!</v>
      </c>
      <c r="AI7" s="3"/>
      <c r="AJ7" s="5"/>
      <c r="AK7" s="12" t="e">
        <f t="shared" si="16"/>
        <v>#DIV/0!</v>
      </c>
      <c r="AL7" s="12" t="e">
        <f t="shared" si="17"/>
        <v>#DIV/0!</v>
      </c>
      <c r="AM7" s="3"/>
      <c r="AN7" s="5"/>
      <c r="AO7" s="12" t="e">
        <f t="shared" si="18"/>
        <v>#DIV/0!</v>
      </c>
      <c r="AP7" s="12" t="e">
        <f t="shared" si="19"/>
        <v>#DIV/0!</v>
      </c>
      <c r="AQ7" s="3"/>
      <c r="AR7" s="5"/>
      <c r="AS7" s="12" t="e">
        <f t="shared" si="20"/>
        <v>#DIV/0!</v>
      </c>
      <c r="AT7" s="12" t="e">
        <f t="shared" si="21"/>
        <v>#DIV/0!</v>
      </c>
      <c r="AU7" s="3"/>
      <c r="AV7" s="5"/>
      <c r="AW7" s="12" t="e">
        <f t="shared" si="22"/>
        <v>#DIV/0!</v>
      </c>
      <c r="AX7" s="12" t="e">
        <f t="shared" si="23"/>
        <v>#DIV/0!</v>
      </c>
      <c r="AY7" s="3"/>
      <c r="AZ7" s="5"/>
      <c r="BA7" s="12" t="e">
        <f t="shared" si="24"/>
        <v>#DIV/0!</v>
      </c>
      <c r="BB7" s="12" t="e">
        <f t="shared" si="25"/>
        <v>#DIV/0!</v>
      </c>
      <c r="BC7" s="3"/>
      <c r="BD7" s="5"/>
      <c r="BE7" s="12" t="e">
        <f t="shared" si="26"/>
        <v>#DIV/0!</v>
      </c>
      <c r="BF7" s="12" t="e">
        <f t="shared" si="27"/>
        <v>#DIV/0!</v>
      </c>
      <c r="BG7" s="3"/>
      <c r="BH7" s="5"/>
      <c r="BI7" s="12" t="e">
        <f t="shared" si="28"/>
        <v>#DIV/0!</v>
      </c>
      <c r="BJ7" s="12" t="e">
        <f t="shared" si="29"/>
        <v>#DIV/0!</v>
      </c>
      <c r="BK7" s="3"/>
      <c r="BL7" s="5"/>
      <c r="BM7" s="12" t="e">
        <f t="shared" si="30"/>
        <v>#DIV/0!</v>
      </c>
      <c r="BN7" s="12" t="e">
        <f t="shared" si="31"/>
        <v>#DIV/0!</v>
      </c>
      <c r="BO7" s="3"/>
      <c r="BP7" s="5"/>
      <c r="BQ7" s="12" t="e">
        <f t="shared" si="32"/>
        <v>#DIV/0!</v>
      </c>
      <c r="BR7" s="12" t="e">
        <f t="shared" si="33"/>
        <v>#DIV/0!</v>
      </c>
      <c r="BS7" s="3"/>
      <c r="BT7" s="5"/>
      <c r="BU7" s="12" t="e">
        <f t="shared" si="34"/>
        <v>#DIV/0!</v>
      </c>
      <c r="BV7" s="12" t="e">
        <f t="shared" si="35"/>
        <v>#DIV/0!</v>
      </c>
      <c r="BW7" s="3"/>
      <c r="BX7" s="5"/>
      <c r="BY7" s="12" t="e">
        <f t="shared" si="36"/>
        <v>#DIV/0!</v>
      </c>
      <c r="BZ7" s="12" t="e">
        <f t="shared" si="37"/>
        <v>#DIV/0!</v>
      </c>
      <c r="CA7" s="3"/>
      <c r="CB7" s="5"/>
      <c r="CC7" s="12" t="e">
        <f t="shared" si="38"/>
        <v>#DIV/0!</v>
      </c>
      <c r="CD7" s="12" t="e">
        <f t="shared" si="39"/>
        <v>#DIV/0!</v>
      </c>
      <c r="CE7" s="3"/>
      <c r="CF7" s="5"/>
      <c r="CG7" s="12" t="e">
        <f t="shared" si="40"/>
        <v>#DIV/0!</v>
      </c>
      <c r="CH7" s="12" t="e">
        <f t="shared" si="41"/>
        <v>#DIV/0!</v>
      </c>
      <c r="CI7" s="3"/>
      <c r="CJ7" s="5"/>
      <c r="CK7" s="12" t="e">
        <f t="shared" si="42"/>
        <v>#DIV/0!</v>
      </c>
      <c r="CL7" s="12" t="e">
        <f t="shared" si="43"/>
        <v>#DIV/0!</v>
      </c>
      <c r="CM7" s="3"/>
      <c r="CN7" s="5"/>
      <c r="CO7" s="12" t="e">
        <f t="shared" si="44"/>
        <v>#DIV/0!</v>
      </c>
      <c r="CP7" s="12" t="e">
        <f t="shared" si="45"/>
        <v>#DIV/0!</v>
      </c>
      <c r="CQ7" s="3"/>
      <c r="CR7" s="5"/>
      <c r="CS7" s="12" t="e">
        <f t="shared" si="46"/>
        <v>#DIV/0!</v>
      </c>
      <c r="CT7" s="12" t="e">
        <f t="shared" si="47"/>
        <v>#DIV/0!</v>
      </c>
      <c r="CU7" s="3"/>
      <c r="CV7" s="5"/>
      <c r="CW7" s="12" t="e">
        <f t="shared" si="48"/>
        <v>#DIV/0!</v>
      </c>
      <c r="CX7" s="12" t="e">
        <f t="shared" si="49"/>
        <v>#DIV/0!</v>
      </c>
      <c r="CY7" s="3"/>
      <c r="CZ7" s="5"/>
      <c r="DA7" s="12" t="e">
        <f t="shared" si="50"/>
        <v>#DIV/0!</v>
      </c>
      <c r="DB7" s="12" t="e">
        <f t="shared" si="51"/>
        <v>#DIV/0!</v>
      </c>
      <c r="DC7" s="3"/>
      <c r="DD7" s="5"/>
      <c r="DE7" s="12" t="e">
        <f t="shared" si="52"/>
        <v>#DIV/0!</v>
      </c>
      <c r="DF7" s="12" t="e">
        <f t="shared" si="53"/>
        <v>#DIV/0!</v>
      </c>
      <c r="DG7" s="3"/>
      <c r="DH7" s="5"/>
      <c r="DI7" s="12" t="e">
        <f t="shared" si="54"/>
        <v>#DIV/0!</v>
      </c>
      <c r="DJ7" s="12" t="e">
        <f t="shared" si="55"/>
        <v>#DIV/0!</v>
      </c>
      <c r="DK7" s="5"/>
      <c r="DL7" s="50"/>
      <c r="DM7" s="12" t="e">
        <f t="shared" si="56"/>
        <v>#DIV/0!</v>
      </c>
      <c r="DN7" s="12" t="e">
        <f t="shared" si="57"/>
        <v>#DIV/0!</v>
      </c>
      <c r="DO7" s="3"/>
      <c r="DP7" s="5"/>
      <c r="DQ7" s="12" t="e">
        <f t="shared" si="58"/>
        <v>#DIV/0!</v>
      </c>
      <c r="DR7" s="12" t="e">
        <f t="shared" si="59"/>
        <v>#DIV/0!</v>
      </c>
      <c r="DS7" s="3"/>
      <c r="DT7" s="5"/>
      <c r="DU7" s="12" t="e">
        <f t="shared" si="60"/>
        <v>#DIV/0!</v>
      </c>
      <c r="DV7" s="12" t="e">
        <f t="shared" si="61"/>
        <v>#DIV/0!</v>
      </c>
      <c r="DW7" s="3"/>
      <c r="DX7" s="5"/>
      <c r="DY7" s="12" t="e">
        <f t="shared" si="62"/>
        <v>#DIV/0!</v>
      </c>
      <c r="DZ7" s="12" t="e">
        <f t="shared" si="63"/>
        <v>#DIV/0!</v>
      </c>
      <c r="EA7" s="3"/>
      <c r="EB7" s="5"/>
      <c r="EC7" s="12" t="e">
        <f t="shared" si="64"/>
        <v>#DIV/0!</v>
      </c>
      <c r="ED7" s="12" t="e">
        <f t="shared" si="65"/>
        <v>#DIV/0!</v>
      </c>
      <c r="EE7" s="3"/>
      <c r="EF7" s="5"/>
      <c r="EG7" s="12" t="e">
        <f t="shared" si="66"/>
        <v>#DIV/0!</v>
      </c>
      <c r="EH7" s="12" t="e">
        <f t="shared" si="67"/>
        <v>#DIV/0!</v>
      </c>
      <c r="EI7" s="3"/>
      <c r="EJ7" s="5"/>
      <c r="EK7" s="12" t="e">
        <f t="shared" si="68"/>
        <v>#DIV/0!</v>
      </c>
      <c r="EL7" s="12" t="e">
        <f t="shared" si="69"/>
        <v>#DIV/0!</v>
      </c>
      <c r="EM7" s="3"/>
      <c r="EN7" s="5"/>
      <c r="EO7" s="12" t="e">
        <f t="shared" si="70"/>
        <v>#DIV/0!</v>
      </c>
      <c r="EP7" s="12" t="e">
        <f t="shared" si="71"/>
        <v>#DIV/0!</v>
      </c>
      <c r="EQ7" s="3"/>
      <c r="ER7" s="5"/>
      <c r="ES7" s="12" t="e">
        <f t="shared" si="72"/>
        <v>#DIV/0!</v>
      </c>
      <c r="ET7" s="12" t="e">
        <f t="shared" si="73"/>
        <v>#DIV/0!</v>
      </c>
      <c r="EU7" s="3"/>
      <c r="EV7" s="5"/>
      <c r="EW7" s="12" t="e">
        <f t="shared" si="74"/>
        <v>#DIV/0!</v>
      </c>
      <c r="EX7" s="12" t="e">
        <f t="shared" si="75"/>
        <v>#DIV/0!</v>
      </c>
      <c r="EY7" s="3"/>
      <c r="EZ7" s="5"/>
      <c r="FA7" s="12" t="e">
        <f t="shared" si="76"/>
        <v>#DIV/0!</v>
      </c>
      <c r="FB7" s="12" t="e">
        <f t="shared" si="77"/>
        <v>#DIV/0!</v>
      </c>
      <c r="FC7" s="3"/>
      <c r="FD7" s="5"/>
      <c r="FE7" s="12" t="e">
        <f t="shared" si="78"/>
        <v>#DIV/0!</v>
      </c>
      <c r="FF7" s="12" t="e">
        <f t="shared" si="79"/>
        <v>#DIV/0!</v>
      </c>
      <c r="FG7" s="3"/>
      <c r="FH7" s="5"/>
      <c r="FI7" s="12" t="e">
        <f t="shared" si="80"/>
        <v>#DIV/0!</v>
      </c>
      <c r="FJ7" s="12" t="e">
        <f t="shared" si="81"/>
        <v>#DIV/0!</v>
      </c>
      <c r="FK7" s="4">
        <f t="shared" si="82"/>
        <v>0</v>
      </c>
      <c r="FL7" s="15" t="e">
        <f t="shared" si="83"/>
        <v>#DIV/0!</v>
      </c>
      <c r="FM7" s="15" t="e">
        <f t="shared" si="84"/>
        <v>#DIV/0!</v>
      </c>
      <c r="FN7" s="15" t="e">
        <f t="shared" si="85"/>
        <v>#DIV/0!</v>
      </c>
      <c r="FO7" s="16" t="e">
        <f t="shared" si="86"/>
        <v>#DIV/0!</v>
      </c>
      <c r="FP7" s="17" t="s">
        <v>3</v>
      </c>
      <c r="FQ7" s="24" t="e">
        <f t="shared" si="87"/>
        <v>#DIV/0!</v>
      </c>
      <c r="FR7" s="4" t="e">
        <f t="shared" si="88"/>
        <v>#DIV/0!</v>
      </c>
    </row>
    <row r="8" spans="1:174" ht="48.75" customHeight="1" thickBot="1" x14ac:dyDescent="0.3">
      <c r="A8" s="21">
        <v>6</v>
      </c>
      <c r="B8" s="31" t="s">
        <v>12</v>
      </c>
      <c r="C8" s="3"/>
      <c r="D8" s="3"/>
      <c r="E8" s="8" t="e">
        <f t="shared" si="0"/>
        <v>#DIV/0!</v>
      </c>
      <c r="F8" s="12" t="e">
        <f t="shared" si="1"/>
        <v>#DIV/0!</v>
      </c>
      <c r="G8" s="3"/>
      <c r="H8" s="5"/>
      <c r="I8" s="12" t="e">
        <f t="shared" si="2"/>
        <v>#DIV/0!</v>
      </c>
      <c r="J8" s="12" t="e">
        <f t="shared" si="3"/>
        <v>#DIV/0!</v>
      </c>
      <c r="K8" s="3"/>
      <c r="L8" s="5"/>
      <c r="M8" s="12" t="e">
        <f t="shared" si="4"/>
        <v>#DIV/0!</v>
      </c>
      <c r="N8" s="12" t="e">
        <f t="shared" si="5"/>
        <v>#DIV/0!</v>
      </c>
      <c r="O8" s="3"/>
      <c r="P8" s="5"/>
      <c r="Q8" s="12" t="e">
        <f t="shared" si="6"/>
        <v>#DIV/0!</v>
      </c>
      <c r="R8" s="12" t="e">
        <f t="shared" si="7"/>
        <v>#DIV/0!</v>
      </c>
      <c r="S8" s="3"/>
      <c r="T8" s="26"/>
      <c r="U8" s="12" t="e">
        <f t="shared" si="8"/>
        <v>#DIV/0!</v>
      </c>
      <c r="V8" s="12" t="e">
        <f t="shared" si="9"/>
        <v>#DIV/0!</v>
      </c>
      <c r="W8" s="3"/>
      <c r="X8" s="5"/>
      <c r="Y8" s="12" t="e">
        <f t="shared" si="10"/>
        <v>#DIV/0!</v>
      </c>
      <c r="Z8" s="12" t="e">
        <f t="shared" si="11"/>
        <v>#DIV/0!</v>
      </c>
      <c r="AA8" s="3"/>
      <c r="AB8" s="5"/>
      <c r="AC8" s="12" t="e">
        <f t="shared" si="12"/>
        <v>#DIV/0!</v>
      </c>
      <c r="AD8" s="12" t="e">
        <f t="shared" si="13"/>
        <v>#DIV/0!</v>
      </c>
      <c r="AE8" s="3"/>
      <c r="AF8" s="5"/>
      <c r="AG8" s="12" t="e">
        <f t="shared" si="14"/>
        <v>#DIV/0!</v>
      </c>
      <c r="AH8" s="12" t="e">
        <f t="shared" si="15"/>
        <v>#DIV/0!</v>
      </c>
      <c r="AI8" s="3"/>
      <c r="AJ8" s="5"/>
      <c r="AK8" s="12" t="e">
        <f t="shared" si="16"/>
        <v>#DIV/0!</v>
      </c>
      <c r="AL8" s="12" t="e">
        <f t="shared" si="17"/>
        <v>#DIV/0!</v>
      </c>
      <c r="AM8" s="3"/>
      <c r="AN8" s="5"/>
      <c r="AO8" s="12" t="e">
        <f t="shared" si="18"/>
        <v>#DIV/0!</v>
      </c>
      <c r="AP8" s="12" t="e">
        <f t="shared" si="19"/>
        <v>#DIV/0!</v>
      </c>
      <c r="AQ8" s="3"/>
      <c r="AR8" s="5"/>
      <c r="AS8" s="12" t="e">
        <f t="shared" si="20"/>
        <v>#DIV/0!</v>
      </c>
      <c r="AT8" s="12" t="e">
        <f t="shared" si="21"/>
        <v>#DIV/0!</v>
      </c>
      <c r="AU8" s="3"/>
      <c r="AV8" s="5"/>
      <c r="AW8" s="12" t="e">
        <f t="shared" si="22"/>
        <v>#DIV/0!</v>
      </c>
      <c r="AX8" s="12" t="e">
        <f t="shared" si="23"/>
        <v>#DIV/0!</v>
      </c>
      <c r="AY8" s="3"/>
      <c r="AZ8" s="5"/>
      <c r="BA8" s="12" t="e">
        <f t="shared" si="24"/>
        <v>#DIV/0!</v>
      </c>
      <c r="BB8" s="12" t="e">
        <f t="shared" si="25"/>
        <v>#DIV/0!</v>
      </c>
      <c r="BC8" s="3"/>
      <c r="BD8" s="5"/>
      <c r="BE8" s="12" t="e">
        <f t="shared" si="26"/>
        <v>#DIV/0!</v>
      </c>
      <c r="BF8" s="12" t="e">
        <f t="shared" si="27"/>
        <v>#DIV/0!</v>
      </c>
      <c r="BG8" s="3"/>
      <c r="BH8" s="5"/>
      <c r="BI8" s="12" t="e">
        <f t="shared" si="28"/>
        <v>#DIV/0!</v>
      </c>
      <c r="BJ8" s="12" t="e">
        <f t="shared" si="29"/>
        <v>#DIV/0!</v>
      </c>
      <c r="BK8" s="3"/>
      <c r="BL8" s="5"/>
      <c r="BM8" s="12" t="e">
        <f t="shared" si="30"/>
        <v>#DIV/0!</v>
      </c>
      <c r="BN8" s="12" t="e">
        <f t="shared" si="31"/>
        <v>#DIV/0!</v>
      </c>
      <c r="BO8" s="3"/>
      <c r="BP8" s="5"/>
      <c r="BQ8" s="12" t="e">
        <f t="shared" si="32"/>
        <v>#DIV/0!</v>
      </c>
      <c r="BR8" s="12" t="e">
        <f t="shared" si="33"/>
        <v>#DIV/0!</v>
      </c>
      <c r="BS8" s="3"/>
      <c r="BT8" s="5"/>
      <c r="BU8" s="12" t="e">
        <f t="shared" si="34"/>
        <v>#DIV/0!</v>
      </c>
      <c r="BV8" s="12" t="e">
        <f t="shared" si="35"/>
        <v>#DIV/0!</v>
      </c>
      <c r="BW8" s="3"/>
      <c r="BX8" s="5"/>
      <c r="BY8" s="12" t="e">
        <f t="shared" si="36"/>
        <v>#DIV/0!</v>
      </c>
      <c r="BZ8" s="12" t="e">
        <f t="shared" si="37"/>
        <v>#DIV/0!</v>
      </c>
      <c r="CA8" s="3"/>
      <c r="CB8" s="5"/>
      <c r="CC8" s="12" t="e">
        <f t="shared" si="38"/>
        <v>#DIV/0!</v>
      </c>
      <c r="CD8" s="12" t="e">
        <f t="shared" si="39"/>
        <v>#DIV/0!</v>
      </c>
      <c r="CE8" s="3"/>
      <c r="CF8" s="5"/>
      <c r="CG8" s="12" t="e">
        <f t="shared" si="40"/>
        <v>#DIV/0!</v>
      </c>
      <c r="CH8" s="12" t="e">
        <f t="shared" si="41"/>
        <v>#DIV/0!</v>
      </c>
      <c r="CI8" s="3"/>
      <c r="CJ8" s="5"/>
      <c r="CK8" s="12" t="e">
        <f t="shared" si="42"/>
        <v>#DIV/0!</v>
      </c>
      <c r="CL8" s="12" t="e">
        <f t="shared" si="43"/>
        <v>#DIV/0!</v>
      </c>
      <c r="CM8" s="3"/>
      <c r="CN8" s="5"/>
      <c r="CO8" s="12" t="e">
        <f t="shared" si="44"/>
        <v>#DIV/0!</v>
      </c>
      <c r="CP8" s="12" t="e">
        <f t="shared" si="45"/>
        <v>#DIV/0!</v>
      </c>
      <c r="CQ8" s="3"/>
      <c r="CR8" s="5"/>
      <c r="CS8" s="12" t="e">
        <f t="shared" si="46"/>
        <v>#DIV/0!</v>
      </c>
      <c r="CT8" s="12" t="e">
        <f t="shared" si="47"/>
        <v>#DIV/0!</v>
      </c>
      <c r="CU8" s="3"/>
      <c r="CV8" s="5"/>
      <c r="CW8" s="12" t="e">
        <f t="shared" si="48"/>
        <v>#DIV/0!</v>
      </c>
      <c r="CX8" s="12" t="e">
        <f t="shared" si="49"/>
        <v>#DIV/0!</v>
      </c>
      <c r="CY8" s="3"/>
      <c r="CZ8" s="5"/>
      <c r="DA8" s="12" t="e">
        <f t="shared" si="50"/>
        <v>#DIV/0!</v>
      </c>
      <c r="DB8" s="12" t="e">
        <f t="shared" si="51"/>
        <v>#DIV/0!</v>
      </c>
      <c r="DC8" s="3"/>
      <c r="DD8" s="5"/>
      <c r="DE8" s="12" t="e">
        <f t="shared" si="52"/>
        <v>#DIV/0!</v>
      </c>
      <c r="DF8" s="12" t="e">
        <f t="shared" si="53"/>
        <v>#DIV/0!</v>
      </c>
      <c r="DG8" s="3"/>
      <c r="DH8" s="5"/>
      <c r="DI8" s="12" t="e">
        <f t="shared" si="54"/>
        <v>#DIV/0!</v>
      </c>
      <c r="DJ8" s="12" t="e">
        <f t="shared" si="55"/>
        <v>#DIV/0!</v>
      </c>
      <c r="DK8" s="3"/>
      <c r="DL8" s="5"/>
      <c r="DM8" s="12" t="e">
        <f t="shared" si="56"/>
        <v>#DIV/0!</v>
      </c>
      <c r="DN8" s="12" t="e">
        <f t="shared" si="57"/>
        <v>#DIV/0!</v>
      </c>
      <c r="DO8" s="3"/>
      <c r="DP8" s="5"/>
      <c r="DQ8" s="12" t="e">
        <f t="shared" si="58"/>
        <v>#DIV/0!</v>
      </c>
      <c r="DR8" s="12" t="e">
        <f t="shared" si="59"/>
        <v>#DIV/0!</v>
      </c>
      <c r="DS8" s="3"/>
      <c r="DT8" s="5"/>
      <c r="DU8" s="12" t="e">
        <f t="shared" si="60"/>
        <v>#DIV/0!</v>
      </c>
      <c r="DV8" s="12" t="e">
        <f t="shared" si="61"/>
        <v>#DIV/0!</v>
      </c>
      <c r="DW8" s="3"/>
      <c r="DX8" s="5"/>
      <c r="DY8" s="12" t="e">
        <f t="shared" si="62"/>
        <v>#DIV/0!</v>
      </c>
      <c r="DZ8" s="12" t="e">
        <f t="shared" si="63"/>
        <v>#DIV/0!</v>
      </c>
      <c r="EA8" s="3"/>
      <c r="EB8" s="5"/>
      <c r="EC8" s="12" t="e">
        <f t="shared" si="64"/>
        <v>#DIV/0!</v>
      </c>
      <c r="ED8" s="12" t="e">
        <f t="shared" si="65"/>
        <v>#DIV/0!</v>
      </c>
      <c r="EE8" s="3"/>
      <c r="EF8" s="5"/>
      <c r="EG8" s="12" t="e">
        <f t="shared" si="66"/>
        <v>#DIV/0!</v>
      </c>
      <c r="EH8" s="12" t="e">
        <f t="shared" si="67"/>
        <v>#DIV/0!</v>
      </c>
      <c r="EI8" s="3"/>
      <c r="EJ8" s="5"/>
      <c r="EK8" s="12" t="e">
        <f t="shared" si="68"/>
        <v>#DIV/0!</v>
      </c>
      <c r="EL8" s="12" t="e">
        <f t="shared" si="69"/>
        <v>#DIV/0!</v>
      </c>
      <c r="EM8" s="3"/>
      <c r="EN8" s="5"/>
      <c r="EO8" s="12" t="e">
        <f t="shared" si="70"/>
        <v>#DIV/0!</v>
      </c>
      <c r="EP8" s="12" t="e">
        <f t="shared" si="71"/>
        <v>#DIV/0!</v>
      </c>
      <c r="EQ8" s="3"/>
      <c r="ER8" s="5"/>
      <c r="ES8" s="12" t="e">
        <f t="shared" si="72"/>
        <v>#DIV/0!</v>
      </c>
      <c r="ET8" s="12" t="e">
        <f t="shared" si="73"/>
        <v>#DIV/0!</v>
      </c>
      <c r="EU8" s="3"/>
      <c r="EV8" s="5"/>
      <c r="EW8" s="12" t="e">
        <f t="shared" si="74"/>
        <v>#DIV/0!</v>
      </c>
      <c r="EX8" s="12" t="e">
        <f t="shared" si="75"/>
        <v>#DIV/0!</v>
      </c>
      <c r="EY8" s="3"/>
      <c r="EZ8" s="5"/>
      <c r="FA8" s="12" t="e">
        <f t="shared" si="76"/>
        <v>#DIV/0!</v>
      </c>
      <c r="FB8" s="12" t="e">
        <f t="shared" si="77"/>
        <v>#DIV/0!</v>
      </c>
      <c r="FC8" s="3"/>
      <c r="FD8" s="5"/>
      <c r="FE8" s="12" t="e">
        <f t="shared" si="78"/>
        <v>#DIV/0!</v>
      </c>
      <c r="FF8" s="12" t="e">
        <f t="shared" si="79"/>
        <v>#DIV/0!</v>
      </c>
      <c r="FG8" s="3"/>
      <c r="FH8" s="5"/>
      <c r="FI8" s="12" t="e">
        <f t="shared" si="80"/>
        <v>#DIV/0!</v>
      </c>
      <c r="FJ8" s="12" t="e">
        <f t="shared" si="81"/>
        <v>#DIV/0!</v>
      </c>
      <c r="FK8" s="4">
        <f t="shared" si="82"/>
        <v>0</v>
      </c>
      <c r="FL8" s="15" t="e">
        <f t="shared" si="83"/>
        <v>#DIV/0!</v>
      </c>
      <c r="FM8" s="15" t="e">
        <f t="shared" si="84"/>
        <v>#DIV/0!</v>
      </c>
      <c r="FN8" s="15" t="e">
        <f t="shared" si="85"/>
        <v>#DIV/0!</v>
      </c>
      <c r="FO8" s="16" t="e">
        <f t="shared" si="86"/>
        <v>#DIV/0!</v>
      </c>
      <c r="FP8" s="17" t="s">
        <v>3</v>
      </c>
      <c r="FQ8" s="24" t="e">
        <f t="shared" si="87"/>
        <v>#DIV/0!</v>
      </c>
      <c r="FR8" s="4" t="e">
        <f t="shared" si="88"/>
        <v>#DIV/0!</v>
      </c>
    </row>
    <row r="9" spans="1:174" ht="77.25" customHeight="1" thickBot="1" x14ac:dyDescent="0.3">
      <c r="A9" s="21">
        <v>7</v>
      </c>
      <c r="B9" s="31" t="s">
        <v>16</v>
      </c>
      <c r="C9" s="3"/>
      <c r="D9" s="3"/>
      <c r="E9" s="8" t="e">
        <f t="shared" si="0"/>
        <v>#DIV/0!</v>
      </c>
      <c r="F9" s="12" t="e">
        <f t="shared" si="1"/>
        <v>#DIV/0!</v>
      </c>
      <c r="G9" s="3"/>
      <c r="H9" s="5"/>
      <c r="I9" s="12" t="e">
        <f t="shared" si="2"/>
        <v>#DIV/0!</v>
      </c>
      <c r="J9" s="12" t="e">
        <f t="shared" si="3"/>
        <v>#DIV/0!</v>
      </c>
      <c r="K9" s="3"/>
      <c r="L9" s="5"/>
      <c r="M9" s="12" t="e">
        <f t="shared" si="4"/>
        <v>#DIV/0!</v>
      </c>
      <c r="N9" s="12" t="e">
        <f t="shared" si="5"/>
        <v>#DIV/0!</v>
      </c>
      <c r="O9" s="3"/>
      <c r="P9" s="5"/>
      <c r="Q9" s="12" t="e">
        <f t="shared" si="6"/>
        <v>#DIV/0!</v>
      </c>
      <c r="R9" s="12" t="e">
        <f t="shared" si="7"/>
        <v>#DIV/0!</v>
      </c>
      <c r="S9" s="3"/>
      <c r="T9" s="26"/>
      <c r="U9" s="12" t="e">
        <f t="shared" si="8"/>
        <v>#DIV/0!</v>
      </c>
      <c r="V9" s="12" t="e">
        <f t="shared" si="9"/>
        <v>#DIV/0!</v>
      </c>
      <c r="W9" s="3"/>
      <c r="X9" s="5"/>
      <c r="Y9" s="12" t="e">
        <f t="shared" si="10"/>
        <v>#DIV/0!</v>
      </c>
      <c r="Z9" s="12" t="e">
        <f t="shared" si="11"/>
        <v>#DIV/0!</v>
      </c>
      <c r="AA9" s="3"/>
      <c r="AB9" s="5"/>
      <c r="AC9" s="12" t="e">
        <f t="shared" si="12"/>
        <v>#DIV/0!</v>
      </c>
      <c r="AD9" s="12" t="e">
        <f t="shared" si="13"/>
        <v>#DIV/0!</v>
      </c>
      <c r="AE9" s="3"/>
      <c r="AF9" s="5"/>
      <c r="AG9" s="12" t="e">
        <f t="shared" si="14"/>
        <v>#DIV/0!</v>
      </c>
      <c r="AH9" s="12" t="e">
        <f t="shared" si="15"/>
        <v>#DIV/0!</v>
      </c>
      <c r="AI9" s="3"/>
      <c r="AJ9" s="5"/>
      <c r="AK9" s="12" t="e">
        <f t="shared" si="16"/>
        <v>#DIV/0!</v>
      </c>
      <c r="AL9" s="12" t="e">
        <f t="shared" si="17"/>
        <v>#DIV/0!</v>
      </c>
      <c r="AM9" s="3"/>
      <c r="AN9" s="5"/>
      <c r="AO9" s="12" t="e">
        <f t="shared" si="18"/>
        <v>#DIV/0!</v>
      </c>
      <c r="AP9" s="12" t="e">
        <f t="shared" si="19"/>
        <v>#DIV/0!</v>
      </c>
      <c r="AQ9" s="3"/>
      <c r="AR9" s="5"/>
      <c r="AS9" s="12" t="e">
        <f t="shared" si="20"/>
        <v>#DIV/0!</v>
      </c>
      <c r="AT9" s="12" t="e">
        <f t="shared" si="21"/>
        <v>#DIV/0!</v>
      </c>
      <c r="AU9" s="3"/>
      <c r="AV9" s="5"/>
      <c r="AW9" s="12" t="e">
        <f t="shared" si="22"/>
        <v>#DIV/0!</v>
      </c>
      <c r="AX9" s="12" t="e">
        <f t="shared" si="23"/>
        <v>#DIV/0!</v>
      </c>
      <c r="AY9" s="3"/>
      <c r="AZ9" s="5"/>
      <c r="BA9" s="12" t="e">
        <f t="shared" si="24"/>
        <v>#DIV/0!</v>
      </c>
      <c r="BB9" s="12" t="e">
        <f t="shared" si="25"/>
        <v>#DIV/0!</v>
      </c>
      <c r="BC9" s="3"/>
      <c r="BD9" s="5"/>
      <c r="BE9" s="12" t="e">
        <f t="shared" si="26"/>
        <v>#DIV/0!</v>
      </c>
      <c r="BF9" s="12" t="e">
        <f t="shared" si="27"/>
        <v>#DIV/0!</v>
      </c>
      <c r="BG9" s="3"/>
      <c r="BH9" s="5"/>
      <c r="BI9" s="12" t="e">
        <f t="shared" si="28"/>
        <v>#DIV/0!</v>
      </c>
      <c r="BJ9" s="12" t="e">
        <f t="shared" si="29"/>
        <v>#DIV/0!</v>
      </c>
      <c r="BK9" s="3"/>
      <c r="BL9" s="5"/>
      <c r="BM9" s="12" t="e">
        <f t="shared" si="30"/>
        <v>#DIV/0!</v>
      </c>
      <c r="BN9" s="12" t="e">
        <f t="shared" si="31"/>
        <v>#DIV/0!</v>
      </c>
      <c r="BO9" s="3"/>
      <c r="BP9" s="5"/>
      <c r="BQ9" s="12" t="e">
        <f t="shared" si="32"/>
        <v>#DIV/0!</v>
      </c>
      <c r="BR9" s="12" t="e">
        <f t="shared" si="33"/>
        <v>#DIV/0!</v>
      </c>
      <c r="BS9" s="3"/>
      <c r="BT9" s="5"/>
      <c r="BU9" s="12" t="e">
        <f t="shared" si="34"/>
        <v>#DIV/0!</v>
      </c>
      <c r="BV9" s="12" t="e">
        <f t="shared" si="35"/>
        <v>#DIV/0!</v>
      </c>
      <c r="BW9" s="3"/>
      <c r="BX9" s="5"/>
      <c r="BY9" s="12" t="e">
        <f t="shared" si="36"/>
        <v>#DIV/0!</v>
      </c>
      <c r="BZ9" s="12" t="e">
        <f t="shared" si="37"/>
        <v>#DIV/0!</v>
      </c>
      <c r="CA9" s="3"/>
      <c r="CB9" s="5"/>
      <c r="CC9" s="12" t="e">
        <f t="shared" si="38"/>
        <v>#DIV/0!</v>
      </c>
      <c r="CD9" s="12" t="e">
        <f t="shared" si="39"/>
        <v>#DIV/0!</v>
      </c>
      <c r="CE9" s="3"/>
      <c r="CF9" s="5"/>
      <c r="CG9" s="12" t="e">
        <f t="shared" si="40"/>
        <v>#DIV/0!</v>
      </c>
      <c r="CH9" s="12" t="e">
        <f t="shared" si="41"/>
        <v>#DIV/0!</v>
      </c>
      <c r="CI9" s="3"/>
      <c r="CJ9" s="5"/>
      <c r="CK9" s="12" t="e">
        <f t="shared" si="42"/>
        <v>#DIV/0!</v>
      </c>
      <c r="CL9" s="12" t="e">
        <f t="shared" si="43"/>
        <v>#DIV/0!</v>
      </c>
      <c r="CM9" s="3"/>
      <c r="CN9" s="5"/>
      <c r="CO9" s="12" t="e">
        <f t="shared" si="44"/>
        <v>#DIV/0!</v>
      </c>
      <c r="CP9" s="12" t="e">
        <f t="shared" si="45"/>
        <v>#DIV/0!</v>
      </c>
      <c r="CQ9" s="3"/>
      <c r="CR9" s="5"/>
      <c r="CS9" s="12" t="e">
        <f t="shared" si="46"/>
        <v>#DIV/0!</v>
      </c>
      <c r="CT9" s="12" t="e">
        <f t="shared" si="47"/>
        <v>#DIV/0!</v>
      </c>
      <c r="CU9" s="3"/>
      <c r="CV9" s="5"/>
      <c r="CW9" s="12" t="e">
        <f t="shared" si="48"/>
        <v>#DIV/0!</v>
      </c>
      <c r="CX9" s="12" t="e">
        <f t="shared" si="49"/>
        <v>#DIV/0!</v>
      </c>
      <c r="CY9" s="3"/>
      <c r="CZ9" s="5"/>
      <c r="DA9" s="12" t="e">
        <f t="shared" si="50"/>
        <v>#DIV/0!</v>
      </c>
      <c r="DB9" s="12" t="e">
        <f t="shared" si="51"/>
        <v>#DIV/0!</v>
      </c>
      <c r="DC9" s="3"/>
      <c r="DD9" s="5"/>
      <c r="DE9" s="12" t="e">
        <f t="shared" si="52"/>
        <v>#DIV/0!</v>
      </c>
      <c r="DF9" s="12" t="e">
        <f t="shared" si="53"/>
        <v>#DIV/0!</v>
      </c>
      <c r="DG9" s="3"/>
      <c r="DH9" s="5"/>
      <c r="DI9" s="12" t="e">
        <f t="shared" si="54"/>
        <v>#DIV/0!</v>
      </c>
      <c r="DJ9" s="12" t="e">
        <f t="shared" si="55"/>
        <v>#DIV/0!</v>
      </c>
      <c r="DK9" s="3"/>
      <c r="DL9" s="5"/>
      <c r="DM9" s="12" t="e">
        <f t="shared" si="56"/>
        <v>#DIV/0!</v>
      </c>
      <c r="DN9" s="12" t="e">
        <f t="shared" si="57"/>
        <v>#DIV/0!</v>
      </c>
      <c r="DO9" s="3"/>
      <c r="DP9" s="5"/>
      <c r="DQ9" s="12" t="e">
        <f t="shared" si="58"/>
        <v>#DIV/0!</v>
      </c>
      <c r="DR9" s="12" t="e">
        <f t="shared" si="59"/>
        <v>#DIV/0!</v>
      </c>
      <c r="DS9" s="3"/>
      <c r="DT9" s="5"/>
      <c r="DU9" s="12" t="e">
        <f t="shared" si="60"/>
        <v>#DIV/0!</v>
      </c>
      <c r="DV9" s="12" t="e">
        <f t="shared" si="61"/>
        <v>#DIV/0!</v>
      </c>
      <c r="DW9" s="3"/>
      <c r="DX9" s="5"/>
      <c r="DY9" s="12" t="e">
        <f t="shared" si="62"/>
        <v>#DIV/0!</v>
      </c>
      <c r="DZ9" s="12" t="e">
        <f t="shared" si="63"/>
        <v>#DIV/0!</v>
      </c>
      <c r="EA9" s="3"/>
      <c r="EB9" s="5"/>
      <c r="EC9" s="12" t="e">
        <f t="shared" si="64"/>
        <v>#DIV/0!</v>
      </c>
      <c r="ED9" s="12" t="e">
        <f t="shared" si="65"/>
        <v>#DIV/0!</v>
      </c>
      <c r="EE9" s="3"/>
      <c r="EF9" s="5"/>
      <c r="EG9" s="12" t="e">
        <f t="shared" si="66"/>
        <v>#DIV/0!</v>
      </c>
      <c r="EH9" s="12" t="e">
        <f t="shared" si="67"/>
        <v>#DIV/0!</v>
      </c>
      <c r="EI9" s="3"/>
      <c r="EJ9" s="5"/>
      <c r="EK9" s="12" t="e">
        <f t="shared" si="68"/>
        <v>#DIV/0!</v>
      </c>
      <c r="EL9" s="12" t="e">
        <f t="shared" si="69"/>
        <v>#DIV/0!</v>
      </c>
      <c r="EM9" s="3"/>
      <c r="EN9" s="5"/>
      <c r="EO9" s="12" t="e">
        <f t="shared" si="70"/>
        <v>#DIV/0!</v>
      </c>
      <c r="EP9" s="12" t="e">
        <f t="shared" si="71"/>
        <v>#DIV/0!</v>
      </c>
      <c r="EQ9" s="3"/>
      <c r="ER9" s="5"/>
      <c r="ES9" s="12" t="e">
        <f t="shared" si="72"/>
        <v>#DIV/0!</v>
      </c>
      <c r="ET9" s="12" t="e">
        <f t="shared" si="73"/>
        <v>#DIV/0!</v>
      </c>
      <c r="EU9" s="3"/>
      <c r="EV9" s="5"/>
      <c r="EW9" s="12" t="e">
        <f t="shared" si="74"/>
        <v>#DIV/0!</v>
      </c>
      <c r="EX9" s="12" t="e">
        <f t="shared" si="75"/>
        <v>#DIV/0!</v>
      </c>
      <c r="EY9" s="3"/>
      <c r="EZ9" s="5"/>
      <c r="FA9" s="12" t="e">
        <f t="shared" si="76"/>
        <v>#DIV/0!</v>
      </c>
      <c r="FB9" s="12" t="e">
        <f t="shared" si="77"/>
        <v>#DIV/0!</v>
      </c>
      <c r="FC9" s="3"/>
      <c r="FD9" s="5"/>
      <c r="FE9" s="12" t="e">
        <f t="shared" si="78"/>
        <v>#DIV/0!</v>
      </c>
      <c r="FF9" s="12" t="e">
        <f t="shared" si="79"/>
        <v>#DIV/0!</v>
      </c>
      <c r="FG9" s="3"/>
      <c r="FH9" s="5"/>
      <c r="FI9" s="12" t="e">
        <f t="shared" si="80"/>
        <v>#DIV/0!</v>
      </c>
      <c r="FJ9" s="12" t="e">
        <f t="shared" si="81"/>
        <v>#DIV/0!</v>
      </c>
      <c r="FK9" s="4">
        <f t="shared" si="82"/>
        <v>0</v>
      </c>
      <c r="FL9" s="15" t="e">
        <f t="shared" si="83"/>
        <v>#DIV/0!</v>
      </c>
      <c r="FM9" s="15" t="e">
        <f t="shared" si="84"/>
        <v>#DIV/0!</v>
      </c>
      <c r="FN9" s="15" t="e">
        <f t="shared" si="85"/>
        <v>#DIV/0!</v>
      </c>
      <c r="FO9" s="16" t="e">
        <f t="shared" si="86"/>
        <v>#DIV/0!</v>
      </c>
      <c r="FP9" s="17" t="s">
        <v>3</v>
      </c>
      <c r="FQ9" s="24" t="e">
        <f t="shared" si="87"/>
        <v>#DIV/0!</v>
      </c>
      <c r="FR9" s="4" t="e">
        <f t="shared" si="88"/>
        <v>#DIV/0!</v>
      </c>
    </row>
    <row r="10" spans="1:174" ht="85.5" customHeight="1" thickBot="1" x14ac:dyDescent="0.3">
      <c r="A10" s="21">
        <v>8</v>
      </c>
      <c r="B10" s="31" t="s">
        <v>17</v>
      </c>
      <c r="C10" s="3"/>
      <c r="D10" s="3"/>
      <c r="E10" s="8" t="e">
        <f t="shared" si="0"/>
        <v>#DIV/0!</v>
      </c>
      <c r="F10" s="12" t="e">
        <f t="shared" si="1"/>
        <v>#DIV/0!</v>
      </c>
      <c r="G10" s="3"/>
      <c r="H10" s="5"/>
      <c r="I10" s="12" t="e">
        <f t="shared" si="2"/>
        <v>#DIV/0!</v>
      </c>
      <c r="J10" s="12" t="e">
        <f t="shared" si="3"/>
        <v>#DIV/0!</v>
      </c>
      <c r="K10" s="3"/>
      <c r="L10" s="5"/>
      <c r="M10" s="12" t="e">
        <f t="shared" si="4"/>
        <v>#DIV/0!</v>
      </c>
      <c r="N10" s="12" t="e">
        <f t="shared" si="5"/>
        <v>#DIV/0!</v>
      </c>
      <c r="O10" s="3"/>
      <c r="P10" s="5"/>
      <c r="Q10" s="12" t="e">
        <f t="shared" si="6"/>
        <v>#DIV/0!</v>
      </c>
      <c r="R10" s="12" t="e">
        <f t="shared" si="7"/>
        <v>#DIV/0!</v>
      </c>
      <c r="S10" s="3"/>
      <c r="T10" s="26"/>
      <c r="U10" s="12" t="e">
        <f t="shared" si="8"/>
        <v>#DIV/0!</v>
      </c>
      <c r="V10" s="12" t="e">
        <f t="shared" si="9"/>
        <v>#DIV/0!</v>
      </c>
      <c r="W10" s="3"/>
      <c r="X10" s="5"/>
      <c r="Y10" s="12" t="e">
        <f t="shared" si="10"/>
        <v>#DIV/0!</v>
      </c>
      <c r="Z10" s="12" t="e">
        <f t="shared" si="11"/>
        <v>#DIV/0!</v>
      </c>
      <c r="AA10" s="3"/>
      <c r="AB10" s="5"/>
      <c r="AC10" s="12" t="e">
        <f t="shared" si="12"/>
        <v>#DIV/0!</v>
      </c>
      <c r="AD10" s="12" t="e">
        <f t="shared" si="13"/>
        <v>#DIV/0!</v>
      </c>
      <c r="AE10" s="3"/>
      <c r="AF10" s="5"/>
      <c r="AG10" s="12" t="e">
        <f t="shared" si="14"/>
        <v>#DIV/0!</v>
      </c>
      <c r="AH10" s="12" t="e">
        <f t="shared" si="15"/>
        <v>#DIV/0!</v>
      </c>
      <c r="AI10" s="3"/>
      <c r="AJ10" s="5"/>
      <c r="AK10" s="12" t="e">
        <f t="shared" si="16"/>
        <v>#DIV/0!</v>
      </c>
      <c r="AL10" s="12" t="e">
        <f t="shared" si="17"/>
        <v>#DIV/0!</v>
      </c>
      <c r="AM10" s="3"/>
      <c r="AN10" s="5"/>
      <c r="AO10" s="12" t="e">
        <f t="shared" si="18"/>
        <v>#DIV/0!</v>
      </c>
      <c r="AP10" s="12" t="e">
        <f t="shared" si="19"/>
        <v>#DIV/0!</v>
      </c>
      <c r="AQ10" s="3"/>
      <c r="AR10" s="5"/>
      <c r="AS10" s="12" t="e">
        <f t="shared" si="20"/>
        <v>#DIV/0!</v>
      </c>
      <c r="AT10" s="12" t="e">
        <f t="shared" si="21"/>
        <v>#DIV/0!</v>
      </c>
      <c r="AU10" s="3"/>
      <c r="AV10" s="5"/>
      <c r="AW10" s="12" t="e">
        <f t="shared" si="22"/>
        <v>#DIV/0!</v>
      </c>
      <c r="AX10" s="12" t="e">
        <f t="shared" si="23"/>
        <v>#DIV/0!</v>
      </c>
      <c r="AY10" s="3"/>
      <c r="AZ10" s="5"/>
      <c r="BA10" s="12" t="e">
        <f t="shared" si="24"/>
        <v>#DIV/0!</v>
      </c>
      <c r="BB10" s="12" t="e">
        <f t="shared" si="25"/>
        <v>#DIV/0!</v>
      </c>
      <c r="BC10" s="3"/>
      <c r="BD10" s="5"/>
      <c r="BE10" s="12" t="e">
        <f t="shared" si="26"/>
        <v>#DIV/0!</v>
      </c>
      <c r="BF10" s="12" t="e">
        <f t="shared" si="27"/>
        <v>#DIV/0!</v>
      </c>
      <c r="BG10" s="3"/>
      <c r="BH10" s="5"/>
      <c r="BI10" s="12" t="e">
        <f t="shared" si="28"/>
        <v>#DIV/0!</v>
      </c>
      <c r="BJ10" s="12" t="e">
        <f t="shared" si="29"/>
        <v>#DIV/0!</v>
      </c>
      <c r="BK10" s="3"/>
      <c r="BL10" s="5"/>
      <c r="BM10" s="12" t="e">
        <f t="shared" si="30"/>
        <v>#DIV/0!</v>
      </c>
      <c r="BN10" s="12" t="e">
        <f t="shared" si="31"/>
        <v>#DIV/0!</v>
      </c>
      <c r="BO10" s="3"/>
      <c r="BP10" s="5"/>
      <c r="BQ10" s="12" t="e">
        <f t="shared" si="32"/>
        <v>#DIV/0!</v>
      </c>
      <c r="BR10" s="12" t="e">
        <f t="shared" si="33"/>
        <v>#DIV/0!</v>
      </c>
      <c r="BS10" s="3"/>
      <c r="BT10" s="5"/>
      <c r="BU10" s="12" t="e">
        <f t="shared" si="34"/>
        <v>#DIV/0!</v>
      </c>
      <c r="BV10" s="12" t="e">
        <f t="shared" si="35"/>
        <v>#DIV/0!</v>
      </c>
      <c r="BW10" s="3"/>
      <c r="BX10" s="5"/>
      <c r="BY10" s="12" t="e">
        <f t="shared" si="36"/>
        <v>#DIV/0!</v>
      </c>
      <c r="BZ10" s="12" t="e">
        <f t="shared" si="37"/>
        <v>#DIV/0!</v>
      </c>
      <c r="CA10" s="3"/>
      <c r="CB10" s="5"/>
      <c r="CC10" s="12" t="e">
        <f t="shared" si="38"/>
        <v>#DIV/0!</v>
      </c>
      <c r="CD10" s="12" t="e">
        <f t="shared" si="39"/>
        <v>#DIV/0!</v>
      </c>
      <c r="CE10" s="3"/>
      <c r="CF10" s="5"/>
      <c r="CG10" s="12" t="e">
        <f t="shared" si="40"/>
        <v>#DIV/0!</v>
      </c>
      <c r="CH10" s="12" t="e">
        <f t="shared" si="41"/>
        <v>#DIV/0!</v>
      </c>
      <c r="CI10" s="3"/>
      <c r="CJ10" s="5"/>
      <c r="CK10" s="12" t="e">
        <f t="shared" si="42"/>
        <v>#DIV/0!</v>
      </c>
      <c r="CL10" s="12" t="e">
        <f t="shared" si="43"/>
        <v>#DIV/0!</v>
      </c>
      <c r="CM10" s="3"/>
      <c r="CN10" s="5"/>
      <c r="CO10" s="12" t="e">
        <f t="shared" si="44"/>
        <v>#DIV/0!</v>
      </c>
      <c r="CP10" s="12" t="e">
        <f t="shared" si="45"/>
        <v>#DIV/0!</v>
      </c>
      <c r="CQ10" s="3"/>
      <c r="CR10" s="5"/>
      <c r="CS10" s="12" t="e">
        <f t="shared" si="46"/>
        <v>#DIV/0!</v>
      </c>
      <c r="CT10" s="12" t="e">
        <f t="shared" si="47"/>
        <v>#DIV/0!</v>
      </c>
      <c r="CU10" s="3"/>
      <c r="CV10" s="5"/>
      <c r="CW10" s="12" t="e">
        <f t="shared" si="48"/>
        <v>#DIV/0!</v>
      </c>
      <c r="CX10" s="12" t="e">
        <f t="shared" si="49"/>
        <v>#DIV/0!</v>
      </c>
      <c r="CY10" s="3"/>
      <c r="CZ10" s="5"/>
      <c r="DA10" s="12" t="e">
        <f t="shared" si="50"/>
        <v>#DIV/0!</v>
      </c>
      <c r="DB10" s="12" t="e">
        <f t="shared" si="51"/>
        <v>#DIV/0!</v>
      </c>
      <c r="DC10" s="3"/>
      <c r="DD10" s="5"/>
      <c r="DE10" s="12" t="e">
        <f t="shared" si="52"/>
        <v>#DIV/0!</v>
      </c>
      <c r="DF10" s="12" t="e">
        <f t="shared" si="53"/>
        <v>#DIV/0!</v>
      </c>
      <c r="DG10" s="3"/>
      <c r="DH10" s="5"/>
      <c r="DI10" s="12" t="e">
        <f t="shared" si="54"/>
        <v>#DIV/0!</v>
      </c>
      <c r="DJ10" s="12" t="e">
        <f t="shared" si="55"/>
        <v>#DIV/0!</v>
      </c>
      <c r="DK10" s="3"/>
      <c r="DL10" s="5"/>
      <c r="DM10" s="12" t="e">
        <f t="shared" si="56"/>
        <v>#DIV/0!</v>
      </c>
      <c r="DN10" s="12" t="e">
        <f t="shared" si="57"/>
        <v>#DIV/0!</v>
      </c>
      <c r="DO10" s="3"/>
      <c r="DP10" s="5"/>
      <c r="DQ10" s="12" t="e">
        <f t="shared" si="58"/>
        <v>#DIV/0!</v>
      </c>
      <c r="DR10" s="12" t="e">
        <f t="shared" si="59"/>
        <v>#DIV/0!</v>
      </c>
      <c r="DS10" s="3"/>
      <c r="DT10" s="5"/>
      <c r="DU10" s="12" t="e">
        <f t="shared" si="60"/>
        <v>#DIV/0!</v>
      </c>
      <c r="DV10" s="12" t="e">
        <f t="shared" si="61"/>
        <v>#DIV/0!</v>
      </c>
      <c r="DW10" s="3"/>
      <c r="DX10" s="5"/>
      <c r="DY10" s="12" t="e">
        <f t="shared" si="62"/>
        <v>#DIV/0!</v>
      </c>
      <c r="DZ10" s="12" t="e">
        <f t="shared" si="63"/>
        <v>#DIV/0!</v>
      </c>
      <c r="EA10" s="3"/>
      <c r="EB10" s="5"/>
      <c r="EC10" s="12" t="e">
        <f t="shared" si="64"/>
        <v>#DIV/0!</v>
      </c>
      <c r="ED10" s="12" t="e">
        <f t="shared" si="65"/>
        <v>#DIV/0!</v>
      </c>
      <c r="EE10" s="3"/>
      <c r="EF10" s="5"/>
      <c r="EG10" s="12" t="e">
        <f t="shared" si="66"/>
        <v>#DIV/0!</v>
      </c>
      <c r="EH10" s="12" t="e">
        <f t="shared" si="67"/>
        <v>#DIV/0!</v>
      </c>
      <c r="EI10" s="3"/>
      <c r="EJ10" s="5"/>
      <c r="EK10" s="12" t="e">
        <f t="shared" si="68"/>
        <v>#DIV/0!</v>
      </c>
      <c r="EL10" s="12" t="e">
        <f t="shared" si="69"/>
        <v>#DIV/0!</v>
      </c>
      <c r="EM10" s="3"/>
      <c r="EN10" s="5"/>
      <c r="EO10" s="12" t="e">
        <f t="shared" si="70"/>
        <v>#DIV/0!</v>
      </c>
      <c r="EP10" s="12" t="e">
        <f t="shared" si="71"/>
        <v>#DIV/0!</v>
      </c>
      <c r="EQ10" s="3"/>
      <c r="ER10" s="5"/>
      <c r="ES10" s="12" t="e">
        <f t="shared" si="72"/>
        <v>#DIV/0!</v>
      </c>
      <c r="ET10" s="12" t="e">
        <f t="shared" si="73"/>
        <v>#DIV/0!</v>
      </c>
      <c r="EU10" s="3"/>
      <c r="EV10" s="5"/>
      <c r="EW10" s="12" t="e">
        <f t="shared" si="74"/>
        <v>#DIV/0!</v>
      </c>
      <c r="EX10" s="12" t="e">
        <f t="shared" si="75"/>
        <v>#DIV/0!</v>
      </c>
      <c r="EY10" s="3"/>
      <c r="EZ10" s="5"/>
      <c r="FA10" s="12" t="e">
        <f t="shared" si="76"/>
        <v>#DIV/0!</v>
      </c>
      <c r="FB10" s="12" t="e">
        <f t="shared" si="77"/>
        <v>#DIV/0!</v>
      </c>
      <c r="FC10" s="3"/>
      <c r="FD10" s="5"/>
      <c r="FE10" s="12" t="e">
        <f t="shared" si="78"/>
        <v>#DIV/0!</v>
      </c>
      <c r="FF10" s="12" t="e">
        <f t="shared" si="79"/>
        <v>#DIV/0!</v>
      </c>
      <c r="FG10" s="3"/>
      <c r="FH10" s="5"/>
      <c r="FI10" s="12" t="e">
        <f t="shared" si="80"/>
        <v>#DIV/0!</v>
      </c>
      <c r="FJ10" s="12" t="e">
        <f t="shared" si="81"/>
        <v>#DIV/0!</v>
      </c>
      <c r="FK10" s="4">
        <f t="shared" si="82"/>
        <v>0</v>
      </c>
      <c r="FL10" s="15" t="e">
        <f t="shared" si="83"/>
        <v>#DIV/0!</v>
      </c>
      <c r="FM10" s="15" t="e">
        <f t="shared" si="84"/>
        <v>#DIV/0!</v>
      </c>
      <c r="FN10" s="15" t="e">
        <f t="shared" si="85"/>
        <v>#DIV/0!</v>
      </c>
      <c r="FO10" s="16" t="e">
        <f t="shared" si="86"/>
        <v>#DIV/0!</v>
      </c>
      <c r="FP10" s="17" t="s">
        <v>3</v>
      </c>
      <c r="FQ10" s="24" t="e">
        <f t="shared" si="87"/>
        <v>#DIV/0!</v>
      </c>
      <c r="FR10" s="4" t="e">
        <f t="shared" si="88"/>
        <v>#DIV/0!</v>
      </c>
    </row>
    <row r="11" spans="1:174" ht="48" customHeight="1" thickBot="1" x14ac:dyDescent="0.3">
      <c r="A11" s="21">
        <v>9</v>
      </c>
      <c r="B11" s="31" t="s">
        <v>18</v>
      </c>
      <c r="C11" s="3"/>
      <c r="D11" s="3"/>
      <c r="E11" s="8" t="e">
        <f t="shared" si="0"/>
        <v>#DIV/0!</v>
      </c>
      <c r="F11" s="12" t="e">
        <f t="shared" si="1"/>
        <v>#DIV/0!</v>
      </c>
      <c r="G11" s="3"/>
      <c r="H11" s="5"/>
      <c r="I11" s="12" t="e">
        <f t="shared" si="2"/>
        <v>#DIV/0!</v>
      </c>
      <c r="J11" s="12" t="e">
        <f t="shared" si="3"/>
        <v>#DIV/0!</v>
      </c>
      <c r="K11" s="3"/>
      <c r="L11" s="5"/>
      <c r="M11" s="12" t="e">
        <f t="shared" si="4"/>
        <v>#DIV/0!</v>
      </c>
      <c r="N11" s="12" t="e">
        <f t="shared" si="5"/>
        <v>#DIV/0!</v>
      </c>
      <c r="O11" s="3"/>
      <c r="P11" s="5"/>
      <c r="Q11" s="12" t="e">
        <f t="shared" si="6"/>
        <v>#DIV/0!</v>
      </c>
      <c r="R11" s="12" t="e">
        <f t="shared" si="7"/>
        <v>#DIV/0!</v>
      </c>
      <c r="S11" s="3"/>
      <c r="T11" s="26"/>
      <c r="U11" s="12" t="e">
        <f t="shared" si="8"/>
        <v>#DIV/0!</v>
      </c>
      <c r="V11" s="12" t="e">
        <f t="shared" si="9"/>
        <v>#DIV/0!</v>
      </c>
      <c r="W11" s="3"/>
      <c r="X11" s="5"/>
      <c r="Y11" s="12" t="e">
        <f t="shared" si="10"/>
        <v>#DIV/0!</v>
      </c>
      <c r="Z11" s="12" t="e">
        <f t="shared" si="11"/>
        <v>#DIV/0!</v>
      </c>
      <c r="AA11" s="3"/>
      <c r="AB11" s="5"/>
      <c r="AC11" s="12" t="e">
        <f t="shared" si="12"/>
        <v>#DIV/0!</v>
      </c>
      <c r="AD11" s="12" t="e">
        <f t="shared" si="13"/>
        <v>#DIV/0!</v>
      </c>
      <c r="AE11" s="3"/>
      <c r="AF11" s="5"/>
      <c r="AG11" s="12" t="e">
        <f t="shared" si="14"/>
        <v>#DIV/0!</v>
      </c>
      <c r="AH11" s="12" t="e">
        <f t="shared" si="15"/>
        <v>#DIV/0!</v>
      </c>
      <c r="AI11" s="3"/>
      <c r="AJ11" s="5"/>
      <c r="AK11" s="12" t="e">
        <f t="shared" si="16"/>
        <v>#DIV/0!</v>
      </c>
      <c r="AL11" s="12" t="e">
        <f t="shared" si="17"/>
        <v>#DIV/0!</v>
      </c>
      <c r="AM11" s="3"/>
      <c r="AN11" s="5"/>
      <c r="AO11" s="12" t="e">
        <f t="shared" si="18"/>
        <v>#DIV/0!</v>
      </c>
      <c r="AP11" s="12" t="e">
        <f t="shared" si="19"/>
        <v>#DIV/0!</v>
      </c>
      <c r="AQ11" s="3"/>
      <c r="AR11" s="5"/>
      <c r="AS11" s="12" t="e">
        <f t="shared" si="20"/>
        <v>#DIV/0!</v>
      </c>
      <c r="AT11" s="12" t="e">
        <f t="shared" si="21"/>
        <v>#DIV/0!</v>
      </c>
      <c r="AU11" s="3"/>
      <c r="AV11" s="5"/>
      <c r="AW11" s="12" t="e">
        <f t="shared" si="22"/>
        <v>#DIV/0!</v>
      </c>
      <c r="AX11" s="12" t="e">
        <f t="shared" si="23"/>
        <v>#DIV/0!</v>
      </c>
      <c r="AY11" s="3"/>
      <c r="AZ11" s="5"/>
      <c r="BA11" s="12" t="e">
        <f t="shared" si="24"/>
        <v>#DIV/0!</v>
      </c>
      <c r="BB11" s="12" t="e">
        <f t="shared" si="25"/>
        <v>#DIV/0!</v>
      </c>
      <c r="BC11" s="3"/>
      <c r="BD11" s="5"/>
      <c r="BE11" s="12" t="e">
        <f t="shared" si="26"/>
        <v>#DIV/0!</v>
      </c>
      <c r="BF11" s="12" t="e">
        <f t="shared" si="27"/>
        <v>#DIV/0!</v>
      </c>
      <c r="BG11" s="3"/>
      <c r="BH11" s="5"/>
      <c r="BI11" s="12" t="e">
        <f t="shared" si="28"/>
        <v>#DIV/0!</v>
      </c>
      <c r="BJ11" s="12" t="e">
        <f t="shared" si="29"/>
        <v>#DIV/0!</v>
      </c>
      <c r="BK11" s="3"/>
      <c r="BL11" s="5"/>
      <c r="BM11" s="12" t="e">
        <f t="shared" si="30"/>
        <v>#DIV/0!</v>
      </c>
      <c r="BN11" s="12" t="e">
        <f t="shared" si="31"/>
        <v>#DIV/0!</v>
      </c>
      <c r="BO11" s="3"/>
      <c r="BP11" s="5"/>
      <c r="BQ11" s="12" t="e">
        <f t="shared" si="32"/>
        <v>#DIV/0!</v>
      </c>
      <c r="BR11" s="12" t="e">
        <f t="shared" si="33"/>
        <v>#DIV/0!</v>
      </c>
      <c r="BS11" s="3"/>
      <c r="BT11" s="5"/>
      <c r="BU11" s="12" t="e">
        <f t="shared" si="34"/>
        <v>#DIV/0!</v>
      </c>
      <c r="BV11" s="12" t="e">
        <f t="shared" si="35"/>
        <v>#DIV/0!</v>
      </c>
      <c r="BW11" s="3"/>
      <c r="BX11" s="5"/>
      <c r="BY11" s="12" t="e">
        <f t="shared" si="36"/>
        <v>#DIV/0!</v>
      </c>
      <c r="BZ11" s="12" t="e">
        <f t="shared" si="37"/>
        <v>#DIV/0!</v>
      </c>
      <c r="CA11" s="3"/>
      <c r="CB11" s="5"/>
      <c r="CC11" s="12" t="e">
        <f t="shared" si="38"/>
        <v>#DIV/0!</v>
      </c>
      <c r="CD11" s="12" t="e">
        <f t="shared" si="39"/>
        <v>#DIV/0!</v>
      </c>
      <c r="CE11" s="3"/>
      <c r="CF11" s="5"/>
      <c r="CG11" s="12" t="e">
        <f t="shared" si="40"/>
        <v>#DIV/0!</v>
      </c>
      <c r="CH11" s="12" t="e">
        <f t="shared" si="41"/>
        <v>#DIV/0!</v>
      </c>
      <c r="CI11" s="3"/>
      <c r="CJ11" s="5"/>
      <c r="CK11" s="12" t="e">
        <f t="shared" si="42"/>
        <v>#DIV/0!</v>
      </c>
      <c r="CL11" s="12" t="e">
        <f t="shared" si="43"/>
        <v>#DIV/0!</v>
      </c>
      <c r="CM11" s="3"/>
      <c r="CN11" s="5"/>
      <c r="CO11" s="12" t="e">
        <f t="shared" si="44"/>
        <v>#DIV/0!</v>
      </c>
      <c r="CP11" s="12" t="e">
        <f t="shared" si="45"/>
        <v>#DIV/0!</v>
      </c>
      <c r="CQ11" s="3"/>
      <c r="CR11" s="5"/>
      <c r="CS11" s="12" t="e">
        <f t="shared" si="46"/>
        <v>#DIV/0!</v>
      </c>
      <c r="CT11" s="12" t="e">
        <f t="shared" si="47"/>
        <v>#DIV/0!</v>
      </c>
      <c r="CU11" s="3"/>
      <c r="CV11" s="5"/>
      <c r="CW11" s="12" t="e">
        <f t="shared" si="48"/>
        <v>#DIV/0!</v>
      </c>
      <c r="CX11" s="12" t="e">
        <f t="shared" si="49"/>
        <v>#DIV/0!</v>
      </c>
      <c r="CY11" s="3"/>
      <c r="CZ11" s="5"/>
      <c r="DA11" s="12" t="e">
        <f t="shared" si="50"/>
        <v>#DIV/0!</v>
      </c>
      <c r="DB11" s="12" t="e">
        <f t="shared" si="51"/>
        <v>#DIV/0!</v>
      </c>
      <c r="DC11" s="3"/>
      <c r="DD11" s="5"/>
      <c r="DE11" s="12" t="e">
        <f t="shared" si="52"/>
        <v>#DIV/0!</v>
      </c>
      <c r="DF11" s="12" t="e">
        <f t="shared" si="53"/>
        <v>#DIV/0!</v>
      </c>
      <c r="DG11" s="3"/>
      <c r="DH11" s="5"/>
      <c r="DI11" s="12" t="e">
        <f t="shared" si="54"/>
        <v>#DIV/0!</v>
      </c>
      <c r="DJ11" s="12" t="e">
        <f t="shared" si="55"/>
        <v>#DIV/0!</v>
      </c>
      <c r="DK11" s="3"/>
      <c r="DL11" s="5"/>
      <c r="DM11" s="12" t="e">
        <f t="shared" si="56"/>
        <v>#DIV/0!</v>
      </c>
      <c r="DN11" s="12" t="e">
        <f t="shared" si="57"/>
        <v>#DIV/0!</v>
      </c>
      <c r="DO11" s="3"/>
      <c r="DP11" s="5"/>
      <c r="DQ11" s="12" t="e">
        <f t="shared" si="58"/>
        <v>#DIV/0!</v>
      </c>
      <c r="DR11" s="12" t="e">
        <f t="shared" si="59"/>
        <v>#DIV/0!</v>
      </c>
      <c r="DS11" s="3"/>
      <c r="DT11" s="5"/>
      <c r="DU11" s="12" t="e">
        <f t="shared" si="60"/>
        <v>#DIV/0!</v>
      </c>
      <c r="DV11" s="12" t="e">
        <f t="shared" si="61"/>
        <v>#DIV/0!</v>
      </c>
      <c r="DW11" s="3"/>
      <c r="DX11" s="5"/>
      <c r="DY11" s="12" t="e">
        <f t="shared" si="62"/>
        <v>#DIV/0!</v>
      </c>
      <c r="DZ11" s="12" t="e">
        <f t="shared" si="63"/>
        <v>#DIV/0!</v>
      </c>
      <c r="EA11" s="3"/>
      <c r="EB11" s="5"/>
      <c r="EC11" s="12" t="e">
        <f t="shared" si="64"/>
        <v>#DIV/0!</v>
      </c>
      <c r="ED11" s="12" t="e">
        <f t="shared" si="65"/>
        <v>#DIV/0!</v>
      </c>
      <c r="EE11" s="3"/>
      <c r="EF11" s="5"/>
      <c r="EG11" s="12" t="e">
        <f t="shared" si="66"/>
        <v>#DIV/0!</v>
      </c>
      <c r="EH11" s="12" t="e">
        <f t="shared" si="67"/>
        <v>#DIV/0!</v>
      </c>
      <c r="EI11" s="3"/>
      <c r="EJ11" s="5"/>
      <c r="EK11" s="12" t="e">
        <f t="shared" si="68"/>
        <v>#DIV/0!</v>
      </c>
      <c r="EL11" s="12" t="e">
        <f t="shared" si="69"/>
        <v>#DIV/0!</v>
      </c>
      <c r="EM11" s="3"/>
      <c r="EN11" s="5"/>
      <c r="EO11" s="12" t="e">
        <f t="shared" si="70"/>
        <v>#DIV/0!</v>
      </c>
      <c r="EP11" s="12" t="e">
        <f>POWER(EN11-$FM11,2)</f>
        <v>#DIV/0!</v>
      </c>
      <c r="EQ11" s="3"/>
      <c r="ER11" s="5"/>
      <c r="ES11" s="12" t="e">
        <f t="shared" si="72"/>
        <v>#DIV/0!</v>
      </c>
      <c r="ET11" s="12" t="e">
        <f t="shared" si="73"/>
        <v>#DIV/0!</v>
      </c>
      <c r="EU11" s="3"/>
      <c r="EV11" s="5"/>
      <c r="EW11" s="12" t="e">
        <f t="shared" si="74"/>
        <v>#DIV/0!</v>
      </c>
      <c r="EX11" s="12" t="e">
        <f t="shared" si="75"/>
        <v>#DIV/0!</v>
      </c>
      <c r="EY11" s="3"/>
      <c r="EZ11" s="5"/>
      <c r="FA11" s="12" t="e">
        <f t="shared" si="76"/>
        <v>#DIV/0!</v>
      </c>
      <c r="FB11" s="12" t="e">
        <f t="shared" si="77"/>
        <v>#DIV/0!</v>
      </c>
      <c r="FC11" s="3"/>
      <c r="FD11" s="5"/>
      <c r="FE11" s="12" t="e">
        <f t="shared" si="78"/>
        <v>#DIV/0!</v>
      </c>
      <c r="FF11" s="12" t="e">
        <f t="shared" si="79"/>
        <v>#DIV/0!</v>
      </c>
      <c r="FG11" s="3"/>
      <c r="FH11" s="5"/>
      <c r="FI11" s="12" t="e">
        <f t="shared" si="80"/>
        <v>#DIV/0!</v>
      </c>
      <c r="FJ11" s="12" t="e">
        <f t="shared" si="81"/>
        <v>#DIV/0!</v>
      </c>
      <c r="FK11" s="4">
        <f t="shared" si="82"/>
        <v>0</v>
      </c>
      <c r="FL11" s="15" t="e">
        <f t="shared" si="83"/>
        <v>#DIV/0!</v>
      </c>
      <c r="FM11" s="15" t="e">
        <f t="shared" si="84"/>
        <v>#DIV/0!</v>
      </c>
      <c r="FN11" s="15" t="e">
        <f t="shared" si="85"/>
        <v>#DIV/0!</v>
      </c>
      <c r="FO11" s="19" t="e">
        <f t="shared" si="86"/>
        <v>#DIV/0!</v>
      </c>
      <c r="FP11" s="20" t="s">
        <v>3</v>
      </c>
      <c r="FQ11" s="25" t="e">
        <f t="shared" si="87"/>
        <v>#DIV/0!</v>
      </c>
      <c r="FR11" s="4" t="e">
        <f t="shared" si="88"/>
        <v>#DIV/0!</v>
      </c>
    </row>
    <row r="12" spans="1:174" ht="15" hidden="1" customHeight="1" x14ac:dyDescent="0.25">
      <c r="B12" s="27" t="s">
        <v>7</v>
      </c>
      <c r="C12" s="13">
        <f>SUM(C3:C11)</f>
        <v>0</v>
      </c>
      <c r="D12" s="13">
        <f>SUM(D3:D11)</f>
        <v>0</v>
      </c>
      <c r="E12" s="8" t="e">
        <f t="shared" si="0"/>
        <v>#DIV/0!</v>
      </c>
      <c r="F12" s="12">
        <f t="shared" ref="F12:F14" si="89">POWER(D12-FE12,2)</f>
        <v>0</v>
      </c>
      <c r="G12" s="13">
        <f>SUM(G3:G11)</f>
        <v>0</v>
      </c>
      <c r="H12" s="13">
        <f>SUM(H3:H11)</f>
        <v>0</v>
      </c>
      <c r="I12" s="12" t="e">
        <f t="shared" si="2"/>
        <v>#DIV/0!</v>
      </c>
      <c r="J12" s="12">
        <f t="shared" ref="J12:J14" si="90">POWER(H12-$FE12,2)</f>
        <v>0</v>
      </c>
      <c r="K12" s="13"/>
      <c r="L12" s="13"/>
      <c r="M12" s="12" t="e">
        <f t="shared" si="4"/>
        <v>#DIV/0!</v>
      </c>
      <c r="N12" s="12">
        <f t="shared" ref="N12:N14" si="91">POWER(L12-$FE12,2)</f>
        <v>0</v>
      </c>
      <c r="O12" s="13"/>
      <c r="P12" s="13"/>
      <c r="Q12" s="12" t="e">
        <f t="shared" si="6"/>
        <v>#DIV/0!</v>
      </c>
      <c r="R12" s="12">
        <f t="shared" ref="R12:R14" si="92">POWER(P12-$FE12,2)</f>
        <v>0</v>
      </c>
      <c r="S12" s="3">
        <v>10</v>
      </c>
      <c r="T12" s="13"/>
      <c r="U12" s="12">
        <f t="shared" si="8"/>
        <v>0</v>
      </c>
      <c r="V12" s="12">
        <f t="shared" ref="V12:V14" si="93">POWER(T12-$FE12,2)</f>
        <v>0</v>
      </c>
      <c r="W12" s="3">
        <v>10</v>
      </c>
      <c r="Y12" s="12">
        <f t="shared" si="10"/>
        <v>0</v>
      </c>
      <c r="Z12" s="12">
        <f t="shared" ref="Z12:Z14" si="94">POWER(X12-$FE12,2)</f>
        <v>0</v>
      </c>
      <c r="AC12" s="12" t="e">
        <f t="shared" si="12"/>
        <v>#DIV/0!</v>
      </c>
      <c r="AD12" s="12">
        <f t="shared" ref="AD12:AD14" si="95">POWER(AB12-$FE12,2)</f>
        <v>0</v>
      </c>
      <c r="AE12" s="3">
        <v>10</v>
      </c>
      <c r="AG12" s="12">
        <f t="shared" si="14"/>
        <v>0</v>
      </c>
      <c r="AH12" s="12">
        <f t="shared" ref="AH12:AH14" si="96">POWER(AF12-$FE12,2)</f>
        <v>0</v>
      </c>
      <c r="AK12" s="12" t="e">
        <f t="shared" si="16"/>
        <v>#DIV/0!</v>
      </c>
      <c r="AL12" s="12">
        <f t="shared" ref="AL12:AL14" si="97">POWER(AJ12-$FE12,2)</f>
        <v>0</v>
      </c>
      <c r="AO12" s="12" t="e">
        <f t="shared" si="18"/>
        <v>#DIV/0!</v>
      </c>
      <c r="AP12" s="12">
        <f t="shared" ref="AP12:AP14" si="98">POWER(AN12-$FE12,2)</f>
        <v>0</v>
      </c>
      <c r="AS12" s="12" t="e">
        <f t="shared" si="20"/>
        <v>#DIV/0!</v>
      </c>
      <c r="AT12" s="12">
        <f t="shared" ref="AT12:AT14" si="99">POWER(AR12-$FE12,2)</f>
        <v>0</v>
      </c>
      <c r="BJ12" s="12" t="e">
        <f t="shared" si="29"/>
        <v>#DIV/0!</v>
      </c>
      <c r="DN12" s="12">
        <f t="shared" ref="DN12:DN14" si="100">POWER(DL12-$FE12,2)</f>
        <v>0</v>
      </c>
      <c r="FC12" s="4">
        <f t="shared" ref="FC12:FC14" si="101">COUNT(EY12,EU12,EQ12,EM12,EI12,EE12,EA12,DW12,DS12,DO12,DK12,DG12,DC12,CY12,CU12,CQ12,CM12,CI12,CE12,CA12,BW12,BS12,BO12,BK12,BG12,BC12,AY12,AU12,AQ12,AM12,AI12,AE12,AA12,W12,S12,O12,K12,G12,C12)</f>
        <v>5</v>
      </c>
      <c r="FD12" s="15" t="e">
        <f t="shared" ref="FD12:FD14" si="102">(E12+I12+M12+Q12+U12+Y12+AC12+AG12+AK12+AO12+AS12+AW12+BA12+BE12+BI12+BM12+BQ12+BU12+BY12+CC12+CG12+CK12+CO12+CS12+CW12+DA12+DE12+DI12+DM12+DQ12+DU12+DY12+EC12+EG12+EK12+EO12+ES12+EW12+FA12)*100/FC12</f>
        <v>#DIV/0!</v>
      </c>
      <c r="FE12" s="15">
        <f t="shared" ref="FE12:FE14" si="103">AVERAGE(D12,H12,L12,P12,T12,X12,AB12,AF12,AJ12,AN12,AR12,AV12,AZ12,BD12,BH12,BL12,BP12,BT12,BX12,CB12,CF12,CJ12,CN12,CR12,CV12,CZ12,DD12,DH12,DL12,DP12,DT12,DX12,EB12,EF12,EJ12,EN12,ER12,EV12,EZ12)</f>
        <v>0</v>
      </c>
      <c r="FF12" s="15" t="e">
        <f t="shared" ref="FF12:FF14" si="104">SQRT((F12+J12+N12+R12+V12+Z12+AD12+AH12+AL12+AP12+AT12+AX12+BB12+BF12+BJ12++BN12+BR12+BV12+BZ12+CD12+CH12+CL12+CP12+CT12+CX12+DB12+DF12+DJ12+DN12+DR12+DV12+DZ12+ED12+EH12+EL12+EP12+ET12+EX12+FB12)/FC12)</f>
        <v>#DIV/0!</v>
      </c>
      <c r="FG12" s="19" t="e">
        <f t="shared" ref="FG12:FG14" si="105">FD12</f>
        <v>#DIV/0!</v>
      </c>
      <c r="FH12" s="17" t="s">
        <v>3</v>
      </c>
      <c r="FI12" s="25" t="e">
        <f t="shared" ref="FI12:FI14" si="106">FF12</f>
        <v>#DIV/0!</v>
      </c>
      <c r="FJ12" s="4" t="e">
        <f t="shared" ref="FJ12:FJ14" si="107">IF(FD12&lt;40,"неудовлетворительно",IF((FD12&gt;=40)*AND(FD12&lt;60),"удовлетворительно",IF((FD12&gt;=60)*AND(FD12&lt;80),"хорошо","отлично")))</f>
        <v>#DIV/0!</v>
      </c>
      <c r="FK12" s="18"/>
      <c r="FL12" s="15" t="e">
        <f t="shared" si="83"/>
        <v>#DIV/0!</v>
      </c>
      <c r="FM12" s="15" t="e">
        <f t="shared" si="84"/>
        <v>#DIV/0!</v>
      </c>
      <c r="FN12" s="18"/>
      <c r="FO12" s="18"/>
      <c r="FP12" s="18"/>
      <c r="FQ12" s="18"/>
    </row>
    <row r="13" spans="1:174" ht="15" hidden="1" customHeight="1" x14ac:dyDescent="0.25">
      <c r="B13" s="27" t="s">
        <v>8</v>
      </c>
      <c r="C13" s="14" t="e">
        <f>AVERAGE(C3:C11)</f>
        <v>#DIV/0!</v>
      </c>
      <c r="D13" s="14" t="e">
        <f>AVERAGE(D3:D11)</f>
        <v>#DIV/0!</v>
      </c>
      <c r="E13" s="8" t="e">
        <f t="shared" si="0"/>
        <v>#DIV/0!</v>
      </c>
      <c r="F13" s="12" t="e">
        <f t="shared" si="89"/>
        <v>#DIV/0!</v>
      </c>
      <c r="G13" s="14"/>
      <c r="H13" s="14"/>
      <c r="I13" s="12" t="e">
        <f t="shared" si="2"/>
        <v>#DIV/0!</v>
      </c>
      <c r="J13" s="12" t="e">
        <f t="shared" si="90"/>
        <v>#DIV/0!</v>
      </c>
      <c r="K13" s="14"/>
      <c r="L13" s="14"/>
      <c r="M13" s="12" t="e">
        <f t="shared" si="4"/>
        <v>#DIV/0!</v>
      </c>
      <c r="N13" s="12" t="e">
        <f t="shared" si="91"/>
        <v>#DIV/0!</v>
      </c>
      <c r="O13" s="14"/>
      <c r="P13" s="14"/>
      <c r="Q13" s="12" t="e">
        <f t="shared" si="6"/>
        <v>#DIV/0!</v>
      </c>
      <c r="R13" s="12" t="e">
        <f t="shared" si="92"/>
        <v>#DIV/0!</v>
      </c>
      <c r="S13" s="3">
        <v>10</v>
      </c>
      <c r="T13" s="14"/>
      <c r="U13" s="12">
        <f t="shared" si="8"/>
        <v>0</v>
      </c>
      <c r="V13" s="12" t="e">
        <f t="shared" si="93"/>
        <v>#DIV/0!</v>
      </c>
      <c r="W13" s="3">
        <v>10</v>
      </c>
      <c r="Y13" s="12">
        <f t="shared" si="10"/>
        <v>0</v>
      </c>
      <c r="Z13" s="12" t="e">
        <f t="shared" si="94"/>
        <v>#DIV/0!</v>
      </c>
      <c r="AC13" s="12" t="e">
        <f t="shared" si="12"/>
        <v>#DIV/0!</v>
      </c>
      <c r="AD13" s="12" t="e">
        <f t="shared" si="95"/>
        <v>#DIV/0!</v>
      </c>
      <c r="AE13" s="3">
        <v>10</v>
      </c>
      <c r="AG13" s="12">
        <f t="shared" si="14"/>
        <v>0</v>
      </c>
      <c r="AH13" s="12" t="e">
        <f t="shared" si="96"/>
        <v>#DIV/0!</v>
      </c>
      <c r="AK13" s="12" t="e">
        <f t="shared" si="16"/>
        <v>#DIV/0!</v>
      </c>
      <c r="AL13" s="12" t="e">
        <f t="shared" si="97"/>
        <v>#DIV/0!</v>
      </c>
      <c r="AO13" s="12" t="e">
        <f t="shared" si="18"/>
        <v>#DIV/0!</v>
      </c>
      <c r="AP13" s="12" t="e">
        <f t="shared" si="98"/>
        <v>#DIV/0!</v>
      </c>
      <c r="AS13" s="12" t="e">
        <f t="shared" si="20"/>
        <v>#DIV/0!</v>
      </c>
      <c r="AT13" s="12" t="e">
        <f t="shared" si="99"/>
        <v>#DIV/0!</v>
      </c>
      <c r="BJ13" s="12" t="e">
        <f t="shared" si="29"/>
        <v>#DIV/0!</v>
      </c>
      <c r="DN13" s="12" t="e">
        <f t="shared" si="100"/>
        <v>#DIV/0!</v>
      </c>
      <c r="FC13" s="4">
        <f t="shared" si="101"/>
        <v>3</v>
      </c>
      <c r="FD13" s="15" t="e">
        <f t="shared" si="102"/>
        <v>#DIV/0!</v>
      </c>
      <c r="FE13" s="15" t="e">
        <f t="shared" si="103"/>
        <v>#DIV/0!</v>
      </c>
      <c r="FF13" s="15" t="e">
        <f t="shared" si="104"/>
        <v>#DIV/0!</v>
      </c>
      <c r="FG13" s="19" t="e">
        <f t="shared" si="105"/>
        <v>#DIV/0!</v>
      </c>
      <c r="FH13" s="17" t="s">
        <v>3</v>
      </c>
      <c r="FI13" s="25" t="e">
        <f t="shared" si="106"/>
        <v>#DIV/0!</v>
      </c>
      <c r="FJ13" s="4" t="e">
        <f t="shared" si="107"/>
        <v>#DIV/0!</v>
      </c>
      <c r="FK13" s="18"/>
      <c r="FL13" s="15" t="e">
        <f t="shared" si="83"/>
        <v>#DIV/0!</v>
      </c>
      <c r="FM13" s="15" t="e">
        <f t="shared" si="84"/>
        <v>#DIV/0!</v>
      </c>
      <c r="FN13" s="18"/>
      <c r="FO13" s="18"/>
      <c r="FP13" s="18"/>
      <c r="FQ13" s="18"/>
    </row>
    <row r="14" spans="1:174" ht="15" hidden="1" customHeight="1" x14ac:dyDescent="0.25">
      <c r="B14" s="28" t="s">
        <v>9</v>
      </c>
      <c r="E14" s="8" t="e">
        <f t="shared" si="0"/>
        <v>#DIV/0!</v>
      </c>
      <c r="F14" s="12" t="e">
        <f t="shared" si="89"/>
        <v>#DIV/0!</v>
      </c>
      <c r="I14" s="12" t="e">
        <f t="shared" si="2"/>
        <v>#DIV/0!</v>
      </c>
      <c r="J14" s="12" t="e">
        <f t="shared" si="90"/>
        <v>#DIV/0!</v>
      </c>
      <c r="M14" s="12" t="e">
        <f t="shared" si="4"/>
        <v>#DIV/0!</v>
      </c>
      <c r="N14" s="12" t="e">
        <f t="shared" si="91"/>
        <v>#DIV/0!</v>
      </c>
      <c r="Q14" s="12" t="e">
        <f t="shared" si="6"/>
        <v>#DIV/0!</v>
      </c>
      <c r="R14" s="12" t="e">
        <f t="shared" si="92"/>
        <v>#DIV/0!</v>
      </c>
      <c r="S14" s="3">
        <v>10</v>
      </c>
      <c r="U14" s="12">
        <f t="shared" si="8"/>
        <v>0</v>
      </c>
      <c r="V14" s="12" t="e">
        <f t="shared" si="93"/>
        <v>#DIV/0!</v>
      </c>
      <c r="W14" s="47">
        <v>10</v>
      </c>
      <c r="Y14" s="29">
        <f t="shared" si="10"/>
        <v>0</v>
      </c>
      <c r="Z14" s="29" t="e">
        <f t="shared" si="94"/>
        <v>#DIV/0!</v>
      </c>
      <c r="AC14" s="29" t="e">
        <f t="shared" si="12"/>
        <v>#DIV/0!</v>
      </c>
      <c r="AD14" s="12" t="e">
        <f t="shared" si="95"/>
        <v>#DIV/0!</v>
      </c>
      <c r="AE14" s="3">
        <v>10</v>
      </c>
      <c r="AG14" s="12">
        <f t="shared" si="14"/>
        <v>0</v>
      </c>
      <c r="AH14" s="12" t="e">
        <f t="shared" si="96"/>
        <v>#DIV/0!</v>
      </c>
      <c r="AK14" s="12" t="e">
        <f t="shared" si="16"/>
        <v>#DIV/0!</v>
      </c>
      <c r="AL14" s="12" t="e">
        <f t="shared" si="97"/>
        <v>#DIV/0!</v>
      </c>
      <c r="AO14" s="12" t="e">
        <f t="shared" si="18"/>
        <v>#DIV/0!</v>
      </c>
      <c r="AP14" s="12" t="e">
        <f t="shared" si="98"/>
        <v>#DIV/0!</v>
      </c>
      <c r="AS14" s="12" t="e">
        <f t="shared" si="20"/>
        <v>#DIV/0!</v>
      </c>
      <c r="AT14" s="12" t="e">
        <f t="shared" si="99"/>
        <v>#DIV/0!</v>
      </c>
      <c r="BJ14" s="12" t="e">
        <f t="shared" si="29"/>
        <v>#DIV/0!</v>
      </c>
      <c r="DN14" s="29" t="e">
        <f t="shared" si="100"/>
        <v>#DIV/0!</v>
      </c>
      <c r="FC14" s="4">
        <f t="shared" si="101"/>
        <v>3</v>
      </c>
      <c r="FD14" s="15" t="e">
        <f t="shared" si="102"/>
        <v>#DIV/0!</v>
      </c>
      <c r="FE14" s="15" t="e">
        <f t="shared" si="103"/>
        <v>#DIV/0!</v>
      </c>
      <c r="FF14" s="15" t="e">
        <f t="shared" si="104"/>
        <v>#DIV/0!</v>
      </c>
      <c r="FG14" s="19" t="e">
        <f t="shared" si="105"/>
        <v>#DIV/0!</v>
      </c>
      <c r="FH14" s="17" t="s">
        <v>3</v>
      </c>
      <c r="FI14" s="25" t="e">
        <f t="shared" si="106"/>
        <v>#DIV/0!</v>
      </c>
      <c r="FJ14" s="4" t="e">
        <f t="shared" si="107"/>
        <v>#DIV/0!</v>
      </c>
      <c r="FK14" s="18"/>
      <c r="FL14" s="15" t="e">
        <f t="shared" si="83"/>
        <v>#DIV/0!</v>
      </c>
      <c r="FM14" s="15" t="e">
        <f t="shared" si="84"/>
        <v>#DIV/0!</v>
      </c>
      <c r="FN14" s="18"/>
      <c r="FO14" s="18"/>
      <c r="FP14" s="18"/>
      <c r="FQ14" s="18"/>
    </row>
    <row r="15" spans="1:174" ht="43.5" customHeight="1" x14ac:dyDescent="0.25">
      <c r="W15" s="32"/>
      <c r="X15" s="32"/>
      <c r="Y15" s="32"/>
      <c r="Z15" s="32"/>
      <c r="AA15" s="32"/>
      <c r="AB15" s="32"/>
      <c r="AC15" s="32"/>
      <c r="FG15" s="2"/>
      <c r="FI15" s="2"/>
      <c r="FJ15" s="2"/>
      <c r="FK15" s="2"/>
      <c r="FL15" s="2"/>
      <c r="FM15" s="2"/>
      <c r="FN15" s="2"/>
      <c r="FO15" s="2"/>
      <c r="FP15" s="2"/>
      <c r="FQ15" s="2"/>
    </row>
    <row r="16" spans="1:174" x14ac:dyDescent="0.25">
      <c r="W16" s="32"/>
      <c r="X16" s="32"/>
      <c r="Y16" s="32"/>
      <c r="Z16" s="32"/>
      <c r="AA16" s="32"/>
      <c r="AB16" s="32"/>
      <c r="AC16" s="32"/>
      <c r="FO16" s="38" t="e">
        <f>AVERAGE(FO3:FO11)</f>
        <v>#DIV/0!</v>
      </c>
      <c r="FP16" s="39" t="s">
        <v>3</v>
      </c>
      <c r="FQ16" s="40" t="e">
        <f>AVERAGE(FQ3:FQ11)</f>
        <v>#DIV/0!</v>
      </c>
      <c r="FR16" s="41" t="e">
        <f>IF(FO16&lt;40,"неудовлетворительно",IF((FO16&gt;=40)*AND(FO16&lt;60),"удовлетворительно",IF((FO16&gt;=60)*AND(FO16&lt;80),"хорошо","отлично")))</f>
        <v>#DIV/0!</v>
      </c>
    </row>
    <row r="17" spans="1:173" x14ac:dyDescent="0.25"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pans="1:173" ht="15.75" x14ac:dyDescent="0.25">
      <c r="V18" s="32"/>
      <c r="W18" s="32"/>
      <c r="X18" s="48"/>
      <c r="Y18" s="48"/>
      <c r="Z18" s="48"/>
      <c r="AA18" s="82"/>
      <c r="AB18" s="82"/>
      <c r="AC18" s="82"/>
      <c r="AD18" s="56"/>
      <c r="AE18" s="32"/>
    </row>
    <row r="19" spans="1:173" x14ac:dyDescent="0.25">
      <c r="V19" s="32"/>
      <c r="W19" s="32"/>
      <c r="X19" s="33"/>
      <c r="Y19" s="32"/>
      <c r="Z19" s="32"/>
      <c r="AA19" s="34"/>
      <c r="AB19" s="35"/>
      <c r="AC19" s="36"/>
      <c r="AD19" s="32"/>
      <c r="AE19" s="32"/>
    </row>
    <row r="20" spans="1:173" x14ac:dyDescent="0.25">
      <c r="V20" s="32"/>
      <c r="W20" s="32"/>
      <c r="X20" s="33"/>
      <c r="Y20" s="32"/>
      <c r="Z20" s="32"/>
      <c r="AA20" s="34"/>
      <c r="AB20" s="35"/>
      <c r="AC20" s="36"/>
      <c r="AD20" s="32"/>
      <c r="AE20" s="32"/>
    </row>
    <row r="21" spans="1:173" x14ac:dyDescent="0.25">
      <c r="V21" s="32"/>
      <c r="W21" s="32"/>
      <c r="X21" s="33"/>
      <c r="Y21" s="32"/>
      <c r="Z21" s="32"/>
      <c r="AA21" s="34"/>
      <c r="AB21" s="35"/>
      <c r="AC21" s="36"/>
      <c r="AD21" s="32"/>
      <c r="AE21" s="32"/>
      <c r="FC21" s="32"/>
      <c r="FD21" s="34"/>
      <c r="FE21" s="32"/>
      <c r="FF21" s="32"/>
      <c r="FG21" s="32"/>
      <c r="FH21" s="32"/>
      <c r="FI21" s="32"/>
      <c r="FJ21" s="32"/>
    </row>
    <row r="22" spans="1:173" x14ac:dyDescent="0.25">
      <c r="V22" s="32"/>
      <c r="W22" s="32"/>
      <c r="X22" s="33"/>
      <c r="Y22" s="32"/>
      <c r="Z22" s="32"/>
      <c r="AA22" s="34"/>
      <c r="AB22" s="35"/>
      <c r="AC22" s="36"/>
      <c r="AD22" s="32"/>
      <c r="AE22" s="32"/>
      <c r="FC22" s="32"/>
      <c r="FD22" s="34"/>
      <c r="FE22" s="32"/>
      <c r="FF22" s="32"/>
      <c r="FG22" s="32"/>
      <c r="FH22" s="32"/>
      <c r="FI22" s="32"/>
      <c r="FJ22" s="32"/>
    </row>
    <row r="23" spans="1:173" x14ac:dyDescent="0.25">
      <c r="V23" s="32"/>
      <c r="W23" s="32"/>
      <c r="X23" s="33"/>
      <c r="Y23" s="32"/>
      <c r="Z23" s="32"/>
      <c r="AA23" s="34"/>
      <c r="AB23" s="35"/>
      <c r="AC23" s="36"/>
      <c r="AD23" s="32"/>
      <c r="AE23" s="32"/>
      <c r="FC23" s="32"/>
      <c r="FD23" s="34"/>
      <c r="FE23" s="32"/>
      <c r="FF23" s="32"/>
      <c r="FG23" s="32"/>
      <c r="FH23" s="32"/>
      <c r="FI23" s="32"/>
      <c r="FJ23" s="32"/>
    </row>
    <row r="24" spans="1:173" x14ac:dyDescent="0.25">
      <c r="V24" s="32"/>
      <c r="W24" s="32"/>
      <c r="X24" s="33"/>
      <c r="Y24" s="32"/>
      <c r="Z24" s="32"/>
      <c r="AA24" s="34"/>
      <c r="AB24" s="35"/>
      <c r="AC24" s="36"/>
      <c r="AD24" s="32"/>
      <c r="AE24" s="32"/>
      <c r="FC24" s="32"/>
      <c r="FD24" s="34"/>
      <c r="FE24" s="32"/>
      <c r="FF24" s="32"/>
      <c r="FG24" s="32"/>
      <c r="FH24" s="32"/>
      <c r="FI24" s="32"/>
      <c r="FJ24" s="32"/>
    </row>
    <row r="25" spans="1:173" x14ac:dyDescent="0.25">
      <c r="V25" s="32"/>
      <c r="W25" s="32"/>
      <c r="X25" s="33"/>
      <c r="Y25" s="32"/>
      <c r="Z25" s="32"/>
      <c r="AA25" s="34"/>
      <c r="AB25" s="35"/>
      <c r="AC25" s="36"/>
      <c r="AD25" s="32"/>
      <c r="AE25" s="32"/>
      <c r="FC25" s="32"/>
      <c r="FD25" s="34"/>
      <c r="FE25" s="32"/>
      <c r="FF25" s="32"/>
      <c r="FG25" s="32"/>
      <c r="FH25" s="32"/>
      <c r="FI25" s="32"/>
      <c r="FJ25" s="32"/>
    </row>
    <row r="26" spans="1:173" x14ac:dyDescent="0.25">
      <c r="V26" s="32"/>
      <c r="W26" s="32"/>
      <c r="X26" s="33"/>
      <c r="Y26" s="32"/>
      <c r="Z26" s="32"/>
      <c r="AA26" s="34"/>
      <c r="AB26" s="35"/>
      <c r="AC26" s="36"/>
      <c r="AD26" s="32"/>
      <c r="AE26" s="32"/>
      <c r="FC26" s="32"/>
      <c r="FD26" s="34"/>
      <c r="FE26" s="32"/>
      <c r="FF26" s="32"/>
      <c r="FG26" s="32"/>
      <c r="FH26" s="32"/>
      <c r="FI26" s="32"/>
      <c r="FJ26" s="32"/>
    </row>
    <row r="27" spans="1:173" x14ac:dyDescent="0.25">
      <c r="V27" s="32"/>
      <c r="W27" s="32"/>
      <c r="X27" s="33"/>
      <c r="Y27" s="32"/>
      <c r="Z27" s="32"/>
      <c r="AA27" s="34"/>
      <c r="AB27" s="35"/>
      <c r="AC27" s="36"/>
      <c r="AD27" s="32"/>
      <c r="AE27" s="32"/>
      <c r="FC27" s="79"/>
      <c r="FD27" s="79"/>
      <c r="FE27" s="79"/>
      <c r="FF27" s="42"/>
      <c r="FG27" s="32"/>
      <c r="FH27" s="32"/>
      <c r="FI27" s="32"/>
      <c r="FJ27" s="32"/>
    </row>
    <row r="28" spans="1:173" ht="19.5" x14ac:dyDescent="0.35">
      <c r="A28" s="83"/>
      <c r="B28" s="84"/>
      <c r="V28" s="32"/>
      <c r="W28" s="32"/>
      <c r="X28" s="33"/>
      <c r="Y28" s="32"/>
      <c r="Z28" s="32"/>
      <c r="AA28" s="34"/>
      <c r="AB28" s="35"/>
      <c r="AC28" s="36"/>
      <c r="AD28" s="32"/>
      <c r="AE28" s="32"/>
      <c r="FC28" s="79"/>
      <c r="FD28" s="79"/>
      <c r="FE28" s="79"/>
      <c r="FF28" s="79"/>
      <c r="FG28" s="43"/>
      <c r="FH28" s="44"/>
      <c r="FI28" s="45"/>
      <c r="FJ28" s="46"/>
      <c r="FK28" s="51"/>
      <c r="FL28" s="51"/>
      <c r="FM28" s="51"/>
      <c r="FN28" s="51"/>
      <c r="FO28" s="51"/>
      <c r="FP28" s="51"/>
      <c r="FQ28" s="51"/>
    </row>
    <row r="29" spans="1:173" x14ac:dyDescent="0.25">
      <c r="V29" s="32"/>
      <c r="W29" s="32"/>
      <c r="X29" s="34"/>
      <c r="Y29" s="32"/>
      <c r="Z29" s="32"/>
      <c r="AA29" s="32"/>
      <c r="AB29" s="32"/>
      <c r="AC29" s="32"/>
      <c r="AD29" s="32"/>
      <c r="AE29" s="32"/>
      <c r="FC29" s="32"/>
      <c r="FD29" s="32"/>
      <c r="FE29" s="32"/>
      <c r="FF29" s="32"/>
      <c r="FG29" s="32"/>
      <c r="FH29" s="32"/>
      <c r="FI29" s="32"/>
      <c r="FJ29" s="32"/>
    </row>
    <row r="30" spans="1:173" x14ac:dyDescent="0.25">
      <c r="V30" s="32"/>
      <c r="W30" s="32"/>
      <c r="X30" s="34"/>
      <c r="Y30" s="32"/>
      <c r="Z30" s="32"/>
      <c r="AA30" s="32"/>
      <c r="AB30" s="32"/>
      <c r="AC30" s="32"/>
      <c r="AD30" s="32"/>
      <c r="AE30" s="32"/>
    </row>
    <row r="31" spans="1:173" x14ac:dyDescent="0.25">
      <c r="V31" s="32"/>
      <c r="W31" s="79"/>
      <c r="X31" s="79"/>
      <c r="Y31" s="79"/>
      <c r="Z31" s="34"/>
      <c r="AA31" s="32"/>
      <c r="AB31" s="32"/>
      <c r="AC31" s="32"/>
      <c r="AD31" s="32"/>
      <c r="AE31" s="32"/>
    </row>
    <row r="32" spans="1:173" x14ac:dyDescent="0.25">
      <c r="V32" s="32"/>
      <c r="W32" s="79"/>
      <c r="X32" s="79"/>
      <c r="Y32" s="79"/>
      <c r="Z32" s="79"/>
      <c r="AA32" s="43"/>
      <c r="AB32" s="44"/>
      <c r="AC32" s="45"/>
      <c r="AD32" s="46"/>
      <c r="AE32" s="32"/>
    </row>
    <row r="33" spans="23:29" customFormat="1" x14ac:dyDescent="0.25">
      <c r="W33" s="32"/>
      <c r="X33" s="32"/>
      <c r="Y33" s="32"/>
      <c r="Z33" s="32"/>
      <c r="AA33" s="32"/>
      <c r="AB33" s="32"/>
      <c r="AC33" s="32"/>
    </row>
    <row r="34" spans="23:29" customFormat="1" x14ac:dyDescent="0.25">
      <c r="W34" s="32"/>
      <c r="X34" s="32"/>
      <c r="Y34" s="32"/>
      <c r="Z34" s="32"/>
      <c r="AA34" s="32"/>
      <c r="AB34" s="32"/>
      <c r="AC34" s="32"/>
    </row>
    <row r="35" spans="23:29" customFormat="1" x14ac:dyDescent="0.25">
      <c r="W35" s="32"/>
      <c r="X35" s="32"/>
      <c r="Y35" s="32"/>
      <c r="Z35" s="32"/>
      <c r="AA35" s="32"/>
      <c r="AB35" s="32"/>
      <c r="AC35" s="32"/>
    </row>
    <row r="36" spans="23:29" customFormat="1" x14ac:dyDescent="0.25">
      <c r="W36" s="32"/>
      <c r="X36" s="32"/>
      <c r="Y36" s="32"/>
      <c r="Z36" s="32"/>
      <c r="AA36" s="32"/>
      <c r="AB36" s="32"/>
      <c r="AC36" s="32"/>
    </row>
    <row r="37" spans="23:29" customFormat="1" x14ac:dyDescent="0.25">
      <c r="W37" s="37"/>
      <c r="X37" s="52"/>
      <c r="Y37" s="52"/>
      <c r="Z37" s="37"/>
      <c r="AA37" s="18"/>
      <c r="AB37" s="18"/>
      <c r="AC37" s="18"/>
    </row>
    <row r="38" spans="23:29" customFormat="1" x14ac:dyDescent="0.25">
      <c r="W38" s="37"/>
      <c r="X38" s="52"/>
      <c r="Y38" s="52"/>
      <c r="Z38" s="37"/>
      <c r="AA38" s="18"/>
      <c r="AB38" s="18"/>
      <c r="AC38" s="18"/>
    </row>
    <row r="39" spans="23:29" customFormat="1" x14ac:dyDescent="0.25">
      <c r="W39" s="37"/>
      <c r="X39" s="52"/>
      <c r="Y39" s="52"/>
      <c r="Z39" s="37"/>
      <c r="AA39" s="18"/>
      <c r="AB39" s="18"/>
      <c r="AC39" s="18"/>
    </row>
    <row r="40" spans="23:29" customFormat="1" x14ac:dyDescent="0.25">
      <c r="W40" s="37"/>
      <c r="X40" s="52"/>
      <c r="Y40" s="52"/>
      <c r="Z40" s="37"/>
      <c r="AA40" s="18"/>
      <c r="AB40" s="18"/>
      <c r="AC40" s="18"/>
    </row>
    <row r="41" spans="23:29" customFormat="1" x14ac:dyDescent="0.25">
      <c r="W41" s="37"/>
      <c r="X41" s="52"/>
      <c r="Y41" s="52"/>
      <c r="Z41" s="37"/>
      <c r="AA41" s="18"/>
      <c r="AB41" s="18"/>
      <c r="AC41" s="18"/>
    </row>
    <row r="42" spans="23:29" customFormat="1" x14ac:dyDescent="0.25">
      <c r="W42" s="37"/>
      <c r="X42" s="52"/>
      <c r="Y42" s="52"/>
      <c r="Z42" s="37"/>
      <c r="AA42" s="18"/>
      <c r="AB42" s="18"/>
      <c r="AC42" s="18"/>
    </row>
    <row r="43" spans="23:29" customFormat="1" x14ac:dyDescent="0.25">
      <c r="W43" s="37"/>
      <c r="X43" s="52"/>
      <c r="Y43" s="52"/>
      <c r="Z43" s="37"/>
      <c r="AA43" s="18"/>
      <c r="AB43" s="18"/>
      <c r="AC43" s="18"/>
    </row>
    <row r="44" spans="23:29" customFormat="1" x14ac:dyDescent="0.25">
      <c r="W44" s="37"/>
      <c r="X44" s="52"/>
      <c r="Y44" s="52"/>
      <c r="Z44" s="37"/>
      <c r="AA44" s="18"/>
      <c r="AB44" s="18"/>
      <c r="AC44" s="18"/>
    </row>
    <row r="45" spans="23:29" customFormat="1" x14ac:dyDescent="0.25">
      <c r="W45" s="37"/>
      <c r="X45" s="52"/>
      <c r="Y45" s="52"/>
      <c r="Z45" s="37"/>
      <c r="AA45" s="18"/>
      <c r="AB45" s="18"/>
      <c r="AC45" s="18"/>
    </row>
    <row r="46" spans="23:29" customFormat="1" x14ac:dyDescent="0.25">
      <c r="W46" s="37"/>
      <c r="X46" s="52"/>
      <c r="Y46" s="52"/>
      <c r="Z46" s="37"/>
      <c r="AA46" s="18"/>
      <c r="AB46" s="18"/>
      <c r="AC46" s="18"/>
    </row>
    <row r="47" spans="23:29" customFormat="1" x14ac:dyDescent="0.25">
      <c r="W47" s="37"/>
      <c r="X47" s="52"/>
      <c r="Y47" s="52"/>
      <c r="Z47" s="37"/>
      <c r="AA47" s="18"/>
      <c r="AB47" s="18"/>
      <c r="AC47" s="18"/>
    </row>
    <row r="48" spans="23:29" customFormat="1" x14ac:dyDescent="0.25">
      <c r="W48" s="37"/>
      <c r="X48" s="52"/>
      <c r="Y48" s="52"/>
      <c r="Z48" s="37"/>
      <c r="AA48" s="18"/>
      <c r="AB48" s="18"/>
      <c r="AC48" s="18"/>
    </row>
    <row r="49" spans="23:29" customFormat="1" x14ac:dyDescent="0.25">
      <c r="W49" s="37"/>
      <c r="X49" s="52"/>
      <c r="Y49" s="52"/>
      <c r="Z49" s="37"/>
      <c r="AA49" s="18"/>
      <c r="AB49" s="18"/>
      <c r="AC49" s="18"/>
    </row>
    <row r="50" spans="23:29" customFormat="1" x14ac:dyDescent="0.25">
      <c r="W50" s="37"/>
      <c r="X50" s="52"/>
      <c r="Y50" s="52"/>
      <c r="Z50" s="37"/>
      <c r="AA50" s="18"/>
      <c r="AB50" s="18"/>
      <c r="AC50" s="18"/>
    </row>
    <row r="51" spans="23:29" customFormat="1" x14ac:dyDescent="0.25">
      <c r="W51" s="37"/>
      <c r="X51" s="52"/>
      <c r="Y51" s="52"/>
      <c r="Z51" s="37"/>
      <c r="AA51" s="18"/>
      <c r="AB51" s="18"/>
      <c r="AC51" s="18"/>
    </row>
    <row r="52" spans="23:29" customFormat="1" x14ac:dyDescent="0.25">
      <c r="W52" s="37"/>
      <c r="X52" s="52"/>
      <c r="Y52" s="52"/>
      <c r="Z52" s="37"/>
      <c r="AA52" s="18"/>
      <c r="AB52" s="18"/>
      <c r="AC52" s="18"/>
    </row>
    <row r="53" spans="23:29" customFormat="1" x14ac:dyDescent="0.25">
      <c r="W53" s="37"/>
      <c r="X53" s="52"/>
      <c r="Y53" s="52"/>
      <c r="Z53" s="37"/>
      <c r="AA53" s="18"/>
      <c r="AB53" s="18"/>
      <c r="AC53" s="18"/>
    </row>
    <row r="54" spans="23:29" customFormat="1" x14ac:dyDescent="0.25">
      <c r="W54" s="37"/>
      <c r="X54" s="52"/>
      <c r="Y54" s="52"/>
      <c r="Z54" s="37"/>
      <c r="AA54" s="18"/>
      <c r="AB54" s="18"/>
      <c r="AC54" s="18"/>
    </row>
    <row r="55" spans="23:29" customFormat="1" x14ac:dyDescent="0.25">
      <c r="W55" s="37"/>
      <c r="X55" s="52"/>
      <c r="Y55" s="52"/>
      <c r="Z55" s="37"/>
      <c r="AA55" s="18"/>
      <c r="AB55" s="18"/>
      <c r="AC55" s="18"/>
    </row>
    <row r="56" spans="23:29" customFormat="1" x14ac:dyDescent="0.25">
      <c r="W56" s="37"/>
      <c r="X56" s="52"/>
      <c r="Y56" s="52"/>
      <c r="Z56" s="37"/>
      <c r="AA56" s="18"/>
      <c r="AB56" s="18"/>
      <c r="AC56" s="18"/>
    </row>
    <row r="57" spans="23:29" customFormat="1" x14ac:dyDescent="0.25">
      <c r="W57" s="37"/>
      <c r="X57" s="52"/>
      <c r="Y57" s="52"/>
      <c r="Z57" s="37"/>
      <c r="AA57" s="18"/>
      <c r="AB57" s="18"/>
      <c r="AC57" s="18"/>
    </row>
    <row r="58" spans="23:29" customFormat="1" x14ac:dyDescent="0.25">
      <c r="W58" s="37"/>
      <c r="X58" s="52"/>
      <c r="Y58" s="52"/>
      <c r="Z58" s="37"/>
      <c r="AA58" s="18"/>
      <c r="AB58" s="18"/>
      <c r="AC58" s="18"/>
    </row>
    <row r="59" spans="23:29" customFormat="1" x14ac:dyDescent="0.25">
      <c r="W59" s="37"/>
      <c r="X59" s="52"/>
      <c r="Y59" s="52"/>
      <c r="Z59" s="37"/>
      <c r="AA59" s="18"/>
      <c r="AB59" s="18"/>
      <c r="AC59" s="18"/>
    </row>
    <row r="60" spans="23:29" customFormat="1" x14ac:dyDescent="0.25">
      <c r="W60" s="37"/>
      <c r="X60" s="52"/>
      <c r="Y60" s="52"/>
      <c r="Z60" s="37"/>
      <c r="AA60" s="18"/>
      <c r="AB60" s="18"/>
      <c r="AC60" s="18"/>
    </row>
    <row r="61" spans="23:29" customFormat="1" x14ac:dyDescent="0.25">
      <c r="W61" s="37"/>
      <c r="X61" s="52"/>
      <c r="Y61" s="52"/>
      <c r="Z61" s="37"/>
      <c r="AA61" s="18"/>
      <c r="AB61" s="18"/>
      <c r="AC61" s="18"/>
    </row>
    <row r="62" spans="23:29" customFormat="1" x14ac:dyDescent="0.25">
      <c r="W62" s="37"/>
      <c r="X62" s="52"/>
      <c r="Y62" s="52"/>
      <c r="Z62" s="37"/>
      <c r="AA62" s="18"/>
      <c r="AB62" s="18"/>
      <c r="AC62" s="18"/>
    </row>
    <row r="63" spans="23:29" customFormat="1" x14ac:dyDescent="0.25">
      <c r="W63" s="37"/>
      <c r="X63" s="52"/>
      <c r="Y63" s="52"/>
      <c r="Z63" s="37"/>
      <c r="AA63" s="18"/>
      <c r="AB63" s="18"/>
      <c r="AC63" s="18"/>
    </row>
    <row r="64" spans="23:29" customFormat="1" x14ac:dyDescent="0.25">
      <c r="W64" s="37"/>
      <c r="X64" s="52"/>
      <c r="Y64" s="52"/>
      <c r="Z64" s="37"/>
      <c r="AA64" s="18"/>
      <c r="AB64" s="18"/>
      <c r="AC64" s="18"/>
    </row>
    <row r="65" spans="23:29" customFormat="1" x14ac:dyDescent="0.25">
      <c r="W65" s="37"/>
      <c r="X65" s="52"/>
      <c r="Y65" s="52"/>
      <c r="Z65" s="37"/>
      <c r="AA65" s="18"/>
      <c r="AB65" s="18"/>
      <c r="AC65" s="18"/>
    </row>
    <row r="66" spans="23:29" customFormat="1" x14ac:dyDescent="0.25">
      <c r="W66" s="37"/>
      <c r="X66" s="52"/>
      <c r="Y66" s="52"/>
      <c r="Z66" s="37"/>
      <c r="AA66" s="18"/>
      <c r="AB66" s="18"/>
      <c r="AC66" s="18"/>
    </row>
    <row r="67" spans="23:29" customFormat="1" x14ac:dyDescent="0.25">
      <c r="W67" s="37"/>
      <c r="X67" s="52"/>
      <c r="Y67" s="52"/>
      <c r="Z67" s="37"/>
      <c r="AA67" s="18"/>
      <c r="AB67" s="18"/>
      <c r="AC67" s="18"/>
    </row>
    <row r="68" spans="23:29" customFormat="1" x14ac:dyDescent="0.25">
      <c r="W68" s="37"/>
      <c r="X68" s="52"/>
      <c r="Y68" s="52"/>
      <c r="Z68" s="37"/>
      <c r="AA68" s="18"/>
      <c r="AB68" s="18"/>
      <c r="AC68" s="18"/>
    </row>
    <row r="69" spans="23:29" customFormat="1" x14ac:dyDescent="0.25">
      <c r="W69" s="37"/>
      <c r="X69" s="52"/>
      <c r="Y69" s="52"/>
      <c r="Z69" s="37"/>
      <c r="AA69" s="18"/>
      <c r="AB69" s="18"/>
      <c r="AC69" s="18"/>
    </row>
    <row r="70" spans="23:29" customFormat="1" x14ac:dyDescent="0.25">
      <c r="W70" s="37"/>
      <c r="X70" s="52"/>
      <c r="Y70" s="52"/>
      <c r="Z70" s="37"/>
      <c r="AA70" s="18"/>
      <c r="AB70" s="18"/>
      <c r="AC70" s="18"/>
    </row>
    <row r="71" spans="23:29" customFormat="1" x14ac:dyDescent="0.25">
      <c r="W71" s="37"/>
      <c r="X71" s="52"/>
      <c r="Y71" s="52"/>
      <c r="Z71" s="37"/>
      <c r="AA71" s="18"/>
      <c r="AB71" s="18"/>
      <c r="AC71" s="18"/>
    </row>
    <row r="72" spans="23:29" customFormat="1" x14ac:dyDescent="0.25">
      <c r="W72" s="37"/>
      <c r="X72" s="52"/>
      <c r="Y72" s="52"/>
      <c r="Z72" s="37"/>
      <c r="AA72" s="18"/>
      <c r="AB72" s="18"/>
      <c r="AC72" s="18"/>
    </row>
    <row r="73" spans="23:29" customFormat="1" x14ac:dyDescent="0.25">
      <c r="W73" s="37"/>
      <c r="X73" s="52"/>
      <c r="Y73" s="52"/>
      <c r="Z73" s="37"/>
      <c r="AA73" s="18"/>
      <c r="AB73" s="18"/>
      <c r="AC73" s="18"/>
    </row>
    <row r="74" spans="23:29" customFormat="1" x14ac:dyDescent="0.25">
      <c r="W74" s="37"/>
      <c r="X74" s="52"/>
      <c r="Y74" s="52"/>
      <c r="Z74" s="37"/>
      <c r="AA74" s="18"/>
      <c r="AB74" s="18"/>
      <c r="AC74" s="18"/>
    </row>
    <row r="75" spans="23:29" customFormat="1" x14ac:dyDescent="0.25">
      <c r="W75" s="37"/>
      <c r="X75" s="52"/>
      <c r="Y75" s="52"/>
      <c r="Z75" s="37"/>
      <c r="AA75" s="18"/>
      <c r="AB75" s="18"/>
      <c r="AC75" s="18"/>
    </row>
    <row r="76" spans="23:29" customFormat="1" x14ac:dyDescent="0.25">
      <c r="W76" s="37"/>
      <c r="X76" s="52"/>
      <c r="Y76" s="52"/>
      <c r="Z76" s="37"/>
      <c r="AA76" s="18"/>
      <c r="AB76" s="18"/>
      <c r="AC76" s="18"/>
    </row>
    <row r="77" spans="23:29" customFormat="1" x14ac:dyDescent="0.25">
      <c r="W77" s="37"/>
      <c r="X77" s="52"/>
      <c r="Y77" s="52"/>
      <c r="Z77" s="37"/>
      <c r="AA77" s="18"/>
      <c r="AB77" s="18"/>
      <c r="AC77" s="18"/>
    </row>
    <row r="78" spans="23:29" customFormat="1" x14ac:dyDescent="0.25">
      <c r="W78" s="37"/>
      <c r="X78" s="52"/>
      <c r="Y78" s="52"/>
      <c r="Z78" s="37"/>
      <c r="AA78" s="18"/>
      <c r="AB78" s="18"/>
      <c r="AC78" s="18"/>
    </row>
    <row r="79" spans="23:29" customFormat="1" x14ac:dyDescent="0.25">
      <c r="W79" s="37"/>
      <c r="X79" s="52"/>
      <c r="Y79" s="52"/>
      <c r="Z79" s="37"/>
      <c r="AA79" s="18"/>
      <c r="AB79" s="18"/>
      <c r="AC79" s="18"/>
    </row>
    <row r="80" spans="23:29" customFormat="1" x14ac:dyDescent="0.25">
      <c r="W80" s="37"/>
      <c r="X80" s="52"/>
      <c r="Y80" s="52"/>
      <c r="Z80" s="37"/>
      <c r="AA80" s="18"/>
      <c r="AB80" s="18"/>
      <c r="AC80" s="18"/>
    </row>
    <row r="81" spans="23:29" customFormat="1" x14ac:dyDescent="0.25">
      <c r="W81" s="37"/>
      <c r="X81" s="52"/>
      <c r="Y81" s="52"/>
      <c r="Z81" s="37"/>
      <c r="AA81" s="18"/>
      <c r="AB81" s="18"/>
      <c r="AC81" s="18"/>
    </row>
    <row r="82" spans="23:29" customFormat="1" x14ac:dyDescent="0.25">
      <c r="W82" s="37"/>
      <c r="X82" s="52"/>
      <c r="Y82" s="52"/>
      <c r="Z82" s="37"/>
      <c r="AA82" s="18"/>
      <c r="AB82" s="18"/>
      <c r="AC82" s="18"/>
    </row>
    <row r="83" spans="23:29" customFormat="1" x14ac:dyDescent="0.25">
      <c r="W83" s="37"/>
      <c r="X83" s="52"/>
      <c r="Y83" s="52"/>
      <c r="Z83" s="37"/>
      <c r="AA83" s="18"/>
      <c r="AB83" s="18"/>
      <c r="AC83" s="18"/>
    </row>
    <row r="84" spans="23:29" customFormat="1" x14ac:dyDescent="0.25">
      <c r="W84" s="37"/>
      <c r="X84" s="52"/>
      <c r="Y84" s="52"/>
      <c r="Z84" s="37"/>
      <c r="AA84" s="18"/>
      <c r="AB84" s="18"/>
      <c r="AC84" s="18"/>
    </row>
    <row r="85" spans="23:29" customFormat="1" x14ac:dyDescent="0.25">
      <c r="W85" s="37"/>
      <c r="X85" s="52"/>
      <c r="Y85" s="52"/>
      <c r="Z85" s="37"/>
      <c r="AA85" s="18"/>
      <c r="AB85" s="18"/>
      <c r="AC85" s="18"/>
    </row>
    <row r="86" spans="23:29" customFormat="1" x14ac:dyDescent="0.25">
      <c r="W86" s="37"/>
      <c r="X86" s="52"/>
      <c r="Y86" s="52"/>
      <c r="Z86" s="37"/>
      <c r="AA86" s="18"/>
      <c r="AB86" s="18"/>
      <c r="AC86" s="18"/>
    </row>
    <row r="87" spans="23:29" customFormat="1" x14ac:dyDescent="0.25">
      <c r="W87" s="37"/>
      <c r="X87" s="52"/>
      <c r="Y87" s="52"/>
      <c r="Z87" s="37"/>
      <c r="AA87" s="18"/>
      <c r="AB87" s="18"/>
      <c r="AC87" s="18"/>
    </row>
    <row r="88" spans="23:29" customFormat="1" x14ac:dyDescent="0.25">
      <c r="W88" s="37"/>
      <c r="X88" s="52"/>
      <c r="Y88" s="52"/>
      <c r="Z88" s="37"/>
      <c r="AA88" s="18"/>
      <c r="AB88" s="18"/>
      <c r="AC88" s="18"/>
    </row>
    <row r="89" spans="23:29" customFormat="1" x14ac:dyDescent="0.25">
      <c r="W89" s="37"/>
      <c r="X89" s="52"/>
      <c r="Y89" s="52"/>
      <c r="Z89" s="37"/>
      <c r="AA89" s="18"/>
      <c r="AB89" s="18"/>
      <c r="AC89" s="18"/>
    </row>
    <row r="90" spans="23:29" customFormat="1" x14ac:dyDescent="0.25">
      <c r="W90" s="37"/>
      <c r="X90" s="52"/>
      <c r="Y90" s="52"/>
      <c r="Z90" s="37"/>
      <c r="AA90" s="18"/>
      <c r="AB90" s="18"/>
      <c r="AC90" s="18"/>
    </row>
    <row r="91" spans="23:29" customFormat="1" x14ac:dyDescent="0.25">
      <c r="W91" s="37"/>
      <c r="X91" s="52"/>
      <c r="Y91" s="52"/>
      <c r="Z91" s="37"/>
      <c r="AA91" s="18"/>
      <c r="AB91" s="18"/>
      <c r="AC91" s="18"/>
    </row>
    <row r="92" spans="23:29" customFormat="1" x14ac:dyDescent="0.25">
      <c r="W92" s="37"/>
      <c r="X92" s="52"/>
      <c r="Y92" s="52"/>
      <c r="Z92" s="37"/>
      <c r="AA92" s="18"/>
      <c r="AB92" s="18"/>
      <c r="AC92" s="18"/>
    </row>
    <row r="93" spans="23:29" customFormat="1" x14ac:dyDescent="0.25">
      <c r="W93" s="37"/>
      <c r="X93" s="52"/>
      <c r="Y93" s="52"/>
      <c r="Z93" s="37"/>
      <c r="AA93" s="18"/>
      <c r="AB93" s="18"/>
      <c r="AC93" s="18"/>
    </row>
    <row r="94" spans="23:29" customFormat="1" x14ac:dyDescent="0.25">
      <c r="W94" s="37"/>
      <c r="X94" s="52"/>
      <c r="Y94" s="52"/>
      <c r="Z94" s="37"/>
      <c r="AA94" s="18"/>
      <c r="AB94" s="18"/>
      <c r="AC94" s="18"/>
    </row>
    <row r="95" spans="23:29" customFormat="1" x14ac:dyDescent="0.25">
      <c r="W95" s="37"/>
      <c r="X95" s="52"/>
      <c r="Y95" s="52"/>
      <c r="Z95" s="37"/>
      <c r="AA95" s="18"/>
      <c r="AB95" s="18"/>
      <c r="AC95" s="18"/>
    </row>
    <row r="96" spans="23:29" customFormat="1" x14ac:dyDescent="0.25">
      <c r="W96" s="37"/>
      <c r="X96" s="52"/>
      <c r="Y96" s="52"/>
      <c r="Z96" s="37"/>
      <c r="AA96" s="18"/>
      <c r="AB96" s="18"/>
      <c r="AC96" s="18"/>
    </row>
    <row r="97" spans="23:29" customFormat="1" x14ac:dyDescent="0.25">
      <c r="W97" s="37"/>
      <c r="X97" s="52"/>
      <c r="Y97" s="52"/>
      <c r="Z97" s="37"/>
      <c r="AA97" s="18"/>
      <c r="AB97" s="18"/>
      <c r="AC97" s="18"/>
    </row>
    <row r="98" spans="23:29" customFormat="1" x14ac:dyDescent="0.25">
      <c r="W98" s="37"/>
      <c r="X98" s="52"/>
      <c r="Y98" s="52"/>
      <c r="Z98" s="37"/>
      <c r="AA98" s="18"/>
      <c r="AB98" s="18"/>
      <c r="AC98" s="18"/>
    </row>
    <row r="99" spans="23:29" customFormat="1" x14ac:dyDescent="0.25">
      <c r="W99" s="37"/>
      <c r="X99" s="52"/>
      <c r="Y99" s="52"/>
      <c r="Z99" s="37"/>
      <c r="AA99" s="18"/>
      <c r="AB99" s="18"/>
      <c r="AC99" s="18"/>
    </row>
    <row r="100" spans="23:29" customFormat="1" x14ac:dyDescent="0.25">
      <c r="W100" s="37"/>
      <c r="X100" s="52"/>
      <c r="Y100" s="52"/>
      <c r="Z100" s="37"/>
      <c r="AA100" s="18"/>
      <c r="AB100" s="18"/>
      <c r="AC100" s="18"/>
    </row>
    <row r="101" spans="23:29" customFormat="1" x14ac:dyDescent="0.25">
      <c r="W101" s="37"/>
      <c r="X101" s="52"/>
      <c r="Y101" s="52"/>
      <c r="Z101" s="37"/>
      <c r="AA101" s="18"/>
      <c r="AB101" s="18"/>
      <c r="AC101" s="18"/>
    </row>
    <row r="102" spans="23:29" customFormat="1" x14ac:dyDescent="0.25">
      <c r="W102" s="37"/>
      <c r="X102" s="52"/>
      <c r="Y102" s="52"/>
      <c r="Z102" s="37"/>
      <c r="AA102" s="18"/>
      <c r="AB102" s="18"/>
      <c r="AC102" s="18"/>
    </row>
    <row r="103" spans="23:29" customFormat="1" x14ac:dyDescent="0.25">
      <c r="W103" s="37"/>
      <c r="X103" s="52"/>
      <c r="Y103" s="52"/>
      <c r="Z103" s="37"/>
      <c r="AA103" s="18"/>
      <c r="AB103" s="18"/>
      <c r="AC103" s="18"/>
    </row>
    <row r="104" spans="23:29" customFormat="1" x14ac:dyDescent="0.25">
      <c r="W104" s="37"/>
      <c r="X104" s="52"/>
      <c r="Y104" s="52"/>
      <c r="Z104" s="37"/>
      <c r="AA104" s="18"/>
      <c r="AB104" s="18"/>
      <c r="AC104" s="18"/>
    </row>
    <row r="105" spans="23:29" customFormat="1" x14ac:dyDescent="0.25">
      <c r="W105" s="37"/>
      <c r="X105" s="52"/>
      <c r="Y105" s="52"/>
      <c r="Z105" s="37"/>
      <c r="AA105" s="18"/>
      <c r="AB105" s="18"/>
      <c r="AC105" s="18"/>
    </row>
    <row r="106" spans="23:29" customFormat="1" x14ac:dyDescent="0.25">
      <c r="W106" s="37"/>
      <c r="X106" s="52"/>
      <c r="Y106" s="52"/>
      <c r="Z106" s="37"/>
      <c r="AA106" s="18"/>
      <c r="AB106" s="18"/>
      <c r="AC106" s="18"/>
    </row>
    <row r="107" spans="23:29" customFormat="1" x14ac:dyDescent="0.25">
      <c r="W107" s="37"/>
      <c r="X107" s="52"/>
      <c r="Y107" s="52"/>
      <c r="Z107" s="37"/>
      <c r="AA107" s="18"/>
      <c r="AB107" s="18"/>
      <c r="AC107" s="18"/>
    </row>
    <row r="108" spans="23:29" customFormat="1" x14ac:dyDescent="0.25">
      <c r="W108" s="37"/>
      <c r="X108" s="52"/>
      <c r="Y108" s="52"/>
      <c r="Z108" s="37"/>
      <c r="AA108" s="18"/>
      <c r="AB108" s="18"/>
      <c r="AC108" s="18"/>
    </row>
    <row r="109" spans="23:29" customFormat="1" x14ac:dyDescent="0.25">
      <c r="W109" s="37"/>
      <c r="X109" s="52"/>
      <c r="Y109" s="52"/>
      <c r="Z109" s="37"/>
      <c r="AA109" s="18"/>
      <c r="AB109" s="18"/>
      <c r="AC109" s="18"/>
    </row>
    <row r="110" spans="23:29" customFormat="1" x14ac:dyDescent="0.25">
      <c r="W110" s="37"/>
      <c r="X110" s="52"/>
      <c r="Y110" s="52"/>
      <c r="Z110" s="37"/>
      <c r="AA110" s="18"/>
      <c r="AB110" s="18"/>
      <c r="AC110" s="18"/>
    </row>
    <row r="111" spans="23:29" customFormat="1" x14ac:dyDescent="0.25">
      <c r="W111" s="37"/>
      <c r="X111" s="52"/>
      <c r="Y111" s="52"/>
      <c r="Z111" s="37"/>
      <c r="AA111" s="18"/>
      <c r="AB111" s="18"/>
      <c r="AC111" s="18"/>
    </row>
    <row r="112" spans="23:29" customFormat="1" x14ac:dyDescent="0.25">
      <c r="W112" s="37"/>
      <c r="X112" s="52"/>
      <c r="Y112" s="52"/>
      <c r="Z112" s="37"/>
      <c r="AA112" s="18"/>
      <c r="AB112" s="18"/>
      <c r="AC112" s="18"/>
    </row>
    <row r="113" spans="23:29" customFormat="1" x14ac:dyDescent="0.25">
      <c r="W113" s="37"/>
      <c r="X113" s="52"/>
      <c r="Y113" s="52"/>
      <c r="Z113" s="37"/>
      <c r="AA113" s="18"/>
      <c r="AB113" s="18"/>
      <c r="AC113" s="18"/>
    </row>
    <row r="114" spans="23:29" customFormat="1" x14ac:dyDescent="0.25">
      <c r="W114" s="37"/>
      <c r="X114" s="52"/>
      <c r="Y114" s="52"/>
      <c r="Z114" s="37"/>
      <c r="AA114" s="18"/>
      <c r="AB114" s="18"/>
      <c r="AC114" s="18"/>
    </row>
    <row r="115" spans="23:29" customFormat="1" x14ac:dyDescent="0.25">
      <c r="W115" s="37"/>
      <c r="X115" s="52"/>
      <c r="Y115" s="52"/>
      <c r="Z115" s="37"/>
      <c r="AA115" s="18"/>
      <c r="AB115" s="18"/>
      <c r="AC115" s="18"/>
    </row>
    <row r="116" spans="23:29" customFormat="1" x14ac:dyDescent="0.25">
      <c r="W116" s="37"/>
      <c r="X116" s="52"/>
      <c r="Y116" s="52"/>
      <c r="Z116" s="37"/>
      <c r="AA116" s="18"/>
      <c r="AB116" s="18"/>
      <c r="AC116" s="18"/>
    </row>
    <row r="117" spans="23:29" customFormat="1" x14ac:dyDescent="0.25">
      <c r="W117" s="37"/>
      <c r="X117" s="52"/>
      <c r="Y117" s="52"/>
      <c r="Z117" s="37"/>
      <c r="AA117" s="18"/>
      <c r="AB117" s="18"/>
      <c r="AC117" s="18"/>
    </row>
    <row r="118" spans="23:29" customFormat="1" x14ac:dyDescent="0.25">
      <c r="W118" s="37"/>
      <c r="X118" s="52"/>
      <c r="Y118" s="52"/>
      <c r="Z118" s="37"/>
      <c r="AA118" s="18"/>
      <c r="AB118" s="18"/>
      <c r="AC118" s="18"/>
    </row>
    <row r="119" spans="23:29" customFormat="1" x14ac:dyDescent="0.25">
      <c r="W119" s="37"/>
      <c r="X119" s="52"/>
      <c r="Y119" s="52"/>
      <c r="Z119" s="37"/>
      <c r="AA119" s="18"/>
      <c r="AB119" s="18"/>
      <c r="AC119" s="18"/>
    </row>
    <row r="120" spans="23:29" customFormat="1" x14ac:dyDescent="0.25">
      <c r="W120" s="37"/>
      <c r="X120" s="52"/>
      <c r="Y120" s="52"/>
      <c r="Z120" s="37"/>
      <c r="AA120" s="18"/>
      <c r="AB120" s="18"/>
      <c r="AC120" s="18"/>
    </row>
    <row r="121" spans="23:29" customFormat="1" x14ac:dyDescent="0.25">
      <c r="W121" s="37"/>
      <c r="X121" s="52"/>
      <c r="Y121" s="52"/>
      <c r="Z121" s="37"/>
      <c r="AA121" s="18"/>
      <c r="AB121" s="18"/>
      <c r="AC121" s="18"/>
    </row>
    <row r="122" spans="23:29" customFormat="1" x14ac:dyDescent="0.25">
      <c r="W122" s="37"/>
      <c r="X122" s="52"/>
      <c r="Y122" s="52"/>
      <c r="Z122" s="37"/>
      <c r="AA122" s="18"/>
      <c r="AB122" s="18"/>
      <c r="AC122" s="18"/>
    </row>
    <row r="123" spans="23:29" customFormat="1" x14ac:dyDescent="0.25">
      <c r="W123" s="37"/>
      <c r="X123" s="52"/>
      <c r="Y123" s="52"/>
      <c r="Z123" s="37"/>
      <c r="AA123" s="18"/>
      <c r="AB123" s="18"/>
      <c r="AC123" s="18"/>
    </row>
    <row r="124" spans="23:29" customFormat="1" x14ac:dyDescent="0.25">
      <c r="W124" s="37"/>
      <c r="X124" s="52"/>
      <c r="Y124" s="52"/>
      <c r="Z124" s="37"/>
      <c r="AA124" s="18"/>
      <c r="AB124" s="18"/>
      <c r="AC124" s="18"/>
    </row>
    <row r="125" spans="23:29" customFormat="1" x14ac:dyDescent="0.25">
      <c r="W125" s="37"/>
      <c r="X125" s="52"/>
      <c r="Y125" s="52"/>
      <c r="Z125" s="37"/>
      <c r="AA125" s="18"/>
      <c r="AB125" s="18"/>
      <c r="AC125" s="18"/>
    </row>
    <row r="126" spans="23:29" customFormat="1" x14ac:dyDescent="0.25">
      <c r="W126" s="37"/>
      <c r="X126" s="52"/>
      <c r="Y126" s="52"/>
      <c r="Z126" s="37"/>
      <c r="AA126" s="18"/>
      <c r="AB126" s="18"/>
      <c r="AC126" s="18"/>
    </row>
    <row r="127" spans="23:29" customFormat="1" x14ac:dyDescent="0.25">
      <c r="W127" s="37"/>
      <c r="X127" s="52"/>
      <c r="Y127" s="52"/>
      <c r="Z127" s="37"/>
      <c r="AA127" s="18"/>
      <c r="AB127" s="18"/>
      <c r="AC127" s="18"/>
    </row>
    <row r="128" spans="23:29" customFormat="1" x14ac:dyDescent="0.25">
      <c r="W128" s="37"/>
      <c r="X128" s="52"/>
      <c r="Y128" s="52"/>
      <c r="Z128" s="37"/>
      <c r="AA128" s="18"/>
      <c r="AB128" s="18"/>
      <c r="AC128" s="18"/>
    </row>
    <row r="129" spans="23:29" customFormat="1" x14ac:dyDescent="0.25">
      <c r="W129" s="37"/>
      <c r="X129" s="52"/>
      <c r="Y129" s="52"/>
      <c r="Z129" s="37"/>
      <c r="AA129" s="18"/>
      <c r="AB129" s="18"/>
      <c r="AC129" s="18"/>
    </row>
    <row r="130" spans="23:29" customFormat="1" x14ac:dyDescent="0.25">
      <c r="W130" s="37"/>
      <c r="X130" s="52"/>
      <c r="Y130" s="52"/>
      <c r="Z130" s="37"/>
      <c r="AA130" s="18"/>
      <c r="AB130" s="18"/>
      <c r="AC130" s="18"/>
    </row>
    <row r="131" spans="23:29" customFormat="1" x14ac:dyDescent="0.25">
      <c r="W131" s="37"/>
      <c r="X131" s="52"/>
      <c r="Y131" s="52"/>
      <c r="Z131" s="37"/>
      <c r="AA131" s="18"/>
      <c r="AB131" s="18"/>
      <c r="AC131" s="18"/>
    </row>
    <row r="132" spans="23:29" customFormat="1" x14ac:dyDescent="0.25">
      <c r="W132" s="37"/>
      <c r="X132" s="52"/>
      <c r="Y132" s="52"/>
      <c r="Z132" s="37"/>
      <c r="AA132" s="18"/>
      <c r="AB132" s="18"/>
      <c r="AC132" s="18"/>
    </row>
    <row r="133" spans="23:29" customFormat="1" x14ac:dyDescent="0.25">
      <c r="W133" s="37"/>
      <c r="X133" s="52"/>
      <c r="Y133" s="52"/>
      <c r="Z133" s="37"/>
      <c r="AA133" s="18"/>
      <c r="AB133" s="18"/>
      <c r="AC133" s="18"/>
    </row>
    <row r="134" spans="23:29" customFormat="1" x14ac:dyDescent="0.25">
      <c r="W134" s="37"/>
      <c r="X134" s="52"/>
      <c r="Y134" s="52"/>
      <c r="Z134" s="37"/>
      <c r="AA134" s="18"/>
      <c r="AB134" s="18"/>
      <c r="AC134" s="18"/>
    </row>
    <row r="135" spans="23:29" customFormat="1" x14ac:dyDescent="0.25">
      <c r="W135" s="37"/>
      <c r="X135" s="52"/>
      <c r="Y135" s="52"/>
      <c r="Z135" s="37"/>
      <c r="AA135" s="18"/>
      <c r="AB135" s="18"/>
      <c r="AC135" s="18"/>
    </row>
    <row r="136" spans="23:29" customFormat="1" x14ac:dyDescent="0.25">
      <c r="W136" s="37"/>
      <c r="X136" s="52"/>
      <c r="Y136" s="52"/>
      <c r="Z136" s="37"/>
      <c r="AA136" s="18"/>
      <c r="AB136" s="18"/>
      <c r="AC136" s="18"/>
    </row>
    <row r="137" spans="23:29" customFormat="1" x14ac:dyDescent="0.25">
      <c r="W137" s="37"/>
      <c r="X137" s="52"/>
      <c r="Y137" s="52"/>
      <c r="Z137" s="37"/>
      <c r="AA137" s="18"/>
      <c r="AB137" s="18"/>
      <c r="AC137" s="18"/>
    </row>
    <row r="138" spans="23:29" customFormat="1" x14ac:dyDescent="0.25">
      <c r="W138" s="37"/>
      <c r="X138" s="52"/>
      <c r="Y138" s="52"/>
      <c r="Z138" s="37"/>
      <c r="AA138" s="18"/>
      <c r="AB138" s="18"/>
      <c r="AC138" s="18"/>
    </row>
    <row r="139" spans="23:29" customFormat="1" x14ac:dyDescent="0.25">
      <c r="W139" s="37"/>
      <c r="X139" s="52"/>
      <c r="Y139" s="52"/>
      <c r="Z139" s="37"/>
      <c r="AA139" s="18"/>
      <c r="AB139" s="18"/>
      <c r="AC139" s="18"/>
    </row>
    <row r="140" spans="23:29" customFormat="1" x14ac:dyDescent="0.25">
      <c r="W140" s="37"/>
      <c r="X140" s="52"/>
      <c r="Y140" s="52"/>
      <c r="Z140" s="37"/>
      <c r="AA140" s="18"/>
      <c r="AB140" s="18"/>
      <c r="AC140" s="18"/>
    </row>
    <row r="141" spans="23:29" customFormat="1" x14ac:dyDescent="0.25">
      <c r="W141" s="37"/>
      <c r="X141" s="52"/>
      <c r="Y141" s="52"/>
      <c r="Z141" s="37"/>
      <c r="AA141" s="18"/>
      <c r="AB141" s="18"/>
      <c r="AC141" s="18"/>
    </row>
    <row r="142" spans="23:29" customFormat="1" x14ac:dyDescent="0.25">
      <c r="W142" s="37"/>
      <c r="X142" s="52"/>
      <c r="Y142" s="52"/>
      <c r="Z142" s="37"/>
      <c r="AA142" s="18"/>
      <c r="AB142" s="18"/>
      <c r="AC142" s="18"/>
    </row>
    <row r="143" spans="23:29" customFormat="1" x14ac:dyDescent="0.25">
      <c r="W143" s="37"/>
      <c r="X143" s="52"/>
      <c r="Y143" s="52"/>
      <c r="Z143" s="37"/>
      <c r="AA143" s="18"/>
      <c r="AB143" s="18"/>
      <c r="AC143" s="18"/>
    </row>
    <row r="144" spans="23:29" customFormat="1" x14ac:dyDescent="0.25">
      <c r="W144" s="37"/>
      <c r="X144" s="52"/>
      <c r="Y144" s="52"/>
      <c r="Z144" s="37"/>
      <c r="AA144" s="18"/>
      <c r="AB144" s="18"/>
      <c r="AC144" s="18"/>
    </row>
    <row r="145" spans="23:29" customFormat="1" x14ac:dyDescent="0.25">
      <c r="W145" s="37"/>
      <c r="X145" s="52"/>
      <c r="Y145" s="52"/>
      <c r="Z145" s="37"/>
      <c r="AA145" s="18"/>
      <c r="AB145" s="18"/>
      <c r="AC145" s="18"/>
    </row>
    <row r="146" spans="23:29" customFormat="1" x14ac:dyDescent="0.25">
      <c r="W146" s="37"/>
      <c r="X146" s="52"/>
      <c r="Y146" s="52"/>
      <c r="Z146" s="37"/>
      <c r="AA146" s="18"/>
      <c r="AB146" s="18"/>
      <c r="AC146" s="18"/>
    </row>
    <row r="147" spans="23:29" customFormat="1" x14ac:dyDescent="0.25">
      <c r="W147" s="37"/>
      <c r="X147" s="52"/>
      <c r="Y147" s="52"/>
      <c r="Z147" s="37"/>
      <c r="AA147" s="18"/>
      <c r="AB147" s="18"/>
      <c r="AC147" s="18"/>
    </row>
    <row r="148" spans="23:29" customFormat="1" x14ac:dyDescent="0.25">
      <c r="W148" s="37"/>
      <c r="X148" s="52"/>
      <c r="Y148" s="52"/>
      <c r="Z148" s="37"/>
      <c r="AA148" s="18"/>
      <c r="AB148" s="18"/>
      <c r="AC148" s="18"/>
    </row>
    <row r="149" spans="23:29" customFormat="1" x14ac:dyDescent="0.25">
      <c r="W149" s="37"/>
      <c r="X149" s="52"/>
      <c r="Y149" s="52"/>
      <c r="Z149" s="37"/>
      <c r="AA149" s="18"/>
      <c r="AB149" s="18"/>
      <c r="AC149" s="18"/>
    </row>
    <row r="150" spans="23:29" customFormat="1" x14ac:dyDescent="0.25">
      <c r="W150" s="37"/>
      <c r="X150" s="52"/>
      <c r="Y150" s="52"/>
      <c r="Z150" s="37"/>
      <c r="AA150" s="18"/>
      <c r="AB150" s="18"/>
      <c r="AC150" s="18"/>
    </row>
    <row r="151" spans="23:29" customFormat="1" x14ac:dyDescent="0.25">
      <c r="W151" s="37"/>
      <c r="X151" s="52"/>
      <c r="Y151" s="52"/>
      <c r="Z151" s="37"/>
      <c r="AA151" s="18"/>
      <c r="AB151" s="18"/>
      <c r="AC151" s="18"/>
    </row>
    <row r="152" spans="23:29" customFormat="1" x14ac:dyDescent="0.25">
      <c r="W152" s="37"/>
      <c r="X152" s="52"/>
      <c r="Y152" s="52"/>
      <c r="Z152" s="37"/>
      <c r="AA152" s="18"/>
      <c r="AB152" s="18"/>
      <c r="AC152" s="18"/>
    </row>
    <row r="153" spans="23:29" customFormat="1" x14ac:dyDescent="0.25">
      <c r="W153" s="37"/>
      <c r="X153" s="52"/>
      <c r="Y153" s="52"/>
      <c r="Z153" s="37"/>
      <c r="AA153" s="18"/>
      <c r="AB153" s="18"/>
      <c r="AC153" s="18"/>
    </row>
    <row r="154" spans="23:29" customFormat="1" x14ac:dyDescent="0.25">
      <c r="W154" s="37"/>
      <c r="X154" s="52"/>
      <c r="Y154" s="52"/>
      <c r="Z154" s="37"/>
      <c r="AA154" s="18"/>
      <c r="AB154" s="18"/>
      <c r="AC154" s="18"/>
    </row>
    <row r="155" spans="23:29" customFormat="1" x14ac:dyDescent="0.25">
      <c r="W155" s="37"/>
      <c r="X155" s="52"/>
      <c r="Y155" s="52"/>
      <c r="Z155" s="37"/>
      <c r="AA155" s="18"/>
      <c r="AB155" s="18"/>
      <c r="AC155" s="18"/>
    </row>
    <row r="156" spans="23:29" customFormat="1" x14ac:dyDescent="0.25">
      <c r="W156" s="37"/>
      <c r="X156" s="52"/>
      <c r="Y156" s="52"/>
      <c r="Z156" s="37"/>
      <c r="AA156" s="18"/>
      <c r="AB156" s="18"/>
      <c r="AC156" s="18"/>
    </row>
    <row r="157" spans="23:29" customFormat="1" x14ac:dyDescent="0.25">
      <c r="W157" s="37"/>
      <c r="X157" s="52"/>
      <c r="Y157" s="52"/>
      <c r="Z157" s="37"/>
      <c r="AA157" s="18"/>
      <c r="AB157" s="18"/>
      <c r="AC157" s="18"/>
    </row>
    <row r="158" spans="23:29" customFormat="1" x14ac:dyDescent="0.25">
      <c r="W158" s="37"/>
      <c r="X158" s="52"/>
      <c r="Y158" s="52"/>
      <c r="Z158" s="37"/>
      <c r="AA158" s="18"/>
      <c r="AB158" s="18"/>
      <c r="AC158" s="18"/>
    </row>
    <row r="159" spans="23:29" customFormat="1" x14ac:dyDescent="0.25">
      <c r="W159" s="37"/>
      <c r="X159" s="52"/>
      <c r="Y159" s="52"/>
      <c r="Z159" s="37"/>
      <c r="AA159" s="18"/>
      <c r="AB159" s="18"/>
      <c r="AC159" s="18"/>
    </row>
    <row r="160" spans="23:29" customFormat="1" x14ac:dyDescent="0.25">
      <c r="W160" s="37"/>
      <c r="X160" s="52"/>
      <c r="Y160" s="52"/>
      <c r="Z160" s="37"/>
      <c r="AA160" s="18"/>
      <c r="AB160" s="18"/>
      <c r="AC160" s="18"/>
    </row>
    <row r="161" spans="23:29" customFormat="1" x14ac:dyDescent="0.25">
      <c r="W161" s="37"/>
      <c r="X161" s="52"/>
      <c r="Y161" s="52"/>
      <c r="Z161" s="37"/>
      <c r="AA161" s="18"/>
      <c r="AB161" s="18"/>
      <c r="AC161" s="18"/>
    </row>
    <row r="162" spans="23:29" customFormat="1" x14ac:dyDescent="0.25">
      <c r="W162" s="37"/>
      <c r="X162" s="52"/>
      <c r="Y162" s="52"/>
      <c r="Z162" s="37"/>
      <c r="AA162" s="18"/>
      <c r="AB162" s="18"/>
      <c r="AC162" s="18"/>
    </row>
    <row r="163" spans="23:29" customFormat="1" x14ac:dyDescent="0.25">
      <c r="W163" s="37"/>
      <c r="X163" s="52"/>
      <c r="Y163" s="52"/>
      <c r="Z163" s="37"/>
      <c r="AA163" s="18"/>
      <c r="AB163" s="18"/>
      <c r="AC163" s="18"/>
    </row>
    <row r="164" spans="23:29" customFormat="1" x14ac:dyDescent="0.25">
      <c r="W164" s="37"/>
      <c r="X164" s="52"/>
      <c r="Y164" s="52"/>
      <c r="Z164" s="37"/>
      <c r="AA164" s="18"/>
      <c r="AB164" s="18"/>
      <c r="AC164" s="18"/>
    </row>
    <row r="165" spans="23:29" customFormat="1" x14ac:dyDescent="0.25">
      <c r="W165" s="37"/>
      <c r="X165" s="52"/>
      <c r="Y165" s="52"/>
      <c r="Z165" s="37"/>
      <c r="AA165" s="18"/>
      <c r="AB165" s="18"/>
      <c r="AC165" s="18"/>
    </row>
    <row r="166" spans="23:29" customFormat="1" x14ac:dyDescent="0.25">
      <c r="W166" s="37"/>
      <c r="X166" s="52"/>
      <c r="Y166" s="52"/>
      <c r="Z166" s="37"/>
      <c r="AA166" s="18"/>
      <c r="AB166" s="18"/>
      <c r="AC166" s="18"/>
    </row>
    <row r="167" spans="23:29" customFormat="1" x14ac:dyDescent="0.25">
      <c r="W167" s="37"/>
      <c r="X167" s="52"/>
      <c r="Y167" s="52"/>
      <c r="Z167" s="37"/>
      <c r="AA167" s="18"/>
      <c r="AB167" s="18"/>
      <c r="AC167" s="18"/>
    </row>
    <row r="168" spans="23:29" customFormat="1" x14ac:dyDescent="0.25">
      <c r="W168" s="37"/>
      <c r="X168" s="52"/>
      <c r="Y168" s="52"/>
      <c r="Z168" s="37"/>
      <c r="AA168" s="18"/>
      <c r="AB168" s="18"/>
      <c r="AC168" s="18"/>
    </row>
    <row r="169" spans="23:29" customFormat="1" x14ac:dyDescent="0.25">
      <c r="W169" s="37"/>
      <c r="X169" s="52"/>
      <c r="Y169" s="52"/>
      <c r="Z169" s="37"/>
      <c r="AA169" s="18"/>
      <c r="AB169" s="18"/>
      <c r="AC169" s="18"/>
    </row>
    <row r="170" spans="23:29" customFormat="1" x14ac:dyDescent="0.25">
      <c r="W170" s="37"/>
      <c r="X170" s="52"/>
      <c r="Y170" s="52"/>
      <c r="Z170" s="37"/>
      <c r="AA170" s="18"/>
      <c r="AB170" s="18"/>
      <c r="AC170" s="18"/>
    </row>
    <row r="171" spans="23:29" customFormat="1" x14ac:dyDescent="0.25">
      <c r="W171" s="37"/>
      <c r="X171" s="52"/>
      <c r="Y171" s="52"/>
      <c r="Z171" s="37"/>
      <c r="AA171" s="18"/>
      <c r="AB171" s="18"/>
      <c r="AC171" s="18"/>
    </row>
    <row r="172" spans="23:29" customFormat="1" x14ac:dyDescent="0.25">
      <c r="W172" s="37"/>
      <c r="X172" s="52"/>
      <c r="Y172" s="52"/>
      <c r="Z172" s="37"/>
      <c r="AA172" s="18"/>
      <c r="AB172" s="18"/>
      <c r="AC172" s="18"/>
    </row>
    <row r="173" spans="23:29" customFormat="1" x14ac:dyDescent="0.25">
      <c r="W173" s="37"/>
      <c r="X173" s="52"/>
      <c r="Y173" s="52"/>
      <c r="Z173" s="37"/>
      <c r="AA173" s="18"/>
      <c r="AB173" s="18"/>
      <c r="AC173" s="18"/>
    </row>
    <row r="174" spans="23:29" customFormat="1" x14ac:dyDescent="0.25">
      <c r="W174" s="37"/>
      <c r="X174" s="52"/>
      <c r="Y174" s="52"/>
      <c r="Z174" s="37"/>
      <c r="AA174" s="18"/>
      <c r="AB174" s="18"/>
      <c r="AC174" s="18"/>
    </row>
    <row r="175" spans="23:29" customFormat="1" x14ac:dyDescent="0.25">
      <c r="W175" s="37"/>
      <c r="X175" s="52"/>
      <c r="Y175" s="52"/>
      <c r="Z175" s="37"/>
      <c r="AA175" s="18"/>
      <c r="AB175" s="18"/>
      <c r="AC175" s="18"/>
    </row>
    <row r="176" spans="23:29" customFormat="1" x14ac:dyDescent="0.25">
      <c r="W176" s="37"/>
      <c r="X176" s="52"/>
      <c r="Y176" s="52"/>
      <c r="Z176" s="37"/>
      <c r="AA176" s="18"/>
      <c r="AB176" s="18"/>
      <c r="AC176" s="18"/>
    </row>
    <row r="177" spans="23:29" customFormat="1" x14ac:dyDescent="0.25">
      <c r="W177" s="37"/>
      <c r="X177" s="52"/>
      <c r="Y177" s="52"/>
      <c r="Z177" s="37"/>
      <c r="AA177" s="18"/>
      <c r="AB177" s="18"/>
      <c r="AC177" s="18"/>
    </row>
    <row r="178" spans="23:29" customFormat="1" x14ac:dyDescent="0.25">
      <c r="W178" s="37"/>
      <c r="X178" s="52"/>
      <c r="Y178" s="52"/>
      <c r="Z178" s="37"/>
      <c r="AA178" s="18"/>
      <c r="AB178" s="18"/>
      <c r="AC178" s="18"/>
    </row>
    <row r="179" spans="23:29" customFormat="1" x14ac:dyDescent="0.25">
      <c r="W179" s="37"/>
      <c r="X179" s="52"/>
      <c r="Y179" s="52"/>
      <c r="Z179" s="37"/>
      <c r="AA179" s="18"/>
      <c r="AB179" s="18"/>
      <c r="AC179" s="18"/>
    </row>
    <row r="180" spans="23:29" customFormat="1" x14ac:dyDescent="0.25">
      <c r="W180" s="37"/>
      <c r="X180" s="52"/>
      <c r="Y180" s="52"/>
      <c r="Z180" s="37"/>
      <c r="AA180" s="18"/>
      <c r="AB180" s="18"/>
      <c r="AC180" s="18"/>
    </row>
    <row r="181" spans="23:29" customFormat="1" x14ac:dyDescent="0.25">
      <c r="W181" s="37"/>
      <c r="X181" s="52"/>
      <c r="Y181" s="52"/>
      <c r="Z181" s="37"/>
      <c r="AA181" s="18"/>
      <c r="AB181" s="18"/>
      <c r="AC181" s="18"/>
    </row>
    <row r="182" spans="23:29" customFormat="1" x14ac:dyDescent="0.25">
      <c r="W182" s="37"/>
      <c r="X182" s="52"/>
      <c r="Y182" s="52"/>
      <c r="Z182" s="37"/>
      <c r="AA182" s="18"/>
      <c r="AB182" s="18"/>
      <c r="AC182" s="18"/>
    </row>
    <row r="183" spans="23:29" customFormat="1" x14ac:dyDescent="0.25">
      <c r="W183" s="37"/>
      <c r="X183" s="52"/>
      <c r="Y183" s="52"/>
      <c r="Z183" s="37"/>
      <c r="AA183" s="18"/>
      <c r="AB183" s="18"/>
      <c r="AC183" s="18"/>
    </row>
    <row r="184" spans="23:29" customFormat="1" x14ac:dyDescent="0.25">
      <c r="W184" s="37"/>
      <c r="X184" s="52"/>
      <c r="Y184" s="52"/>
      <c r="Z184" s="37"/>
      <c r="AA184" s="18"/>
      <c r="AB184" s="18"/>
      <c r="AC184" s="18"/>
    </row>
    <row r="185" spans="23:29" customFormat="1" x14ac:dyDescent="0.25">
      <c r="W185" s="37"/>
      <c r="X185" s="52"/>
      <c r="Y185" s="52"/>
      <c r="Z185" s="37"/>
      <c r="AA185" s="18"/>
      <c r="AB185" s="18"/>
      <c r="AC185" s="18"/>
    </row>
    <row r="186" spans="23:29" customFormat="1" x14ac:dyDescent="0.25">
      <c r="W186" s="37"/>
      <c r="X186" s="52"/>
      <c r="Y186" s="52"/>
      <c r="Z186" s="37"/>
      <c r="AA186" s="18"/>
      <c r="AB186" s="18"/>
      <c r="AC186" s="18"/>
    </row>
    <row r="187" spans="23:29" customFormat="1" x14ac:dyDescent="0.25">
      <c r="W187" s="37"/>
      <c r="X187" s="52"/>
      <c r="Y187" s="52"/>
      <c r="Z187" s="37"/>
      <c r="AA187" s="18"/>
      <c r="AB187" s="18"/>
      <c r="AC187" s="18"/>
    </row>
    <row r="188" spans="23:29" customFormat="1" x14ac:dyDescent="0.25">
      <c r="W188" s="37"/>
      <c r="X188" s="52"/>
      <c r="Y188" s="52"/>
      <c r="Z188" s="37"/>
      <c r="AA188" s="18"/>
      <c r="AB188" s="18"/>
      <c r="AC188" s="18"/>
    </row>
    <row r="189" spans="23:29" customFormat="1" x14ac:dyDescent="0.25">
      <c r="W189" s="37"/>
      <c r="X189" s="52"/>
      <c r="Y189" s="52"/>
      <c r="Z189" s="37"/>
      <c r="AA189" s="18"/>
      <c r="AB189" s="18"/>
      <c r="AC189" s="18"/>
    </row>
    <row r="190" spans="23:29" customFormat="1" x14ac:dyDescent="0.25">
      <c r="W190" s="37"/>
      <c r="X190" s="52"/>
      <c r="Y190" s="52"/>
      <c r="Z190" s="37"/>
      <c r="AA190" s="18"/>
      <c r="AB190" s="18"/>
      <c r="AC190" s="18"/>
    </row>
    <row r="191" spans="23:29" customFormat="1" x14ac:dyDescent="0.25">
      <c r="W191" s="37"/>
      <c r="X191" s="52"/>
      <c r="Y191" s="52"/>
      <c r="Z191" s="37"/>
      <c r="AA191" s="18"/>
      <c r="AB191" s="18"/>
      <c r="AC191" s="18"/>
    </row>
    <row r="192" spans="23:29" customFormat="1" x14ac:dyDescent="0.25">
      <c r="W192" s="37"/>
      <c r="X192" s="52"/>
      <c r="Y192" s="52"/>
      <c r="Z192" s="37"/>
      <c r="AA192" s="18"/>
      <c r="AB192" s="18"/>
      <c r="AC192" s="18"/>
    </row>
    <row r="193" spans="23:29" customFormat="1" x14ac:dyDescent="0.25">
      <c r="W193" s="37"/>
      <c r="X193" s="52"/>
      <c r="Y193" s="52"/>
      <c r="Z193" s="37"/>
      <c r="AA193" s="18"/>
      <c r="AB193" s="18"/>
      <c r="AC193" s="18"/>
    </row>
    <row r="194" spans="23:29" customFormat="1" x14ac:dyDescent="0.25">
      <c r="W194" s="37"/>
      <c r="X194" s="52"/>
      <c r="Y194" s="52"/>
      <c r="Z194" s="37"/>
      <c r="AA194" s="18"/>
      <c r="AB194" s="18"/>
      <c r="AC194" s="18"/>
    </row>
    <row r="195" spans="23:29" customFormat="1" x14ac:dyDescent="0.25">
      <c r="W195" s="37"/>
      <c r="X195" s="52"/>
      <c r="Y195" s="52"/>
      <c r="Z195" s="37"/>
      <c r="AA195" s="18"/>
      <c r="AB195" s="18"/>
      <c r="AC195" s="18"/>
    </row>
    <row r="196" spans="23:29" customFormat="1" x14ac:dyDescent="0.25">
      <c r="W196" s="37"/>
      <c r="X196" s="52"/>
      <c r="Y196" s="52"/>
      <c r="Z196" s="37"/>
      <c r="AA196" s="18"/>
      <c r="AB196" s="18"/>
      <c r="AC196" s="18"/>
    </row>
    <row r="197" spans="23:29" customFormat="1" x14ac:dyDescent="0.25">
      <c r="W197" s="37"/>
      <c r="X197" s="52"/>
      <c r="Y197" s="52"/>
      <c r="Z197" s="37"/>
      <c r="AA197" s="18"/>
      <c r="AB197" s="18"/>
      <c r="AC197" s="18"/>
    </row>
    <row r="198" spans="23:29" customFormat="1" x14ac:dyDescent="0.25">
      <c r="W198" s="37"/>
      <c r="X198" s="52"/>
      <c r="Y198" s="52"/>
      <c r="Z198" s="37"/>
      <c r="AA198" s="18"/>
      <c r="AB198" s="18"/>
      <c r="AC198" s="18"/>
    </row>
    <row r="199" spans="23:29" customFormat="1" x14ac:dyDescent="0.25">
      <c r="W199" s="37"/>
      <c r="X199" s="52"/>
      <c r="Y199" s="52"/>
      <c r="Z199" s="37"/>
      <c r="AA199" s="18"/>
      <c r="AB199" s="18"/>
      <c r="AC199" s="18"/>
    </row>
    <row r="200" spans="23:29" customFormat="1" x14ac:dyDescent="0.25">
      <c r="W200" s="37"/>
      <c r="X200" s="52"/>
      <c r="Y200" s="52"/>
      <c r="Z200" s="37"/>
      <c r="AA200" s="18"/>
      <c r="AB200" s="18"/>
      <c r="AC200" s="18"/>
    </row>
    <row r="201" spans="23:29" customFormat="1" x14ac:dyDescent="0.25">
      <c r="W201" s="37"/>
      <c r="X201" s="52"/>
      <c r="Y201" s="52"/>
      <c r="Z201" s="37"/>
      <c r="AA201" s="18"/>
      <c r="AB201" s="18"/>
      <c r="AC201" s="18"/>
    </row>
    <row r="202" spans="23:29" customFormat="1" x14ac:dyDescent="0.25">
      <c r="W202" s="37"/>
      <c r="X202" s="52"/>
      <c r="Y202" s="52"/>
      <c r="Z202" s="37"/>
      <c r="AA202" s="18"/>
      <c r="AB202" s="18"/>
      <c r="AC202" s="18"/>
    </row>
    <row r="203" spans="23:29" customFormat="1" x14ac:dyDescent="0.25">
      <c r="W203" s="37"/>
      <c r="X203" s="52"/>
      <c r="Y203" s="52"/>
      <c r="Z203" s="37"/>
      <c r="AA203" s="18"/>
      <c r="AB203" s="18"/>
      <c r="AC203" s="18"/>
    </row>
    <row r="204" spans="23:29" customFormat="1" x14ac:dyDescent="0.25">
      <c r="W204" s="37"/>
      <c r="X204" s="52"/>
      <c r="Y204" s="52"/>
      <c r="Z204" s="37"/>
      <c r="AA204" s="18"/>
      <c r="AB204" s="18"/>
      <c r="AC204" s="18"/>
    </row>
    <row r="205" spans="23:29" customFormat="1" x14ac:dyDescent="0.25">
      <c r="W205" s="37"/>
      <c r="X205" s="52"/>
      <c r="Y205" s="52"/>
      <c r="Z205" s="37"/>
      <c r="AA205" s="18"/>
      <c r="AB205" s="18"/>
      <c r="AC205" s="18"/>
    </row>
    <row r="206" spans="23:29" customFormat="1" x14ac:dyDescent="0.25">
      <c r="W206" s="37"/>
      <c r="X206" s="52"/>
      <c r="Y206" s="52"/>
      <c r="Z206" s="37"/>
      <c r="AA206" s="18"/>
      <c r="AB206" s="18"/>
      <c r="AC206" s="18"/>
    </row>
    <row r="207" spans="23:29" customFormat="1" x14ac:dyDescent="0.25">
      <c r="W207" s="37"/>
      <c r="X207" s="52"/>
      <c r="Y207" s="52"/>
      <c r="Z207" s="37"/>
      <c r="AA207" s="18"/>
      <c r="AB207" s="18"/>
      <c r="AC207" s="18"/>
    </row>
    <row r="208" spans="23:29" customFormat="1" x14ac:dyDescent="0.25">
      <c r="W208" s="37"/>
      <c r="X208" s="52"/>
      <c r="Y208" s="52"/>
      <c r="Z208" s="37"/>
      <c r="AA208" s="18"/>
      <c r="AB208" s="18"/>
      <c r="AC208" s="18"/>
    </row>
    <row r="209" spans="23:29" customFormat="1" x14ac:dyDescent="0.25">
      <c r="W209" s="37"/>
      <c r="X209" s="52"/>
      <c r="Y209" s="52"/>
      <c r="Z209" s="37"/>
      <c r="AA209" s="18"/>
      <c r="AB209" s="18"/>
      <c r="AC209" s="18"/>
    </row>
    <row r="210" spans="23:29" customFormat="1" x14ac:dyDescent="0.25">
      <c r="W210" s="37"/>
      <c r="X210" s="52"/>
      <c r="Y210" s="52"/>
      <c r="Z210" s="37"/>
      <c r="AA210" s="18"/>
      <c r="AB210" s="18"/>
      <c r="AC210" s="18"/>
    </row>
    <row r="211" spans="23:29" customFormat="1" x14ac:dyDescent="0.25">
      <c r="W211" s="37"/>
      <c r="X211" s="52"/>
      <c r="Y211" s="52"/>
      <c r="Z211" s="37"/>
      <c r="AA211" s="18"/>
      <c r="AB211" s="18"/>
      <c r="AC211" s="18"/>
    </row>
    <row r="212" spans="23:29" customFormat="1" x14ac:dyDescent="0.25">
      <c r="W212" s="37"/>
      <c r="X212" s="52"/>
      <c r="Y212" s="52"/>
      <c r="Z212" s="37"/>
      <c r="AA212" s="18"/>
      <c r="AB212" s="18"/>
      <c r="AC212" s="18"/>
    </row>
    <row r="213" spans="23:29" customFormat="1" x14ac:dyDescent="0.25">
      <c r="W213" s="37"/>
      <c r="X213" s="52"/>
      <c r="Y213" s="52"/>
      <c r="Z213" s="37"/>
      <c r="AA213" s="18"/>
      <c r="AB213" s="18"/>
      <c r="AC213" s="18"/>
    </row>
    <row r="214" spans="23:29" customFormat="1" x14ac:dyDescent="0.25">
      <c r="W214" s="37"/>
      <c r="X214" s="52"/>
      <c r="Y214" s="52"/>
      <c r="Z214" s="37"/>
      <c r="AA214" s="18"/>
      <c r="AB214" s="18"/>
      <c r="AC214" s="18"/>
    </row>
    <row r="215" spans="23:29" customFormat="1" x14ac:dyDescent="0.25">
      <c r="W215" s="37"/>
      <c r="X215" s="52"/>
      <c r="Y215" s="52"/>
      <c r="Z215" s="37"/>
      <c r="AA215" s="18"/>
      <c r="AB215" s="18"/>
      <c r="AC215" s="18"/>
    </row>
    <row r="216" spans="23:29" customFormat="1" x14ac:dyDescent="0.25">
      <c r="W216" s="37"/>
      <c r="X216" s="52"/>
      <c r="Y216" s="52"/>
      <c r="Z216" s="37"/>
      <c r="AA216" s="18"/>
      <c r="AB216" s="18"/>
      <c r="AC216" s="18"/>
    </row>
    <row r="217" spans="23:29" customFormat="1" x14ac:dyDescent="0.25">
      <c r="W217" s="37"/>
      <c r="X217" s="52"/>
      <c r="Y217" s="52"/>
      <c r="Z217" s="37"/>
      <c r="AA217" s="18"/>
      <c r="AB217" s="18"/>
      <c r="AC217" s="18"/>
    </row>
    <row r="218" spans="23:29" customFormat="1" x14ac:dyDescent="0.25">
      <c r="W218" s="37"/>
      <c r="X218" s="52"/>
      <c r="Y218" s="52"/>
      <c r="Z218" s="37"/>
      <c r="AA218" s="18"/>
      <c r="AB218" s="18"/>
      <c r="AC218" s="18"/>
    </row>
    <row r="219" spans="23:29" customFormat="1" x14ac:dyDescent="0.25">
      <c r="W219" s="37"/>
      <c r="X219" s="52"/>
      <c r="Y219" s="52"/>
      <c r="Z219" s="37"/>
      <c r="AA219" s="18"/>
      <c r="AB219" s="18"/>
      <c r="AC219" s="18"/>
    </row>
    <row r="220" spans="23:29" customFormat="1" x14ac:dyDescent="0.25">
      <c r="W220" s="37"/>
      <c r="X220" s="52"/>
      <c r="Y220" s="52"/>
      <c r="Z220" s="37"/>
      <c r="AA220" s="18"/>
      <c r="AB220" s="18"/>
      <c r="AC220" s="18"/>
    </row>
    <row r="221" spans="23:29" customFormat="1" x14ac:dyDescent="0.25">
      <c r="W221" s="37"/>
      <c r="X221" s="52"/>
      <c r="Y221" s="52"/>
      <c r="Z221" s="37"/>
      <c r="AA221" s="18"/>
      <c r="AB221" s="18"/>
      <c r="AC221" s="18"/>
    </row>
    <row r="222" spans="23:29" customFormat="1" x14ac:dyDescent="0.25">
      <c r="W222" s="37"/>
      <c r="X222" s="52"/>
      <c r="Y222" s="52"/>
      <c r="Z222" s="37"/>
      <c r="AA222" s="18"/>
      <c r="AB222" s="18"/>
      <c r="AC222" s="18"/>
    </row>
    <row r="223" spans="23:29" customFormat="1" x14ac:dyDescent="0.25">
      <c r="W223" s="37"/>
      <c r="X223" s="52"/>
      <c r="Y223" s="52"/>
      <c r="Z223" s="37"/>
      <c r="AA223" s="18"/>
      <c r="AB223" s="18"/>
      <c r="AC223" s="18"/>
    </row>
    <row r="224" spans="23:29" customFormat="1" x14ac:dyDescent="0.25">
      <c r="W224" s="37"/>
      <c r="X224" s="52"/>
      <c r="Y224" s="52"/>
      <c r="Z224" s="37"/>
      <c r="AA224" s="18"/>
      <c r="AB224" s="18"/>
      <c r="AC224" s="18"/>
    </row>
    <row r="225" spans="23:29" customFormat="1" x14ac:dyDescent="0.25">
      <c r="W225" s="37"/>
      <c r="X225" s="52"/>
      <c r="Y225" s="52"/>
      <c r="Z225" s="37"/>
      <c r="AA225" s="18"/>
      <c r="AB225" s="18"/>
      <c r="AC225" s="18"/>
    </row>
    <row r="226" spans="23:29" customFormat="1" x14ac:dyDescent="0.25">
      <c r="W226" s="37"/>
      <c r="X226" s="52"/>
      <c r="Y226" s="52"/>
      <c r="Z226" s="37"/>
      <c r="AA226" s="18"/>
      <c r="AB226" s="18"/>
      <c r="AC226" s="18"/>
    </row>
    <row r="227" spans="23:29" customFormat="1" x14ac:dyDescent="0.25">
      <c r="W227" s="37"/>
      <c r="X227" s="52"/>
      <c r="Y227" s="52"/>
      <c r="Z227" s="37"/>
      <c r="AA227" s="18"/>
      <c r="AB227" s="18"/>
      <c r="AC227" s="18"/>
    </row>
    <row r="228" spans="23:29" customFormat="1" x14ac:dyDescent="0.25">
      <c r="W228" s="37"/>
      <c r="X228" s="52"/>
      <c r="Y228" s="52"/>
      <c r="Z228" s="37"/>
      <c r="AA228" s="18"/>
      <c r="AB228" s="18"/>
      <c r="AC228" s="18"/>
    </row>
    <row r="229" spans="23:29" customFormat="1" x14ac:dyDescent="0.25">
      <c r="W229" s="37"/>
      <c r="X229" s="52"/>
      <c r="Y229" s="52"/>
      <c r="Z229" s="37"/>
      <c r="AA229" s="18"/>
      <c r="AB229" s="18"/>
      <c r="AC229" s="18"/>
    </row>
    <row r="230" spans="23:29" customFormat="1" x14ac:dyDescent="0.25">
      <c r="W230" s="37"/>
      <c r="X230" s="52"/>
      <c r="Y230" s="52"/>
      <c r="Z230" s="37"/>
      <c r="AA230" s="18"/>
      <c r="AB230" s="18"/>
      <c r="AC230" s="18"/>
    </row>
    <row r="231" spans="23:29" customFormat="1" x14ac:dyDescent="0.25">
      <c r="W231" s="37"/>
      <c r="X231" s="52"/>
      <c r="Y231" s="52"/>
      <c r="Z231" s="37"/>
      <c r="AA231" s="18"/>
      <c r="AB231" s="18"/>
      <c r="AC231" s="18"/>
    </row>
    <row r="232" spans="23:29" customFormat="1" x14ac:dyDescent="0.25">
      <c r="W232" s="37"/>
      <c r="X232" s="52"/>
      <c r="Y232" s="52"/>
      <c r="Z232" s="37"/>
      <c r="AA232" s="18"/>
      <c r="AB232" s="18"/>
      <c r="AC232" s="18"/>
    </row>
    <row r="233" spans="23:29" customFormat="1" x14ac:dyDescent="0.25">
      <c r="W233" s="37"/>
      <c r="X233" s="52"/>
      <c r="Y233" s="52"/>
      <c r="Z233" s="37"/>
      <c r="AA233" s="18"/>
      <c r="AB233" s="18"/>
      <c r="AC233" s="18"/>
    </row>
    <row r="234" spans="23:29" customFormat="1" x14ac:dyDescent="0.25">
      <c r="W234" s="37"/>
      <c r="X234" s="52"/>
      <c r="Y234" s="52"/>
      <c r="Z234" s="37"/>
      <c r="AA234" s="18"/>
      <c r="AB234" s="18"/>
      <c r="AC234" s="18"/>
    </row>
    <row r="235" spans="23:29" customFormat="1" x14ac:dyDescent="0.25">
      <c r="W235" s="37"/>
      <c r="X235" s="52"/>
      <c r="Y235" s="52"/>
      <c r="Z235" s="37"/>
      <c r="AA235" s="18"/>
      <c r="AB235" s="18"/>
      <c r="AC235" s="18"/>
    </row>
    <row r="236" spans="23:29" customFormat="1" x14ac:dyDescent="0.25">
      <c r="W236" s="37"/>
      <c r="X236" s="52"/>
      <c r="Y236" s="52"/>
      <c r="Z236" s="37"/>
      <c r="AA236" s="18"/>
      <c r="AB236" s="18"/>
      <c r="AC236" s="18"/>
    </row>
    <row r="237" spans="23:29" customFormat="1" x14ac:dyDescent="0.25">
      <c r="W237" s="37"/>
      <c r="X237" s="52"/>
      <c r="Y237" s="52"/>
      <c r="Z237" s="37"/>
      <c r="AA237" s="18"/>
      <c r="AB237" s="18"/>
      <c r="AC237" s="18"/>
    </row>
    <row r="238" spans="23:29" customFormat="1" x14ac:dyDescent="0.25">
      <c r="W238" s="37"/>
      <c r="X238" s="52"/>
      <c r="Y238" s="52"/>
      <c r="Z238" s="37"/>
      <c r="AA238" s="18"/>
      <c r="AB238" s="18"/>
      <c r="AC238" s="18"/>
    </row>
    <row r="239" spans="23:29" customFormat="1" x14ac:dyDescent="0.25">
      <c r="W239" s="37"/>
      <c r="X239" s="52"/>
      <c r="Y239" s="52"/>
      <c r="Z239" s="37"/>
      <c r="AA239" s="18"/>
      <c r="AB239" s="18"/>
      <c r="AC239" s="18"/>
    </row>
    <row r="240" spans="23:29" customFormat="1" x14ac:dyDescent="0.25">
      <c r="W240" s="37"/>
      <c r="X240" s="52"/>
      <c r="Y240" s="52"/>
      <c r="Z240" s="37"/>
      <c r="AA240" s="18"/>
      <c r="AB240" s="18"/>
      <c r="AC240" s="18"/>
    </row>
    <row r="241" spans="23:29" customFormat="1" x14ac:dyDescent="0.25">
      <c r="W241" s="37"/>
      <c r="X241" s="52"/>
      <c r="Y241" s="52"/>
      <c r="Z241" s="37"/>
      <c r="AA241" s="18"/>
      <c r="AB241" s="18"/>
      <c r="AC241" s="18"/>
    </row>
    <row r="242" spans="23:29" customFormat="1" x14ac:dyDescent="0.25">
      <c r="W242" s="37"/>
      <c r="X242" s="52"/>
      <c r="Y242" s="52"/>
      <c r="Z242" s="37"/>
      <c r="AA242" s="18"/>
      <c r="AB242" s="18"/>
      <c r="AC242" s="18"/>
    </row>
    <row r="243" spans="23:29" customFormat="1" x14ac:dyDescent="0.25">
      <c r="W243" s="37"/>
      <c r="X243" s="52"/>
      <c r="Y243" s="52"/>
      <c r="Z243" s="37"/>
      <c r="AA243" s="18"/>
      <c r="AB243" s="18"/>
      <c r="AC243" s="18"/>
    </row>
    <row r="244" spans="23:29" customFormat="1" x14ac:dyDescent="0.25">
      <c r="W244" s="37"/>
      <c r="X244" s="52"/>
      <c r="Y244" s="52"/>
      <c r="Z244" s="37"/>
      <c r="AA244" s="18"/>
      <c r="AB244" s="18"/>
      <c r="AC244" s="18"/>
    </row>
    <row r="245" spans="23:29" customFormat="1" x14ac:dyDescent="0.25">
      <c r="W245" s="37"/>
      <c r="X245" s="52"/>
      <c r="Y245" s="52"/>
      <c r="Z245" s="37"/>
      <c r="AA245" s="18"/>
      <c r="AB245" s="18"/>
      <c r="AC245" s="18"/>
    </row>
    <row r="246" spans="23:29" customFormat="1" x14ac:dyDescent="0.25">
      <c r="W246" s="37"/>
      <c r="X246" s="52"/>
      <c r="Y246" s="52"/>
      <c r="Z246" s="37"/>
      <c r="AA246" s="18"/>
      <c r="AB246" s="18"/>
      <c r="AC246" s="18"/>
    </row>
    <row r="247" spans="23:29" customFormat="1" x14ac:dyDescent="0.25">
      <c r="W247" s="37"/>
      <c r="X247" s="52"/>
      <c r="Y247" s="52"/>
      <c r="Z247" s="37"/>
      <c r="AA247" s="18"/>
      <c r="AB247" s="18"/>
      <c r="AC247" s="18"/>
    </row>
    <row r="248" spans="23:29" customFormat="1" x14ac:dyDescent="0.25">
      <c r="W248" s="37"/>
      <c r="X248" s="52"/>
      <c r="Y248" s="52"/>
      <c r="Z248" s="37"/>
      <c r="AA248" s="18"/>
      <c r="AB248" s="18"/>
      <c r="AC248" s="18"/>
    </row>
    <row r="249" spans="23:29" customFormat="1" x14ac:dyDescent="0.25">
      <c r="W249" s="37"/>
      <c r="X249" s="52"/>
      <c r="Y249" s="52"/>
      <c r="Z249" s="37"/>
      <c r="AA249" s="18"/>
      <c r="AB249" s="18"/>
      <c r="AC249" s="18"/>
    </row>
    <row r="250" spans="23:29" customFormat="1" x14ac:dyDescent="0.25">
      <c r="W250" s="37"/>
      <c r="X250" s="52"/>
      <c r="Y250" s="52"/>
      <c r="Z250" s="37"/>
      <c r="AA250" s="18"/>
      <c r="AB250" s="18"/>
      <c r="AC250" s="18"/>
    </row>
    <row r="251" spans="23:29" customFormat="1" x14ac:dyDescent="0.25">
      <c r="W251" s="37"/>
      <c r="X251" s="52"/>
      <c r="Y251" s="52"/>
      <c r="Z251" s="37"/>
      <c r="AA251" s="18"/>
      <c r="AB251" s="18"/>
      <c r="AC251" s="18"/>
    </row>
    <row r="252" spans="23:29" customFormat="1" x14ac:dyDescent="0.25">
      <c r="W252" s="37"/>
      <c r="X252" s="52"/>
      <c r="Y252" s="52"/>
      <c r="Z252" s="37"/>
      <c r="AA252" s="18"/>
      <c r="AB252" s="18"/>
      <c r="AC252" s="18"/>
    </row>
    <row r="253" spans="23:29" customFormat="1" x14ac:dyDescent="0.25">
      <c r="W253" s="37"/>
      <c r="X253" s="52"/>
      <c r="Y253" s="52"/>
      <c r="Z253" s="37"/>
      <c r="AA253" s="18"/>
      <c r="AB253" s="18"/>
      <c r="AC253" s="18"/>
    </row>
    <row r="254" spans="23:29" customFormat="1" x14ac:dyDescent="0.25">
      <c r="W254" s="37"/>
      <c r="X254" s="52"/>
      <c r="Y254" s="52"/>
      <c r="Z254" s="37"/>
      <c r="AA254" s="18"/>
      <c r="AB254" s="18"/>
      <c r="AC254" s="18"/>
    </row>
    <row r="255" spans="23:29" customFormat="1" x14ac:dyDescent="0.25">
      <c r="W255" s="37"/>
      <c r="X255" s="52"/>
      <c r="Y255" s="52"/>
      <c r="Z255" s="37"/>
      <c r="AA255" s="18"/>
      <c r="AB255" s="18"/>
      <c r="AC255" s="18"/>
    </row>
    <row r="256" spans="23:29" customFormat="1" x14ac:dyDescent="0.25">
      <c r="W256" s="37"/>
      <c r="X256" s="52"/>
      <c r="Y256" s="52"/>
      <c r="Z256" s="37"/>
      <c r="AA256" s="18"/>
      <c r="AB256" s="18"/>
      <c r="AC256" s="18"/>
    </row>
    <row r="257" spans="23:29" customFormat="1" x14ac:dyDescent="0.25">
      <c r="W257" s="37"/>
      <c r="X257" s="52"/>
      <c r="Y257" s="52"/>
      <c r="Z257" s="37"/>
      <c r="AA257" s="18"/>
      <c r="AB257" s="18"/>
      <c r="AC257" s="18"/>
    </row>
    <row r="258" spans="23:29" customFormat="1" x14ac:dyDescent="0.25">
      <c r="W258" s="37"/>
      <c r="X258" s="52"/>
      <c r="Y258" s="52"/>
      <c r="Z258" s="37"/>
      <c r="AA258" s="18"/>
      <c r="AB258" s="18"/>
      <c r="AC258" s="18"/>
    </row>
    <row r="259" spans="23:29" customFormat="1" x14ac:dyDescent="0.25">
      <c r="W259" s="37"/>
      <c r="X259" s="52"/>
      <c r="Y259" s="52"/>
      <c r="Z259" s="37"/>
      <c r="AA259" s="18"/>
      <c r="AB259" s="18"/>
      <c r="AC259" s="18"/>
    </row>
    <row r="260" spans="23:29" customFormat="1" x14ac:dyDescent="0.25">
      <c r="W260" s="37"/>
      <c r="X260" s="52"/>
      <c r="Y260" s="52"/>
      <c r="Z260" s="37"/>
      <c r="AA260" s="18"/>
      <c r="AB260" s="18"/>
      <c r="AC260" s="18"/>
    </row>
    <row r="261" spans="23:29" customFormat="1" x14ac:dyDescent="0.25">
      <c r="W261" s="37"/>
      <c r="X261" s="52"/>
      <c r="Y261" s="52"/>
      <c r="Z261" s="37"/>
      <c r="AA261" s="18"/>
      <c r="AB261" s="18"/>
      <c r="AC261" s="18"/>
    </row>
    <row r="262" spans="23:29" customFormat="1" x14ac:dyDescent="0.25">
      <c r="W262" s="37"/>
      <c r="X262" s="52"/>
      <c r="Y262" s="52"/>
      <c r="Z262" s="37"/>
      <c r="AA262" s="18"/>
      <c r="AB262" s="18"/>
      <c r="AC262" s="18"/>
    </row>
    <row r="263" spans="23:29" customFormat="1" x14ac:dyDescent="0.25">
      <c r="W263" s="37"/>
      <c r="X263" s="52"/>
      <c r="Y263" s="52"/>
      <c r="Z263" s="37"/>
      <c r="AA263" s="18"/>
      <c r="AB263" s="18"/>
      <c r="AC263" s="18"/>
    </row>
    <row r="264" spans="23:29" customFormat="1" x14ac:dyDescent="0.25">
      <c r="W264" s="37"/>
      <c r="X264" s="52"/>
      <c r="Y264" s="52"/>
      <c r="Z264" s="37"/>
      <c r="AA264" s="18"/>
      <c r="AB264" s="18"/>
      <c r="AC264" s="18"/>
    </row>
    <row r="265" spans="23:29" customFormat="1" x14ac:dyDescent="0.25">
      <c r="W265" s="37"/>
      <c r="X265" s="52"/>
      <c r="Y265" s="52"/>
      <c r="Z265" s="37"/>
      <c r="AA265" s="18"/>
      <c r="AB265" s="18"/>
      <c r="AC265" s="18"/>
    </row>
    <row r="266" spans="23:29" customFormat="1" x14ac:dyDescent="0.25">
      <c r="W266" s="37"/>
      <c r="X266" s="52"/>
      <c r="Y266" s="52"/>
      <c r="Z266" s="37"/>
      <c r="AA266" s="18"/>
      <c r="AB266" s="18"/>
      <c r="AC266" s="18"/>
    </row>
    <row r="267" spans="23:29" customFormat="1" x14ac:dyDescent="0.25">
      <c r="W267" s="37"/>
      <c r="X267" s="52"/>
      <c r="Y267" s="52"/>
      <c r="Z267" s="37"/>
      <c r="AA267" s="18"/>
      <c r="AB267" s="18"/>
      <c r="AC267" s="18"/>
    </row>
    <row r="268" spans="23:29" customFormat="1" x14ac:dyDescent="0.25">
      <c r="W268" s="37"/>
      <c r="X268" s="52"/>
      <c r="Y268" s="52"/>
      <c r="Z268" s="37"/>
      <c r="AA268" s="18"/>
      <c r="AB268" s="18"/>
      <c r="AC268" s="18"/>
    </row>
    <row r="269" spans="23:29" customFormat="1" x14ac:dyDescent="0.25">
      <c r="W269" s="37"/>
      <c r="X269" s="52"/>
      <c r="Y269" s="52"/>
      <c r="Z269" s="37"/>
      <c r="AA269" s="18"/>
      <c r="AB269" s="18"/>
      <c r="AC269" s="18"/>
    </row>
    <row r="270" spans="23:29" customFormat="1" x14ac:dyDescent="0.25">
      <c r="W270" s="37"/>
      <c r="X270" s="52"/>
      <c r="Y270" s="52"/>
      <c r="Z270" s="37"/>
      <c r="AA270" s="18"/>
      <c r="AB270" s="18"/>
      <c r="AC270" s="18"/>
    </row>
    <row r="271" spans="23:29" customFormat="1" x14ac:dyDescent="0.25">
      <c r="W271" s="37"/>
      <c r="X271" s="52"/>
      <c r="Y271" s="52"/>
      <c r="Z271" s="37"/>
      <c r="AA271" s="18"/>
      <c r="AB271" s="18"/>
      <c r="AC271" s="18"/>
    </row>
    <row r="272" spans="23:29" customFormat="1" x14ac:dyDescent="0.25">
      <c r="W272" s="37"/>
      <c r="X272" s="52"/>
      <c r="Y272" s="52"/>
      <c r="Z272" s="37"/>
      <c r="AA272" s="18"/>
      <c r="AB272" s="18"/>
      <c r="AC272" s="18"/>
    </row>
    <row r="273" spans="23:29" customFormat="1" x14ac:dyDescent="0.25">
      <c r="W273" s="37"/>
      <c r="X273" s="52"/>
      <c r="Y273" s="52"/>
      <c r="Z273" s="37"/>
      <c r="AA273" s="18"/>
      <c r="AB273" s="18"/>
      <c r="AC273" s="18"/>
    </row>
    <row r="274" spans="23:29" customFormat="1" x14ac:dyDescent="0.25">
      <c r="W274" s="37"/>
      <c r="X274" s="52"/>
      <c r="Y274" s="52"/>
      <c r="Z274" s="37"/>
      <c r="AA274" s="18"/>
      <c r="AB274" s="18"/>
      <c r="AC274" s="18"/>
    </row>
    <row r="275" spans="23:29" customFormat="1" x14ac:dyDescent="0.25">
      <c r="W275" s="37"/>
      <c r="X275" s="52"/>
      <c r="Y275" s="52"/>
      <c r="Z275" s="37"/>
      <c r="AA275" s="18"/>
      <c r="AB275" s="18"/>
      <c r="AC275" s="18"/>
    </row>
    <row r="276" spans="23:29" customFormat="1" x14ac:dyDescent="0.25">
      <c r="W276" s="37"/>
      <c r="X276" s="52"/>
      <c r="Y276" s="52"/>
      <c r="Z276" s="37"/>
      <c r="AA276" s="18"/>
      <c r="AB276" s="18"/>
      <c r="AC276" s="18"/>
    </row>
    <row r="277" spans="23:29" customFormat="1" x14ac:dyDescent="0.25">
      <c r="W277" s="37"/>
      <c r="X277" s="52"/>
      <c r="Y277" s="52"/>
      <c r="Z277" s="37"/>
      <c r="AA277" s="18"/>
      <c r="AB277" s="18"/>
      <c r="AC277" s="18"/>
    </row>
    <row r="278" spans="23:29" customFormat="1" x14ac:dyDescent="0.25">
      <c r="W278" s="37"/>
      <c r="X278" s="52"/>
      <c r="Y278" s="52"/>
      <c r="Z278" s="37"/>
      <c r="AA278" s="18"/>
      <c r="AB278" s="18"/>
      <c r="AC278" s="18"/>
    </row>
    <row r="279" spans="23:29" customFormat="1" x14ac:dyDescent="0.25">
      <c r="W279" s="37"/>
      <c r="X279" s="52"/>
      <c r="Y279" s="52"/>
      <c r="Z279" s="37"/>
      <c r="AA279" s="18"/>
      <c r="AB279" s="18"/>
      <c r="AC279" s="18"/>
    </row>
    <row r="280" spans="23:29" customFormat="1" x14ac:dyDescent="0.25">
      <c r="W280" s="37"/>
      <c r="X280" s="52"/>
      <c r="Y280" s="52"/>
      <c r="Z280" s="37"/>
      <c r="AA280" s="18"/>
      <c r="AB280" s="18"/>
      <c r="AC280" s="18"/>
    </row>
    <row r="281" spans="23:29" customFormat="1" x14ac:dyDescent="0.25">
      <c r="W281" s="37"/>
      <c r="X281" s="52"/>
      <c r="Y281" s="52"/>
      <c r="Z281" s="37"/>
      <c r="AA281" s="18"/>
      <c r="AB281" s="18"/>
      <c r="AC281" s="18"/>
    </row>
    <row r="282" spans="23:29" customFormat="1" x14ac:dyDescent="0.25">
      <c r="W282" s="37"/>
      <c r="X282" s="52"/>
      <c r="Y282" s="52"/>
      <c r="Z282" s="37"/>
      <c r="AA282" s="18"/>
      <c r="AB282" s="18"/>
      <c r="AC282" s="18"/>
    </row>
    <row r="283" spans="23:29" customFormat="1" x14ac:dyDescent="0.25">
      <c r="W283" s="37"/>
      <c r="X283" s="52"/>
      <c r="Y283" s="52"/>
      <c r="Z283" s="37"/>
      <c r="AA283" s="18"/>
      <c r="AB283" s="18"/>
      <c r="AC283" s="18"/>
    </row>
    <row r="284" spans="23:29" customFormat="1" x14ac:dyDescent="0.25">
      <c r="W284" s="37"/>
      <c r="X284" s="52"/>
      <c r="Y284" s="52"/>
      <c r="Z284" s="37"/>
      <c r="AA284" s="18"/>
      <c r="AB284" s="18"/>
      <c r="AC284" s="18"/>
    </row>
    <row r="285" spans="23:29" customFormat="1" x14ac:dyDescent="0.25">
      <c r="W285" s="37"/>
      <c r="X285" s="52"/>
      <c r="Y285" s="52"/>
      <c r="Z285" s="37"/>
      <c r="AA285" s="18"/>
      <c r="AB285" s="18"/>
      <c r="AC285" s="18"/>
    </row>
    <row r="286" spans="23:29" customFormat="1" x14ac:dyDescent="0.25">
      <c r="W286" s="37"/>
      <c r="X286" s="52"/>
      <c r="Y286" s="52"/>
      <c r="Z286" s="37"/>
      <c r="AA286" s="18"/>
      <c r="AB286" s="18"/>
      <c r="AC286" s="18"/>
    </row>
    <row r="287" spans="23:29" customFormat="1" x14ac:dyDescent="0.25">
      <c r="W287" s="37"/>
      <c r="X287" s="52"/>
      <c r="Y287" s="52"/>
      <c r="Z287" s="37"/>
      <c r="AA287" s="18"/>
      <c r="AB287" s="18"/>
      <c r="AC287" s="18"/>
    </row>
    <row r="288" spans="23:29" customFormat="1" x14ac:dyDescent="0.25">
      <c r="W288" s="37"/>
      <c r="X288" s="52"/>
      <c r="Y288" s="52"/>
      <c r="Z288" s="37"/>
      <c r="AA288" s="18"/>
      <c r="AB288" s="18"/>
      <c r="AC288" s="18"/>
    </row>
    <row r="289" spans="23:29" customFormat="1" x14ac:dyDescent="0.25">
      <c r="W289" s="37"/>
      <c r="X289" s="52"/>
      <c r="Y289" s="52"/>
      <c r="Z289" s="37"/>
      <c r="AA289" s="18"/>
      <c r="AB289" s="18"/>
      <c r="AC289" s="18"/>
    </row>
    <row r="290" spans="23:29" customFormat="1" x14ac:dyDescent="0.25">
      <c r="W290" s="37"/>
      <c r="X290" s="52"/>
      <c r="Y290" s="52"/>
      <c r="Z290" s="37"/>
      <c r="AA290" s="18"/>
      <c r="AB290" s="18"/>
      <c r="AC290" s="18"/>
    </row>
    <row r="291" spans="23:29" customFormat="1" x14ac:dyDescent="0.25">
      <c r="W291" s="37"/>
      <c r="X291" s="52"/>
      <c r="Y291" s="52"/>
      <c r="Z291" s="37"/>
      <c r="AA291" s="18"/>
      <c r="AB291" s="18"/>
      <c r="AC291" s="18"/>
    </row>
    <row r="292" spans="23:29" customFormat="1" x14ac:dyDescent="0.25">
      <c r="W292" s="37"/>
      <c r="X292" s="52"/>
      <c r="Y292" s="52"/>
      <c r="Z292" s="37"/>
      <c r="AA292" s="18"/>
      <c r="AB292" s="18"/>
      <c r="AC292" s="18"/>
    </row>
    <row r="293" spans="23:29" customFormat="1" x14ac:dyDescent="0.25">
      <c r="W293" s="37"/>
      <c r="X293" s="52"/>
      <c r="Y293" s="52"/>
      <c r="Z293" s="37"/>
      <c r="AA293" s="18"/>
      <c r="AB293" s="18"/>
      <c r="AC293" s="18"/>
    </row>
    <row r="294" spans="23:29" customFormat="1" x14ac:dyDescent="0.25">
      <c r="W294" s="37"/>
      <c r="X294" s="52"/>
      <c r="Y294" s="52"/>
      <c r="Z294" s="37"/>
      <c r="AA294" s="18"/>
      <c r="AB294" s="18"/>
      <c r="AC294" s="18"/>
    </row>
    <row r="295" spans="23:29" customFormat="1" x14ac:dyDescent="0.25">
      <c r="W295" s="37"/>
      <c r="X295" s="52"/>
      <c r="Y295" s="52"/>
      <c r="Z295" s="37"/>
      <c r="AA295" s="18"/>
      <c r="AB295" s="18"/>
      <c r="AC295" s="18"/>
    </row>
    <row r="296" spans="23:29" customFormat="1" x14ac:dyDescent="0.25">
      <c r="W296" s="37"/>
      <c r="X296" s="52"/>
      <c r="Y296" s="52"/>
      <c r="Z296" s="37"/>
      <c r="AA296" s="18"/>
      <c r="AB296" s="18"/>
      <c r="AC296" s="18"/>
    </row>
    <row r="297" spans="23:29" customFormat="1" x14ac:dyDescent="0.25">
      <c r="W297" s="37"/>
      <c r="X297" s="52"/>
      <c r="Y297" s="52"/>
      <c r="Z297" s="37"/>
      <c r="AA297" s="18"/>
      <c r="AB297" s="18"/>
      <c r="AC297" s="18"/>
    </row>
    <row r="298" spans="23:29" customFormat="1" x14ac:dyDescent="0.25">
      <c r="W298" s="37"/>
      <c r="X298" s="52"/>
      <c r="Y298" s="52"/>
      <c r="Z298" s="37"/>
      <c r="AA298" s="18"/>
      <c r="AB298" s="18"/>
      <c r="AC298" s="18"/>
    </row>
    <row r="299" spans="23:29" customFormat="1" x14ac:dyDescent="0.25">
      <c r="W299" s="37"/>
      <c r="X299" s="52"/>
      <c r="Y299" s="52"/>
      <c r="Z299" s="37"/>
      <c r="AA299" s="18"/>
      <c r="AB299" s="18"/>
      <c r="AC299" s="18"/>
    </row>
    <row r="300" spans="23:29" customFormat="1" x14ac:dyDescent="0.25">
      <c r="W300" s="37"/>
      <c r="X300" s="52"/>
      <c r="Y300" s="52"/>
      <c r="Z300" s="37"/>
      <c r="AA300" s="18"/>
      <c r="AB300" s="18"/>
      <c r="AC300" s="18"/>
    </row>
    <row r="301" spans="23:29" customFormat="1" x14ac:dyDescent="0.25">
      <c r="W301" s="37"/>
      <c r="X301" s="52"/>
      <c r="Y301" s="52"/>
      <c r="Z301" s="37"/>
      <c r="AA301" s="18"/>
      <c r="AB301" s="18"/>
      <c r="AC301" s="18"/>
    </row>
    <row r="302" spans="23:29" customFormat="1" x14ac:dyDescent="0.25">
      <c r="W302" s="37"/>
      <c r="X302" s="52"/>
      <c r="Y302" s="52"/>
      <c r="Z302" s="37"/>
      <c r="AA302" s="18"/>
      <c r="AB302" s="18"/>
      <c r="AC302" s="18"/>
    </row>
    <row r="303" spans="23:29" customFormat="1" x14ac:dyDescent="0.25">
      <c r="W303" s="37"/>
      <c r="X303" s="52"/>
      <c r="Y303" s="52"/>
      <c r="Z303" s="37"/>
      <c r="AA303" s="18"/>
      <c r="AB303" s="18"/>
      <c r="AC303" s="18"/>
    </row>
    <row r="304" spans="23:29" customFormat="1" x14ac:dyDescent="0.25">
      <c r="W304" s="37"/>
      <c r="X304" s="52"/>
      <c r="Y304" s="52"/>
      <c r="Z304" s="37"/>
      <c r="AA304" s="18"/>
      <c r="AB304" s="18"/>
      <c r="AC304" s="18"/>
    </row>
    <row r="305" spans="23:29" customFormat="1" x14ac:dyDescent="0.25">
      <c r="W305" s="37"/>
      <c r="X305" s="52"/>
      <c r="Y305" s="52"/>
      <c r="Z305" s="37"/>
      <c r="AA305" s="18"/>
      <c r="AB305" s="18"/>
      <c r="AC305" s="18"/>
    </row>
    <row r="306" spans="23:29" customFormat="1" x14ac:dyDescent="0.25">
      <c r="W306" s="37"/>
      <c r="X306" s="52"/>
      <c r="Y306" s="52"/>
      <c r="Z306" s="37"/>
      <c r="AA306" s="18"/>
      <c r="AB306" s="18"/>
      <c r="AC306" s="18"/>
    </row>
    <row r="307" spans="23:29" customFormat="1" x14ac:dyDescent="0.25">
      <c r="W307" s="37"/>
      <c r="X307" s="52"/>
      <c r="Y307" s="52"/>
      <c r="Z307" s="37"/>
      <c r="AA307" s="18"/>
      <c r="AB307" s="18"/>
      <c r="AC307" s="18"/>
    </row>
    <row r="308" spans="23:29" customFormat="1" x14ac:dyDescent="0.25">
      <c r="W308" s="37"/>
      <c r="X308" s="52"/>
      <c r="Y308" s="52"/>
      <c r="Z308" s="37"/>
      <c r="AA308" s="18"/>
      <c r="AB308" s="18"/>
      <c r="AC308" s="18"/>
    </row>
    <row r="309" spans="23:29" customFormat="1" x14ac:dyDescent="0.25">
      <c r="W309" s="37"/>
      <c r="X309" s="52"/>
      <c r="Y309" s="52"/>
      <c r="Z309" s="37"/>
      <c r="AA309" s="18"/>
      <c r="AB309" s="18"/>
      <c r="AC309" s="18"/>
    </row>
    <row r="310" spans="23:29" customFormat="1" x14ac:dyDescent="0.25">
      <c r="W310" s="37"/>
      <c r="X310" s="52"/>
      <c r="Y310" s="52"/>
      <c r="Z310" s="37"/>
      <c r="AA310" s="18"/>
      <c r="AB310" s="18"/>
      <c r="AC310" s="18"/>
    </row>
    <row r="311" spans="23:29" customFormat="1" x14ac:dyDescent="0.25">
      <c r="W311" s="37"/>
      <c r="X311" s="52"/>
      <c r="Y311" s="52"/>
      <c r="Z311" s="37"/>
      <c r="AA311" s="18"/>
      <c r="AB311" s="18"/>
      <c r="AC311" s="18"/>
    </row>
    <row r="312" spans="23:29" customFormat="1" x14ac:dyDescent="0.25">
      <c r="W312" s="37"/>
      <c r="X312" s="52"/>
      <c r="Y312" s="52"/>
      <c r="Z312" s="37"/>
      <c r="AA312" s="18"/>
      <c r="AB312" s="18"/>
      <c r="AC312" s="18"/>
    </row>
    <row r="313" spans="23:29" customFormat="1" x14ac:dyDescent="0.25">
      <c r="W313" s="37"/>
      <c r="X313" s="52"/>
      <c r="Y313" s="52"/>
      <c r="Z313" s="37"/>
      <c r="AA313" s="18"/>
      <c r="AB313" s="18"/>
      <c r="AC313" s="18"/>
    </row>
    <row r="314" spans="23:29" customFormat="1" x14ac:dyDescent="0.25">
      <c r="W314" s="37"/>
      <c r="X314" s="52"/>
      <c r="Y314" s="52"/>
      <c r="Z314" s="37"/>
      <c r="AA314" s="18"/>
      <c r="AB314" s="18"/>
      <c r="AC314" s="18"/>
    </row>
    <row r="315" spans="23:29" customFormat="1" x14ac:dyDescent="0.25">
      <c r="W315" s="37"/>
      <c r="X315" s="52"/>
      <c r="Y315" s="52"/>
      <c r="Z315" s="37"/>
      <c r="AA315" s="18"/>
      <c r="AB315" s="18"/>
      <c r="AC315" s="18"/>
    </row>
    <row r="316" spans="23:29" customFormat="1" x14ac:dyDescent="0.25">
      <c r="W316" s="37"/>
      <c r="X316" s="52"/>
      <c r="Y316" s="52"/>
      <c r="Z316" s="37"/>
      <c r="AA316" s="18"/>
      <c r="AB316" s="18"/>
      <c r="AC316" s="18"/>
    </row>
    <row r="317" spans="23:29" customFormat="1" x14ac:dyDescent="0.25">
      <c r="W317" s="37"/>
      <c r="X317" s="52"/>
      <c r="Y317" s="52"/>
      <c r="Z317" s="37"/>
      <c r="AA317" s="18"/>
      <c r="AB317" s="18"/>
      <c r="AC317" s="18"/>
    </row>
    <row r="318" spans="23:29" customFormat="1" x14ac:dyDescent="0.25">
      <c r="W318" s="37"/>
      <c r="X318" s="52"/>
      <c r="Y318" s="52"/>
      <c r="Z318" s="37"/>
      <c r="AA318" s="18"/>
      <c r="AB318" s="18"/>
      <c r="AC318" s="18"/>
    </row>
    <row r="319" spans="23:29" customFormat="1" x14ac:dyDescent="0.25">
      <c r="W319" s="37"/>
      <c r="X319" s="52"/>
      <c r="Y319" s="52"/>
      <c r="Z319" s="37"/>
      <c r="AA319" s="18"/>
      <c r="AB319" s="18"/>
      <c r="AC319" s="18"/>
    </row>
    <row r="320" spans="23:29" customFormat="1" x14ac:dyDescent="0.25">
      <c r="W320" s="37"/>
      <c r="X320" s="52"/>
      <c r="Y320" s="52"/>
      <c r="Z320" s="37"/>
      <c r="AA320" s="18"/>
      <c r="AB320" s="18"/>
      <c r="AC320" s="18"/>
    </row>
    <row r="321" spans="23:29" customFormat="1" x14ac:dyDescent="0.25">
      <c r="W321" s="37"/>
      <c r="X321" s="52"/>
      <c r="Y321" s="52"/>
      <c r="Z321" s="37"/>
      <c r="AA321" s="18"/>
      <c r="AB321" s="18"/>
      <c r="AC321" s="18"/>
    </row>
    <row r="322" spans="23:29" customFormat="1" x14ac:dyDescent="0.25">
      <c r="W322" s="37"/>
      <c r="X322" s="52"/>
      <c r="Y322" s="52"/>
      <c r="Z322" s="37"/>
      <c r="AA322" s="18"/>
      <c r="AB322" s="18"/>
      <c r="AC322" s="18"/>
    </row>
    <row r="323" spans="23:29" customFormat="1" x14ac:dyDescent="0.25">
      <c r="W323" s="37"/>
      <c r="X323" s="52"/>
      <c r="Y323" s="52"/>
      <c r="Z323" s="37"/>
      <c r="AA323" s="18"/>
      <c r="AB323" s="18"/>
      <c r="AC323" s="18"/>
    </row>
    <row r="324" spans="23:29" customFormat="1" x14ac:dyDescent="0.25">
      <c r="W324" s="37"/>
      <c r="X324" s="52"/>
      <c r="Y324" s="52"/>
      <c r="Z324" s="37"/>
      <c r="AA324" s="18"/>
      <c r="AB324" s="18"/>
      <c r="AC324" s="18"/>
    </row>
    <row r="325" spans="23:29" customFormat="1" x14ac:dyDescent="0.25">
      <c r="W325" s="37"/>
      <c r="X325" s="52"/>
      <c r="Y325" s="52"/>
      <c r="Z325" s="37"/>
      <c r="AA325" s="18"/>
      <c r="AB325" s="18"/>
      <c r="AC325" s="18"/>
    </row>
    <row r="326" spans="23:29" customFormat="1" x14ac:dyDescent="0.25">
      <c r="W326" s="37"/>
      <c r="X326" s="52"/>
      <c r="Y326" s="52"/>
      <c r="Z326" s="37"/>
      <c r="AA326" s="18"/>
      <c r="AB326" s="18"/>
      <c r="AC326" s="18"/>
    </row>
    <row r="327" spans="23:29" customFormat="1" x14ac:dyDescent="0.25">
      <c r="W327" s="37"/>
      <c r="X327" s="52"/>
      <c r="Y327" s="52"/>
      <c r="Z327" s="37"/>
      <c r="AA327" s="18"/>
      <c r="AB327" s="18"/>
      <c r="AC327" s="18"/>
    </row>
    <row r="328" spans="23:29" customFormat="1" x14ac:dyDescent="0.25">
      <c r="W328" s="37"/>
      <c r="X328" s="52"/>
      <c r="Y328" s="52"/>
      <c r="Z328" s="37"/>
      <c r="AA328" s="18"/>
      <c r="AB328" s="18"/>
      <c r="AC328" s="18"/>
    </row>
    <row r="329" spans="23:29" customFormat="1" x14ac:dyDescent="0.25">
      <c r="W329" s="37"/>
      <c r="X329" s="52"/>
      <c r="Y329" s="52"/>
      <c r="Z329" s="37"/>
      <c r="AA329" s="18"/>
      <c r="AB329" s="18"/>
      <c r="AC329" s="18"/>
    </row>
    <row r="330" spans="23:29" customFormat="1" x14ac:dyDescent="0.25">
      <c r="W330" s="37"/>
      <c r="X330" s="52"/>
      <c r="Y330" s="52"/>
      <c r="Z330" s="37"/>
      <c r="AA330" s="18"/>
      <c r="AB330" s="18"/>
      <c r="AC330" s="18"/>
    </row>
    <row r="331" spans="23:29" customFormat="1" x14ac:dyDescent="0.25">
      <c r="W331" s="37"/>
      <c r="X331" s="52"/>
      <c r="Y331" s="52"/>
      <c r="Z331" s="37"/>
      <c r="AA331" s="18"/>
      <c r="AB331" s="18"/>
      <c r="AC331" s="18"/>
    </row>
    <row r="332" spans="23:29" customFormat="1" x14ac:dyDescent="0.25">
      <c r="W332" s="37"/>
      <c r="X332" s="52"/>
      <c r="Y332" s="52"/>
      <c r="Z332" s="37"/>
      <c r="AA332" s="18"/>
      <c r="AB332" s="18"/>
      <c r="AC332" s="18"/>
    </row>
    <row r="333" spans="23:29" customFormat="1" x14ac:dyDescent="0.25">
      <c r="W333" s="37"/>
      <c r="X333" s="52"/>
      <c r="Y333" s="52"/>
      <c r="Z333" s="37"/>
      <c r="AA333" s="18"/>
      <c r="AB333" s="18"/>
      <c r="AC333" s="18"/>
    </row>
    <row r="334" spans="23:29" customFormat="1" x14ac:dyDescent="0.25">
      <c r="W334" s="37"/>
      <c r="X334" s="52"/>
      <c r="Y334" s="52"/>
      <c r="Z334" s="37"/>
      <c r="AA334" s="18"/>
      <c r="AB334" s="18"/>
      <c r="AC334" s="18"/>
    </row>
    <row r="335" spans="23:29" customFormat="1" x14ac:dyDescent="0.25">
      <c r="W335" s="37"/>
      <c r="X335" s="52"/>
      <c r="Y335" s="52"/>
      <c r="Z335" s="37"/>
      <c r="AA335" s="18"/>
      <c r="AB335" s="18"/>
      <c r="AC335" s="18"/>
    </row>
    <row r="336" spans="23:29" customFormat="1" x14ac:dyDescent="0.25">
      <c r="W336" s="37"/>
      <c r="X336" s="52"/>
      <c r="Y336" s="52"/>
      <c r="Z336" s="37"/>
      <c r="AA336" s="18"/>
      <c r="AB336" s="18"/>
      <c r="AC336" s="18"/>
    </row>
    <row r="337" spans="23:29" customFormat="1" x14ac:dyDescent="0.25">
      <c r="W337" s="37"/>
      <c r="X337" s="52"/>
      <c r="Y337" s="52"/>
      <c r="Z337" s="37"/>
      <c r="AA337" s="18"/>
      <c r="AB337" s="18"/>
      <c r="AC337" s="18"/>
    </row>
    <row r="338" spans="23:29" customFormat="1" x14ac:dyDescent="0.25">
      <c r="W338" s="37"/>
      <c r="X338" s="52"/>
      <c r="Y338" s="52"/>
      <c r="Z338" s="37"/>
      <c r="AA338" s="18"/>
      <c r="AB338" s="18"/>
      <c r="AC338" s="18"/>
    </row>
    <row r="339" spans="23:29" customFormat="1" x14ac:dyDescent="0.25">
      <c r="W339" s="37"/>
      <c r="X339" s="52"/>
      <c r="Y339" s="52"/>
      <c r="Z339" s="37"/>
      <c r="AA339" s="18"/>
      <c r="AB339" s="18"/>
      <c r="AC339" s="18"/>
    </row>
    <row r="340" spans="23:29" customFormat="1" x14ac:dyDescent="0.25">
      <c r="W340" s="37"/>
      <c r="X340" s="52"/>
      <c r="Y340" s="52"/>
      <c r="Z340" s="37"/>
      <c r="AA340" s="18"/>
      <c r="AB340" s="18"/>
      <c r="AC340" s="18"/>
    </row>
    <row r="341" spans="23:29" customFormat="1" x14ac:dyDescent="0.25">
      <c r="W341" s="37"/>
      <c r="X341" s="52"/>
      <c r="Y341" s="52"/>
      <c r="Z341" s="37"/>
      <c r="AA341" s="18"/>
      <c r="AB341" s="18"/>
      <c r="AC341" s="18"/>
    </row>
    <row r="342" spans="23:29" customFormat="1" x14ac:dyDescent="0.25">
      <c r="W342" s="37"/>
      <c r="X342" s="52"/>
      <c r="Y342" s="52"/>
      <c r="Z342" s="37"/>
      <c r="AA342" s="18"/>
      <c r="AB342" s="18"/>
      <c r="AC342" s="18"/>
    </row>
    <row r="343" spans="23:29" customFormat="1" x14ac:dyDescent="0.25">
      <c r="W343" s="37"/>
      <c r="X343" s="52"/>
      <c r="Y343" s="52"/>
      <c r="Z343" s="37"/>
      <c r="AA343" s="18"/>
      <c r="AB343" s="18"/>
      <c r="AC343" s="18"/>
    </row>
    <row r="344" spans="23:29" customFormat="1" x14ac:dyDescent="0.25">
      <c r="W344" s="37"/>
      <c r="X344" s="52"/>
      <c r="Y344" s="52"/>
      <c r="Z344" s="37"/>
      <c r="AA344" s="18"/>
      <c r="AB344" s="18"/>
      <c r="AC344" s="18"/>
    </row>
    <row r="345" spans="23:29" customFormat="1" x14ac:dyDescent="0.25">
      <c r="W345" s="37"/>
      <c r="X345" s="52"/>
      <c r="Y345" s="52"/>
      <c r="Z345" s="37"/>
      <c r="AA345" s="18"/>
      <c r="AB345" s="18"/>
      <c r="AC345" s="18"/>
    </row>
    <row r="346" spans="23:29" customFormat="1" x14ac:dyDescent="0.25">
      <c r="W346" s="37"/>
      <c r="X346" s="52"/>
      <c r="Y346" s="52"/>
      <c r="Z346" s="37"/>
      <c r="AA346" s="18"/>
      <c r="AB346" s="18"/>
      <c r="AC346" s="18"/>
    </row>
    <row r="347" spans="23:29" customFormat="1" x14ac:dyDescent="0.25">
      <c r="W347" s="37"/>
      <c r="X347" s="52"/>
      <c r="Y347" s="52"/>
      <c r="Z347" s="37"/>
      <c r="AA347" s="18"/>
      <c r="AB347" s="18"/>
      <c r="AC347" s="18"/>
    </row>
    <row r="348" spans="23:29" customFormat="1" x14ac:dyDescent="0.25">
      <c r="W348" s="37"/>
      <c r="X348" s="52"/>
      <c r="Y348" s="52"/>
      <c r="Z348" s="37"/>
      <c r="AA348" s="18"/>
      <c r="AB348" s="18"/>
      <c r="AC348" s="18"/>
    </row>
    <row r="349" spans="23:29" customFormat="1" x14ac:dyDescent="0.25">
      <c r="W349" s="37"/>
      <c r="X349" s="52"/>
      <c r="Y349" s="52"/>
      <c r="Z349" s="37"/>
      <c r="AA349" s="18"/>
      <c r="AB349" s="18"/>
      <c r="AC349" s="18"/>
    </row>
    <row r="350" spans="23:29" customFormat="1" x14ac:dyDescent="0.25">
      <c r="W350" s="37"/>
      <c r="X350" s="52"/>
      <c r="Y350" s="52"/>
      <c r="Z350" s="37"/>
      <c r="AA350" s="18"/>
      <c r="AB350" s="18"/>
      <c r="AC350" s="18"/>
    </row>
    <row r="351" spans="23:29" customFormat="1" x14ac:dyDescent="0.25">
      <c r="W351" s="37"/>
      <c r="X351" s="52"/>
      <c r="Y351" s="52"/>
      <c r="Z351" s="37"/>
      <c r="AA351" s="18"/>
      <c r="AB351" s="18"/>
      <c r="AC351" s="18"/>
    </row>
    <row r="352" spans="23:29" customFormat="1" x14ac:dyDescent="0.25">
      <c r="W352" s="37"/>
      <c r="X352" s="52"/>
      <c r="Y352" s="52"/>
      <c r="Z352" s="37"/>
      <c r="AA352" s="18"/>
      <c r="AB352" s="18"/>
      <c r="AC352" s="18"/>
    </row>
    <row r="353" spans="23:29" customFormat="1" x14ac:dyDescent="0.25">
      <c r="W353" s="37"/>
      <c r="X353" s="52"/>
      <c r="Y353" s="52"/>
      <c r="Z353" s="37"/>
      <c r="AA353" s="18"/>
      <c r="AB353" s="18"/>
      <c r="AC353" s="18"/>
    </row>
    <row r="354" spans="23:29" customFormat="1" x14ac:dyDescent="0.25">
      <c r="W354" s="37"/>
      <c r="X354" s="52"/>
      <c r="Y354" s="52"/>
      <c r="Z354" s="37"/>
      <c r="AA354" s="18"/>
      <c r="AB354" s="18"/>
      <c r="AC354" s="18"/>
    </row>
    <row r="355" spans="23:29" customFormat="1" x14ac:dyDescent="0.25">
      <c r="W355" s="37"/>
      <c r="X355" s="52"/>
      <c r="Y355" s="52"/>
      <c r="Z355" s="37"/>
      <c r="AA355" s="18"/>
      <c r="AB355" s="18"/>
      <c r="AC355" s="18"/>
    </row>
    <row r="356" spans="23:29" customFormat="1" x14ac:dyDescent="0.25">
      <c r="W356" s="37"/>
      <c r="X356" s="52"/>
      <c r="Y356" s="52"/>
      <c r="Z356" s="37"/>
      <c r="AA356" s="18"/>
      <c r="AB356" s="18"/>
      <c r="AC356" s="18"/>
    </row>
    <row r="357" spans="23:29" customFormat="1" x14ac:dyDescent="0.25">
      <c r="W357" s="37"/>
      <c r="X357" s="52"/>
      <c r="Y357" s="52"/>
      <c r="Z357" s="37"/>
      <c r="AA357" s="18"/>
      <c r="AB357" s="18"/>
      <c r="AC357" s="18"/>
    </row>
    <row r="358" spans="23:29" customFormat="1" x14ac:dyDescent="0.25">
      <c r="W358" s="37"/>
      <c r="X358" s="52"/>
      <c r="Y358" s="52"/>
      <c r="Z358" s="37"/>
      <c r="AA358" s="18"/>
      <c r="AB358" s="18"/>
      <c r="AC358" s="18"/>
    </row>
    <row r="359" spans="23:29" customFormat="1" x14ac:dyDescent="0.25">
      <c r="W359" s="37"/>
      <c r="X359" s="52"/>
      <c r="Y359" s="52"/>
      <c r="Z359" s="37"/>
      <c r="AA359" s="18"/>
      <c r="AB359" s="18"/>
      <c r="AC359" s="18"/>
    </row>
    <row r="360" spans="23:29" customFormat="1" x14ac:dyDescent="0.25">
      <c r="W360" s="37"/>
      <c r="X360" s="52"/>
      <c r="Y360" s="52"/>
      <c r="Z360" s="37"/>
      <c r="AA360" s="18"/>
      <c r="AB360" s="18"/>
      <c r="AC360" s="18"/>
    </row>
    <row r="361" spans="23:29" customFormat="1" x14ac:dyDescent="0.25">
      <c r="W361" s="37"/>
      <c r="X361" s="52"/>
      <c r="Y361" s="52"/>
      <c r="Z361" s="37"/>
      <c r="AA361" s="18"/>
      <c r="AB361" s="18"/>
      <c r="AC361" s="18"/>
    </row>
    <row r="362" spans="23:29" customFormat="1" x14ac:dyDescent="0.25">
      <c r="W362" s="37"/>
      <c r="X362" s="52"/>
      <c r="Y362" s="52"/>
      <c r="Z362" s="37"/>
      <c r="AA362" s="18"/>
      <c r="AB362" s="18"/>
      <c r="AC362" s="18"/>
    </row>
    <row r="363" spans="23:29" customFormat="1" x14ac:dyDescent="0.25">
      <c r="W363" s="37"/>
      <c r="X363" s="52"/>
      <c r="Y363" s="52"/>
      <c r="Z363" s="37"/>
      <c r="AA363" s="18"/>
      <c r="AB363" s="18"/>
      <c r="AC363" s="18"/>
    </row>
    <row r="364" spans="23:29" customFormat="1" x14ac:dyDescent="0.25">
      <c r="W364" s="37"/>
      <c r="X364" s="52"/>
      <c r="Y364" s="52"/>
      <c r="Z364" s="37"/>
      <c r="AA364" s="18"/>
      <c r="AB364" s="18"/>
      <c r="AC364" s="18"/>
    </row>
    <row r="365" spans="23:29" customFormat="1" x14ac:dyDescent="0.25">
      <c r="W365" s="37"/>
      <c r="X365" s="52"/>
      <c r="Y365" s="52"/>
      <c r="Z365" s="37"/>
      <c r="AA365" s="18"/>
      <c r="AB365" s="18"/>
      <c r="AC365" s="18"/>
    </row>
    <row r="366" spans="23:29" customFormat="1" x14ac:dyDescent="0.25">
      <c r="W366" s="37"/>
      <c r="X366" s="52"/>
      <c r="Y366" s="52"/>
      <c r="Z366" s="37"/>
      <c r="AA366" s="18"/>
      <c r="AB366" s="18"/>
      <c r="AC366" s="18"/>
    </row>
    <row r="367" spans="23:29" customFormat="1" x14ac:dyDescent="0.25">
      <c r="W367" s="37"/>
      <c r="X367" s="52"/>
      <c r="Y367" s="52"/>
      <c r="Z367" s="37"/>
      <c r="AA367" s="18"/>
      <c r="AB367" s="18"/>
      <c r="AC367" s="18"/>
    </row>
    <row r="368" spans="23:29" customFormat="1" x14ac:dyDescent="0.25">
      <c r="W368" s="37"/>
      <c r="X368" s="52"/>
      <c r="Y368" s="52"/>
      <c r="Z368" s="37"/>
      <c r="AA368" s="18"/>
      <c r="AB368" s="18"/>
      <c r="AC368" s="18"/>
    </row>
    <row r="369" spans="23:29" customFormat="1" x14ac:dyDescent="0.25">
      <c r="W369" s="37"/>
      <c r="X369" s="52"/>
      <c r="Y369" s="52"/>
      <c r="Z369" s="37"/>
      <c r="AA369" s="18"/>
      <c r="AB369" s="18"/>
      <c r="AC369" s="18"/>
    </row>
    <row r="370" spans="23:29" customFormat="1" x14ac:dyDescent="0.25">
      <c r="W370" s="37"/>
      <c r="X370" s="52"/>
      <c r="Y370" s="52"/>
      <c r="Z370" s="37"/>
      <c r="AA370" s="18"/>
      <c r="AB370" s="18"/>
      <c r="AC370" s="18"/>
    </row>
    <row r="371" spans="23:29" customFormat="1" x14ac:dyDescent="0.25">
      <c r="W371" s="37"/>
      <c r="X371" s="52"/>
      <c r="Y371" s="52"/>
      <c r="Z371" s="37"/>
      <c r="AA371" s="18"/>
      <c r="AB371" s="18"/>
      <c r="AC371" s="18"/>
    </row>
    <row r="372" spans="23:29" customFormat="1" x14ac:dyDescent="0.25">
      <c r="W372" s="37"/>
      <c r="X372" s="52"/>
      <c r="Y372" s="52"/>
      <c r="Z372" s="37"/>
      <c r="AA372" s="18"/>
      <c r="AB372" s="18"/>
      <c r="AC372" s="18"/>
    </row>
    <row r="373" spans="23:29" customFormat="1" x14ac:dyDescent="0.25">
      <c r="W373" s="37"/>
      <c r="X373" s="52"/>
      <c r="Y373" s="52"/>
      <c r="Z373" s="37"/>
      <c r="AA373" s="18"/>
      <c r="AB373" s="18"/>
      <c r="AC373" s="18"/>
    </row>
    <row r="374" spans="23:29" customFormat="1" x14ac:dyDescent="0.25">
      <c r="W374" s="37"/>
      <c r="X374" s="52"/>
      <c r="Y374" s="52"/>
      <c r="Z374" s="37"/>
      <c r="AA374" s="18"/>
      <c r="AB374" s="18"/>
      <c r="AC374" s="18"/>
    </row>
    <row r="375" spans="23:29" customFormat="1" x14ac:dyDescent="0.25">
      <c r="W375" s="37"/>
      <c r="X375" s="52"/>
      <c r="Y375" s="52"/>
      <c r="Z375" s="37"/>
      <c r="AA375" s="18"/>
      <c r="AB375" s="18"/>
      <c r="AC375" s="18"/>
    </row>
    <row r="376" spans="23:29" customFormat="1" x14ac:dyDescent="0.25">
      <c r="W376" s="37"/>
      <c r="X376" s="52"/>
      <c r="Y376" s="52"/>
      <c r="Z376" s="37"/>
      <c r="AA376" s="18"/>
      <c r="AB376" s="18"/>
      <c r="AC376" s="18"/>
    </row>
    <row r="377" spans="23:29" customFormat="1" x14ac:dyDescent="0.25">
      <c r="W377" s="37"/>
      <c r="X377" s="52"/>
      <c r="Y377" s="52"/>
      <c r="Z377" s="37"/>
      <c r="AA377" s="18"/>
      <c r="AB377" s="18"/>
      <c r="AC377" s="18"/>
    </row>
    <row r="378" spans="23:29" customFormat="1" x14ac:dyDescent="0.25">
      <c r="W378" s="37"/>
      <c r="X378" s="52"/>
      <c r="Y378" s="52"/>
      <c r="Z378" s="37"/>
      <c r="AA378" s="18"/>
      <c r="AB378" s="18"/>
      <c r="AC378" s="18"/>
    </row>
    <row r="379" spans="23:29" customFormat="1" x14ac:dyDescent="0.25">
      <c r="W379" s="37"/>
      <c r="X379" s="52"/>
      <c r="Y379" s="52"/>
      <c r="Z379" s="37"/>
      <c r="AA379" s="18"/>
      <c r="AB379" s="18"/>
      <c r="AC379" s="18"/>
    </row>
    <row r="380" spans="23:29" customFormat="1" x14ac:dyDescent="0.25">
      <c r="W380" s="37"/>
      <c r="X380" s="52"/>
      <c r="Y380" s="52"/>
      <c r="Z380" s="37"/>
      <c r="AA380" s="18"/>
      <c r="AB380" s="18"/>
      <c r="AC380" s="18"/>
    </row>
    <row r="381" spans="23:29" customFormat="1" x14ac:dyDescent="0.25">
      <c r="W381" s="37"/>
      <c r="X381" s="52"/>
      <c r="Y381" s="52"/>
      <c r="Z381" s="37"/>
      <c r="AA381" s="18"/>
      <c r="AB381" s="18"/>
      <c r="AC381" s="18"/>
    </row>
    <row r="382" spans="23:29" customFormat="1" x14ac:dyDescent="0.25">
      <c r="W382" s="37"/>
      <c r="X382" s="52"/>
      <c r="Y382" s="52"/>
      <c r="Z382" s="37"/>
      <c r="AA382" s="18"/>
      <c r="AB382" s="18"/>
      <c r="AC382" s="18"/>
    </row>
    <row r="383" spans="23:29" customFormat="1" x14ac:dyDescent="0.25">
      <c r="W383" s="37"/>
      <c r="X383" s="52"/>
      <c r="Y383" s="52"/>
      <c r="Z383" s="37"/>
      <c r="AA383" s="18"/>
      <c r="AB383" s="18"/>
      <c r="AC383" s="18"/>
    </row>
    <row r="384" spans="23:29" customFormat="1" x14ac:dyDescent="0.25">
      <c r="W384" s="37"/>
      <c r="X384" s="52"/>
      <c r="Y384" s="52"/>
      <c r="Z384" s="37"/>
      <c r="AA384" s="18"/>
      <c r="AB384" s="18"/>
      <c r="AC384" s="18"/>
    </row>
    <row r="385" spans="23:29" customFormat="1" x14ac:dyDescent="0.25">
      <c r="W385" s="37"/>
      <c r="X385" s="52"/>
      <c r="Y385" s="52"/>
      <c r="Z385" s="37"/>
      <c r="AA385" s="18"/>
      <c r="AB385" s="18"/>
      <c r="AC385" s="18"/>
    </row>
    <row r="386" spans="23:29" customFormat="1" x14ac:dyDescent="0.25">
      <c r="W386" s="37"/>
      <c r="X386" s="52"/>
      <c r="Y386" s="52"/>
      <c r="Z386" s="37"/>
      <c r="AA386" s="18"/>
      <c r="AB386" s="18"/>
      <c r="AC386" s="18"/>
    </row>
    <row r="387" spans="23:29" customFormat="1" x14ac:dyDescent="0.25">
      <c r="W387" s="37"/>
      <c r="X387" s="52"/>
      <c r="Y387" s="52"/>
      <c r="Z387" s="37"/>
      <c r="AA387" s="18"/>
      <c r="AB387" s="18"/>
      <c r="AC387" s="18"/>
    </row>
    <row r="388" spans="23:29" customFormat="1" x14ac:dyDescent="0.25">
      <c r="W388" s="37"/>
      <c r="X388" s="52"/>
      <c r="Y388" s="52"/>
      <c r="Z388" s="37"/>
      <c r="AA388" s="18"/>
      <c r="AB388" s="18"/>
      <c r="AC388" s="18"/>
    </row>
    <row r="389" spans="23:29" customFormat="1" x14ac:dyDescent="0.25">
      <c r="W389" s="37"/>
      <c r="X389" s="52"/>
      <c r="Y389" s="52"/>
      <c r="Z389" s="37"/>
      <c r="AA389" s="18"/>
      <c r="AB389" s="18"/>
      <c r="AC389" s="18"/>
    </row>
    <row r="390" spans="23:29" customFormat="1" x14ac:dyDescent="0.25">
      <c r="W390" s="37"/>
      <c r="X390" s="52"/>
      <c r="Y390" s="52"/>
      <c r="Z390" s="37"/>
      <c r="AA390" s="18"/>
      <c r="AB390" s="18"/>
      <c r="AC390" s="18"/>
    </row>
    <row r="391" spans="23:29" customFormat="1" x14ac:dyDescent="0.25">
      <c r="W391" s="37"/>
      <c r="X391" s="52"/>
      <c r="Y391" s="52"/>
      <c r="Z391" s="37"/>
      <c r="AA391" s="18"/>
      <c r="AB391" s="18"/>
      <c r="AC391" s="18"/>
    </row>
    <row r="392" spans="23:29" customFormat="1" x14ac:dyDescent="0.25">
      <c r="W392" s="37"/>
      <c r="X392" s="52"/>
      <c r="Y392" s="52"/>
      <c r="Z392" s="37"/>
      <c r="AA392" s="18"/>
      <c r="AB392" s="18"/>
      <c r="AC392" s="18"/>
    </row>
    <row r="393" spans="23:29" customFormat="1" x14ac:dyDescent="0.25">
      <c r="W393" s="37"/>
      <c r="X393" s="52"/>
      <c r="Y393" s="52"/>
      <c r="Z393" s="37"/>
      <c r="AA393" s="18"/>
      <c r="AB393" s="18"/>
      <c r="AC393" s="18"/>
    </row>
    <row r="394" spans="23:29" customFormat="1" x14ac:dyDescent="0.25">
      <c r="W394" s="37"/>
      <c r="X394" s="52"/>
      <c r="Y394" s="52"/>
      <c r="Z394" s="37"/>
      <c r="AA394" s="18"/>
      <c r="AB394" s="18"/>
      <c r="AC394" s="18"/>
    </row>
    <row r="395" spans="23:29" customFormat="1" x14ac:dyDescent="0.25">
      <c r="W395" s="37"/>
      <c r="X395" s="52"/>
      <c r="Y395" s="52"/>
      <c r="Z395" s="37"/>
      <c r="AA395" s="18"/>
      <c r="AB395" s="18"/>
      <c r="AC395" s="18"/>
    </row>
    <row r="396" spans="23:29" customFormat="1" x14ac:dyDescent="0.25">
      <c r="W396" s="37"/>
      <c r="X396" s="52"/>
      <c r="Y396" s="52"/>
      <c r="Z396" s="37"/>
      <c r="AA396" s="18"/>
      <c r="AB396" s="18"/>
      <c r="AC396" s="18"/>
    </row>
    <row r="397" spans="23:29" customFormat="1" x14ac:dyDescent="0.25">
      <c r="W397" s="37"/>
      <c r="X397" s="52"/>
      <c r="Y397" s="52"/>
      <c r="Z397" s="37"/>
      <c r="AA397" s="18"/>
      <c r="AB397" s="18"/>
      <c r="AC397" s="18"/>
    </row>
    <row r="398" spans="23:29" customFormat="1" x14ac:dyDescent="0.25">
      <c r="W398" s="37"/>
      <c r="X398" s="52"/>
      <c r="Y398" s="52"/>
      <c r="Z398" s="37"/>
      <c r="AA398" s="18"/>
      <c r="AB398" s="18"/>
      <c r="AC398" s="18"/>
    </row>
    <row r="399" spans="23:29" customFormat="1" x14ac:dyDescent="0.25">
      <c r="W399" s="37"/>
      <c r="X399" s="52"/>
      <c r="Y399" s="52"/>
      <c r="Z399" s="37"/>
      <c r="AA399" s="18"/>
      <c r="AB399" s="18"/>
      <c r="AC399" s="18"/>
    </row>
    <row r="400" spans="23:29" customFormat="1" x14ac:dyDescent="0.25">
      <c r="W400" s="37"/>
      <c r="X400" s="52"/>
      <c r="Y400" s="52"/>
      <c r="Z400" s="37"/>
      <c r="AA400" s="18"/>
      <c r="AB400" s="18"/>
      <c r="AC400" s="18"/>
    </row>
    <row r="401" spans="23:29" customFormat="1" x14ac:dyDescent="0.25">
      <c r="W401" s="37"/>
      <c r="X401" s="52"/>
      <c r="Y401" s="52"/>
      <c r="Z401" s="37"/>
      <c r="AA401" s="18"/>
      <c r="AB401" s="18"/>
      <c r="AC401" s="18"/>
    </row>
    <row r="402" spans="23:29" customFormat="1" x14ac:dyDescent="0.25">
      <c r="W402" s="37"/>
      <c r="X402" s="52"/>
      <c r="Y402" s="52"/>
      <c r="Z402" s="37"/>
      <c r="AA402" s="18"/>
      <c r="AB402" s="18"/>
      <c r="AC402" s="18"/>
    </row>
    <row r="403" spans="23:29" customFormat="1" x14ac:dyDescent="0.25">
      <c r="W403" s="37"/>
      <c r="X403" s="52"/>
      <c r="Y403" s="52"/>
      <c r="Z403" s="37"/>
      <c r="AA403" s="18"/>
      <c r="AB403" s="18"/>
      <c r="AC403" s="18"/>
    </row>
    <row r="404" spans="23:29" customFormat="1" x14ac:dyDescent="0.25">
      <c r="W404" s="37"/>
      <c r="X404" s="52"/>
      <c r="Y404" s="52"/>
      <c r="Z404" s="37"/>
      <c r="AA404" s="18"/>
      <c r="AB404" s="18"/>
      <c r="AC404" s="18"/>
    </row>
    <row r="405" spans="23:29" customFormat="1" x14ac:dyDescent="0.25">
      <c r="W405" s="37"/>
      <c r="X405" s="52"/>
      <c r="Y405" s="52"/>
      <c r="Z405" s="37"/>
      <c r="AA405" s="18"/>
      <c r="AB405" s="18"/>
      <c r="AC405" s="18"/>
    </row>
    <row r="406" spans="23:29" customFormat="1" x14ac:dyDescent="0.25">
      <c r="W406" s="37"/>
      <c r="X406" s="52"/>
      <c r="Y406" s="52"/>
      <c r="Z406" s="37"/>
      <c r="AA406" s="18"/>
      <c r="AB406" s="18"/>
      <c r="AC406" s="18"/>
    </row>
    <row r="407" spans="23:29" customFormat="1" x14ac:dyDescent="0.25">
      <c r="W407" s="37"/>
      <c r="X407" s="52"/>
      <c r="Y407" s="52"/>
      <c r="Z407" s="37"/>
      <c r="AA407" s="18"/>
      <c r="AB407" s="18"/>
      <c r="AC407" s="18"/>
    </row>
    <row r="408" spans="23:29" customFormat="1" x14ac:dyDescent="0.25">
      <c r="W408" s="37"/>
      <c r="X408" s="52"/>
      <c r="Y408" s="52"/>
      <c r="Z408" s="37"/>
      <c r="AA408" s="18"/>
      <c r="AB408" s="18"/>
      <c r="AC408" s="18"/>
    </row>
    <row r="409" spans="23:29" customFormat="1" x14ac:dyDescent="0.25">
      <c r="W409" s="37"/>
      <c r="X409" s="52"/>
      <c r="Y409" s="52"/>
      <c r="Z409" s="37"/>
      <c r="AA409" s="18"/>
      <c r="AB409" s="18"/>
      <c r="AC409" s="18"/>
    </row>
    <row r="410" spans="23:29" customFormat="1" x14ac:dyDescent="0.25">
      <c r="W410" s="37"/>
      <c r="X410" s="52"/>
      <c r="Y410" s="52"/>
      <c r="Z410" s="37"/>
      <c r="AA410" s="18"/>
      <c r="AB410" s="18"/>
      <c r="AC410" s="18"/>
    </row>
    <row r="411" spans="23:29" customFormat="1" x14ac:dyDescent="0.25">
      <c r="W411" s="37"/>
      <c r="X411" s="52"/>
      <c r="Y411" s="52"/>
      <c r="Z411" s="37"/>
      <c r="AA411" s="18"/>
      <c r="AB411" s="18"/>
      <c r="AC411" s="18"/>
    </row>
    <row r="412" spans="23:29" customFormat="1" x14ac:dyDescent="0.25">
      <c r="W412" s="37"/>
      <c r="X412" s="52"/>
      <c r="Y412" s="52"/>
      <c r="Z412" s="37"/>
      <c r="AA412" s="18"/>
      <c r="AB412" s="18"/>
      <c r="AC412" s="18"/>
    </row>
    <row r="413" spans="23:29" customFormat="1" x14ac:dyDescent="0.25">
      <c r="W413" s="37"/>
      <c r="X413" s="52"/>
      <c r="Y413" s="52"/>
      <c r="Z413" s="37"/>
      <c r="AA413" s="18"/>
      <c r="AB413" s="18"/>
      <c r="AC413" s="18"/>
    </row>
    <row r="414" spans="23:29" customFormat="1" x14ac:dyDescent="0.25">
      <c r="W414" s="37"/>
      <c r="X414" s="52"/>
      <c r="Y414" s="52"/>
      <c r="Z414" s="37"/>
      <c r="AA414" s="18"/>
      <c r="AB414" s="18"/>
      <c r="AC414" s="18"/>
    </row>
    <row r="415" spans="23:29" customFormat="1" x14ac:dyDescent="0.25">
      <c r="W415" s="37"/>
      <c r="X415" s="52"/>
      <c r="Y415" s="52"/>
      <c r="Z415" s="37"/>
      <c r="AA415" s="18"/>
      <c r="AB415" s="18"/>
      <c r="AC415" s="18"/>
    </row>
    <row r="416" spans="23:29" customFormat="1" x14ac:dyDescent="0.25">
      <c r="W416" s="37"/>
      <c r="X416" s="52"/>
      <c r="Y416" s="52"/>
      <c r="Z416" s="37"/>
      <c r="AA416" s="18"/>
      <c r="AB416" s="18"/>
      <c r="AC416" s="18"/>
    </row>
    <row r="417" spans="23:29" customFormat="1" x14ac:dyDescent="0.25">
      <c r="W417" s="37"/>
      <c r="X417" s="52"/>
      <c r="Y417" s="52"/>
      <c r="Z417" s="37"/>
      <c r="AA417" s="18"/>
      <c r="AB417" s="18"/>
      <c r="AC417" s="18"/>
    </row>
    <row r="418" spans="23:29" customFormat="1" x14ac:dyDescent="0.25">
      <c r="W418" s="37"/>
      <c r="X418" s="52"/>
      <c r="Y418" s="52"/>
      <c r="Z418" s="37"/>
      <c r="AA418" s="18"/>
      <c r="AB418" s="18"/>
      <c r="AC418" s="18"/>
    </row>
    <row r="419" spans="23:29" customFormat="1" x14ac:dyDescent="0.25">
      <c r="W419" s="37"/>
      <c r="X419" s="52"/>
      <c r="Y419" s="52"/>
      <c r="Z419" s="37"/>
      <c r="AA419" s="18"/>
      <c r="AB419" s="18"/>
      <c r="AC419" s="18"/>
    </row>
    <row r="420" spans="23:29" customFormat="1" x14ac:dyDescent="0.25">
      <c r="W420" s="37"/>
      <c r="X420" s="52"/>
      <c r="Y420" s="52"/>
      <c r="Z420" s="37"/>
      <c r="AA420" s="18"/>
      <c r="AB420" s="18"/>
      <c r="AC420" s="18"/>
    </row>
    <row r="421" spans="23:29" customFormat="1" x14ac:dyDescent="0.25">
      <c r="W421" s="37"/>
      <c r="X421" s="52"/>
      <c r="Y421" s="52"/>
      <c r="Z421" s="37"/>
      <c r="AA421" s="18"/>
      <c r="AB421" s="18"/>
      <c r="AC421" s="18"/>
    </row>
    <row r="422" spans="23:29" customFormat="1" x14ac:dyDescent="0.25">
      <c r="W422" s="37"/>
      <c r="X422" s="52"/>
      <c r="Y422" s="52"/>
      <c r="Z422" s="37"/>
      <c r="AA422" s="18"/>
      <c r="AB422" s="18"/>
      <c r="AC422" s="18"/>
    </row>
    <row r="423" spans="23:29" customFormat="1" x14ac:dyDescent="0.25">
      <c r="W423" s="37"/>
      <c r="X423" s="52"/>
      <c r="Y423" s="52"/>
      <c r="Z423" s="37"/>
      <c r="AA423" s="18"/>
      <c r="AB423" s="18"/>
      <c r="AC423" s="18"/>
    </row>
    <row r="424" spans="23:29" customFormat="1" x14ac:dyDescent="0.25">
      <c r="W424" s="37"/>
      <c r="X424" s="52"/>
      <c r="Y424" s="52"/>
      <c r="Z424" s="37"/>
      <c r="AA424" s="18"/>
      <c r="AB424" s="18"/>
      <c r="AC424" s="18"/>
    </row>
    <row r="425" spans="23:29" customFormat="1" x14ac:dyDescent="0.25">
      <c r="W425" s="37"/>
      <c r="X425" s="52"/>
      <c r="Y425" s="52"/>
      <c r="Z425" s="37"/>
      <c r="AA425" s="18"/>
      <c r="AB425" s="18"/>
      <c r="AC425" s="18"/>
    </row>
    <row r="426" spans="23:29" customFormat="1" x14ac:dyDescent="0.25">
      <c r="W426" s="37"/>
      <c r="X426" s="52"/>
      <c r="Y426" s="52"/>
      <c r="Z426" s="37"/>
      <c r="AA426" s="18"/>
      <c r="AB426" s="18"/>
      <c r="AC426" s="18"/>
    </row>
    <row r="427" spans="23:29" customFormat="1" x14ac:dyDescent="0.25">
      <c r="W427" s="37"/>
      <c r="X427" s="52"/>
      <c r="Y427" s="52"/>
      <c r="Z427" s="37"/>
      <c r="AA427" s="18"/>
      <c r="AB427" s="18"/>
      <c r="AC427" s="18"/>
    </row>
    <row r="428" spans="23:29" customFormat="1" x14ac:dyDescent="0.25">
      <c r="W428" s="37"/>
      <c r="X428" s="52"/>
      <c r="Y428" s="52"/>
      <c r="Z428" s="37"/>
      <c r="AA428" s="18"/>
      <c r="AB428" s="18"/>
      <c r="AC428" s="18"/>
    </row>
    <row r="429" spans="23:29" customFormat="1" x14ac:dyDescent="0.25">
      <c r="W429" s="37"/>
      <c r="X429" s="52"/>
      <c r="Y429" s="52"/>
      <c r="Z429" s="37"/>
      <c r="AA429" s="18"/>
      <c r="AB429" s="18"/>
      <c r="AC429" s="18"/>
    </row>
    <row r="430" spans="23:29" customFormat="1" x14ac:dyDescent="0.25">
      <c r="W430" s="37"/>
      <c r="X430" s="52"/>
      <c r="Y430" s="52"/>
      <c r="Z430" s="37"/>
      <c r="AA430" s="18"/>
      <c r="AB430" s="18"/>
      <c r="AC430" s="18"/>
    </row>
    <row r="431" spans="23:29" customFormat="1" x14ac:dyDescent="0.25">
      <c r="W431" s="37"/>
      <c r="X431" s="52"/>
      <c r="Y431" s="52"/>
      <c r="Z431" s="37"/>
      <c r="AA431" s="18"/>
      <c r="AB431" s="18"/>
      <c r="AC431" s="18"/>
    </row>
    <row r="432" spans="23:29" customFormat="1" x14ac:dyDescent="0.25">
      <c r="W432" s="37"/>
      <c r="X432" s="52"/>
      <c r="Y432" s="52"/>
      <c r="Z432" s="37"/>
      <c r="AA432" s="18"/>
      <c r="AB432" s="18"/>
      <c r="AC432" s="18"/>
    </row>
    <row r="433" spans="23:29" customFormat="1" x14ac:dyDescent="0.25">
      <c r="W433" s="37"/>
      <c r="X433" s="52"/>
      <c r="Y433" s="52"/>
      <c r="Z433" s="37"/>
      <c r="AA433" s="18"/>
      <c r="AB433" s="18"/>
      <c r="AC433" s="18"/>
    </row>
    <row r="434" spans="23:29" customFormat="1" x14ac:dyDescent="0.25">
      <c r="W434" s="37"/>
      <c r="X434" s="52"/>
      <c r="Y434" s="52"/>
      <c r="Z434" s="37"/>
      <c r="AA434" s="18"/>
      <c r="AB434" s="18"/>
      <c r="AC434" s="18"/>
    </row>
    <row r="435" spans="23:29" customFormat="1" x14ac:dyDescent="0.25">
      <c r="W435" s="37"/>
      <c r="X435" s="52"/>
      <c r="Y435" s="52"/>
      <c r="Z435" s="37"/>
      <c r="AA435" s="18"/>
      <c r="AB435" s="18"/>
      <c r="AC435" s="18"/>
    </row>
    <row r="436" spans="23:29" customFormat="1" x14ac:dyDescent="0.25">
      <c r="W436" s="37"/>
      <c r="X436" s="52"/>
      <c r="Y436" s="52"/>
      <c r="Z436" s="37"/>
      <c r="AA436" s="18"/>
      <c r="AB436" s="18"/>
      <c r="AC436" s="18"/>
    </row>
    <row r="437" spans="23:29" customFormat="1" x14ac:dyDescent="0.25">
      <c r="W437" s="37"/>
      <c r="X437" s="52"/>
      <c r="Y437" s="52"/>
      <c r="Z437" s="37"/>
      <c r="AA437" s="18"/>
      <c r="AB437" s="18"/>
      <c r="AC437" s="18"/>
    </row>
    <row r="438" spans="23:29" customFormat="1" x14ac:dyDescent="0.25">
      <c r="W438" s="37"/>
      <c r="X438" s="52"/>
      <c r="Y438" s="52"/>
      <c r="Z438" s="37"/>
      <c r="AA438" s="18"/>
      <c r="AB438" s="18"/>
      <c r="AC438" s="18"/>
    </row>
    <row r="439" spans="23:29" customFormat="1" x14ac:dyDescent="0.25">
      <c r="W439" s="37"/>
      <c r="X439" s="52"/>
      <c r="Y439" s="52"/>
      <c r="Z439" s="37"/>
      <c r="AA439" s="18"/>
      <c r="AB439" s="18"/>
      <c r="AC439" s="18"/>
    </row>
    <row r="440" spans="23:29" customFormat="1" x14ac:dyDescent="0.25">
      <c r="W440" s="37"/>
      <c r="X440" s="52"/>
      <c r="Y440" s="52"/>
      <c r="Z440" s="37"/>
      <c r="AA440" s="18"/>
      <c r="AB440" s="18"/>
      <c r="AC440" s="18"/>
    </row>
    <row r="441" spans="23:29" customFormat="1" x14ac:dyDescent="0.25">
      <c r="W441" s="37"/>
      <c r="X441" s="52"/>
      <c r="Y441" s="52"/>
      <c r="Z441" s="37"/>
      <c r="AA441" s="18"/>
      <c r="AB441" s="18"/>
      <c r="AC441" s="18"/>
    </row>
    <row r="442" spans="23:29" customFormat="1" x14ac:dyDescent="0.25">
      <c r="W442" s="37"/>
      <c r="X442" s="52"/>
      <c r="Y442" s="52"/>
      <c r="Z442" s="37"/>
      <c r="AA442" s="18"/>
      <c r="AB442" s="18"/>
      <c r="AC442" s="18"/>
    </row>
    <row r="443" spans="23:29" customFormat="1" x14ac:dyDescent="0.25">
      <c r="W443" s="37"/>
      <c r="X443" s="52"/>
      <c r="Y443" s="52"/>
      <c r="Z443" s="37"/>
      <c r="AA443" s="18"/>
      <c r="AB443" s="18"/>
      <c r="AC443" s="18"/>
    </row>
    <row r="444" spans="23:29" customFormat="1" x14ac:dyDescent="0.25">
      <c r="W444" s="37"/>
      <c r="X444" s="52"/>
      <c r="Y444" s="52"/>
      <c r="Z444" s="37"/>
      <c r="AA444" s="18"/>
      <c r="AB444" s="18"/>
      <c r="AC444" s="18"/>
    </row>
    <row r="445" spans="23:29" customFormat="1" x14ac:dyDescent="0.25">
      <c r="W445" s="37"/>
      <c r="X445" s="52"/>
      <c r="Y445" s="52"/>
      <c r="Z445" s="37"/>
      <c r="AA445" s="18"/>
      <c r="AB445" s="18"/>
      <c r="AC445" s="18"/>
    </row>
    <row r="446" spans="23:29" customFormat="1" x14ac:dyDescent="0.25">
      <c r="W446" s="37"/>
      <c r="X446" s="52"/>
      <c r="Y446" s="52"/>
      <c r="Z446" s="37"/>
      <c r="AA446" s="18"/>
      <c r="AB446" s="18"/>
      <c r="AC446" s="18"/>
    </row>
    <row r="447" spans="23:29" customFormat="1" x14ac:dyDescent="0.25">
      <c r="W447" s="37"/>
      <c r="X447" s="52"/>
      <c r="Y447" s="52"/>
      <c r="Z447" s="37"/>
      <c r="AA447" s="18"/>
      <c r="AB447" s="18"/>
      <c r="AC447" s="18"/>
    </row>
    <row r="448" spans="23:29" customFormat="1" x14ac:dyDescent="0.25">
      <c r="W448" s="37"/>
      <c r="X448" s="52"/>
      <c r="Y448" s="52"/>
      <c r="Z448" s="37"/>
      <c r="AA448" s="18"/>
      <c r="AB448" s="18"/>
      <c r="AC448" s="18"/>
    </row>
    <row r="449" spans="23:29" customFormat="1" x14ac:dyDescent="0.25">
      <c r="W449" s="37"/>
      <c r="X449" s="52"/>
      <c r="Y449" s="52"/>
      <c r="Z449" s="37"/>
      <c r="AA449" s="18"/>
      <c r="AB449" s="18"/>
      <c r="AC449" s="18"/>
    </row>
    <row r="450" spans="23:29" customFormat="1" x14ac:dyDescent="0.25">
      <c r="W450" s="37"/>
      <c r="X450" s="52"/>
      <c r="Y450" s="52"/>
      <c r="Z450" s="37"/>
      <c r="AA450" s="18"/>
      <c r="AB450" s="18"/>
      <c r="AC450" s="18"/>
    </row>
    <row r="451" spans="23:29" customFormat="1" x14ac:dyDescent="0.25">
      <c r="W451" s="37"/>
      <c r="X451" s="52"/>
      <c r="Y451" s="52"/>
      <c r="Z451" s="37"/>
      <c r="AA451" s="18"/>
      <c r="AB451" s="18"/>
      <c r="AC451" s="18"/>
    </row>
    <row r="452" spans="23:29" customFormat="1" x14ac:dyDescent="0.25">
      <c r="W452" s="37"/>
      <c r="X452" s="52"/>
      <c r="Y452" s="52"/>
      <c r="Z452" s="37"/>
      <c r="AA452" s="18"/>
      <c r="AB452" s="18"/>
      <c r="AC452" s="18"/>
    </row>
    <row r="453" spans="23:29" customFormat="1" x14ac:dyDescent="0.25">
      <c r="W453" s="37"/>
      <c r="X453" s="52"/>
      <c r="Y453" s="52"/>
      <c r="Z453" s="37"/>
      <c r="AA453" s="18"/>
      <c r="AB453" s="18"/>
      <c r="AC453" s="18"/>
    </row>
    <row r="454" spans="23:29" customFormat="1" x14ac:dyDescent="0.25">
      <c r="W454" s="37"/>
      <c r="X454" s="52"/>
      <c r="Y454" s="52"/>
      <c r="Z454" s="37"/>
      <c r="AA454" s="18"/>
      <c r="AB454" s="18"/>
      <c r="AC454" s="18"/>
    </row>
    <row r="455" spans="23:29" customFormat="1" x14ac:dyDescent="0.25">
      <c r="W455" s="37"/>
      <c r="X455" s="52"/>
      <c r="Y455" s="52"/>
      <c r="Z455" s="37"/>
      <c r="AA455" s="18"/>
      <c r="AB455" s="18"/>
      <c r="AC455" s="18"/>
    </row>
    <row r="456" spans="23:29" customFormat="1" x14ac:dyDescent="0.25">
      <c r="W456" s="37"/>
      <c r="X456" s="52"/>
      <c r="Y456" s="52"/>
      <c r="Z456" s="37"/>
      <c r="AA456" s="18"/>
      <c r="AB456" s="18"/>
      <c r="AC456" s="18"/>
    </row>
    <row r="457" spans="23:29" customFormat="1" x14ac:dyDescent="0.25">
      <c r="W457" s="37"/>
      <c r="X457" s="52"/>
      <c r="Y457" s="52"/>
      <c r="Z457" s="37"/>
      <c r="AA457" s="18"/>
      <c r="AB457" s="18"/>
      <c r="AC457" s="18"/>
    </row>
    <row r="458" spans="23:29" customFormat="1" x14ac:dyDescent="0.25">
      <c r="W458" s="37"/>
      <c r="X458" s="52"/>
      <c r="Y458" s="52"/>
      <c r="Z458" s="37"/>
      <c r="AA458" s="18"/>
      <c r="AB458" s="18"/>
      <c r="AC458" s="18"/>
    </row>
    <row r="459" spans="23:29" customFormat="1" x14ac:dyDescent="0.25">
      <c r="W459" s="37"/>
      <c r="X459" s="52"/>
      <c r="Y459" s="52"/>
      <c r="Z459" s="37"/>
      <c r="AA459" s="18"/>
      <c r="AB459" s="18"/>
      <c r="AC459" s="18"/>
    </row>
    <row r="460" spans="23:29" customFormat="1" x14ac:dyDescent="0.25">
      <c r="W460" s="37"/>
      <c r="X460" s="52"/>
      <c r="Y460" s="52"/>
      <c r="Z460" s="37"/>
      <c r="AA460" s="18"/>
      <c r="AB460" s="18"/>
      <c r="AC460" s="18"/>
    </row>
    <row r="461" spans="23:29" customFormat="1" x14ac:dyDescent="0.25">
      <c r="W461" s="37"/>
      <c r="X461" s="52"/>
      <c r="Y461" s="52"/>
      <c r="Z461" s="37"/>
      <c r="AA461" s="18"/>
      <c r="AB461" s="18"/>
      <c r="AC461" s="18"/>
    </row>
    <row r="462" spans="23:29" customFormat="1" x14ac:dyDescent="0.25">
      <c r="W462" s="37"/>
      <c r="X462" s="52"/>
      <c r="Y462" s="52"/>
      <c r="Z462" s="37"/>
      <c r="AA462" s="18"/>
      <c r="AB462" s="18"/>
      <c r="AC462" s="18"/>
    </row>
    <row r="463" spans="23:29" customFormat="1" x14ac:dyDescent="0.25">
      <c r="W463" s="37"/>
      <c r="X463" s="52"/>
      <c r="Y463" s="52"/>
      <c r="Z463" s="37"/>
      <c r="AA463" s="18"/>
      <c r="AB463" s="18"/>
      <c r="AC463" s="18"/>
    </row>
    <row r="464" spans="23:29" customFormat="1" x14ac:dyDescent="0.25">
      <c r="W464" s="37"/>
      <c r="X464" s="52"/>
      <c r="Y464" s="52"/>
      <c r="Z464" s="37"/>
      <c r="AA464" s="18"/>
      <c r="AB464" s="18"/>
      <c r="AC464" s="18"/>
    </row>
    <row r="465" spans="23:29" customFormat="1" x14ac:dyDescent="0.25">
      <c r="W465" s="37"/>
      <c r="X465" s="52"/>
      <c r="Y465" s="52"/>
      <c r="Z465" s="37"/>
      <c r="AA465" s="18"/>
      <c r="AB465" s="18"/>
      <c r="AC465" s="18"/>
    </row>
    <row r="466" spans="23:29" customFormat="1" x14ac:dyDescent="0.25">
      <c r="W466" s="37"/>
      <c r="X466" s="52"/>
      <c r="Y466" s="52"/>
      <c r="Z466" s="37"/>
      <c r="AA466" s="18"/>
      <c r="AB466" s="18"/>
      <c r="AC466" s="18"/>
    </row>
    <row r="467" spans="23:29" customFormat="1" x14ac:dyDescent="0.25">
      <c r="W467" s="37"/>
      <c r="X467" s="52"/>
      <c r="Y467" s="52"/>
      <c r="Z467" s="37"/>
      <c r="AA467" s="18"/>
      <c r="AB467" s="18"/>
      <c r="AC467" s="18"/>
    </row>
    <row r="468" spans="23:29" customFormat="1" x14ac:dyDescent="0.25">
      <c r="W468" s="37"/>
      <c r="X468" s="52"/>
      <c r="Y468" s="52"/>
      <c r="Z468" s="37"/>
      <c r="AA468" s="18"/>
      <c r="AB468" s="18"/>
      <c r="AC468" s="18"/>
    </row>
    <row r="469" spans="23:29" customFormat="1" x14ac:dyDescent="0.25">
      <c r="W469" s="37"/>
      <c r="X469" s="52"/>
      <c r="Y469" s="52"/>
      <c r="Z469" s="37"/>
      <c r="AA469" s="18"/>
      <c r="AB469" s="18"/>
      <c r="AC469" s="18"/>
    </row>
    <row r="470" spans="23:29" customFormat="1" x14ac:dyDescent="0.25">
      <c r="W470" s="37"/>
      <c r="X470" s="52"/>
      <c r="Y470" s="52"/>
      <c r="Z470" s="37"/>
      <c r="AA470" s="18"/>
      <c r="AB470" s="18"/>
      <c r="AC470" s="18"/>
    </row>
    <row r="471" spans="23:29" customFormat="1" x14ac:dyDescent="0.25">
      <c r="W471" s="37"/>
      <c r="X471" s="52"/>
      <c r="Y471" s="52"/>
      <c r="Z471" s="37"/>
      <c r="AA471" s="18"/>
      <c r="AB471" s="18"/>
      <c r="AC471" s="18"/>
    </row>
    <row r="472" spans="23:29" customFormat="1" x14ac:dyDescent="0.25">
      <c r="W472" s="37"/>
      <c r="X472" s="52"/>
      <c r="Y472" s="52"/>
      <c r="Z472" s="37"/>
      <c r="AA472" s="18"/>
      <c r="AB472" s="18"/>
      <c r="AC472" s="18"/>
    </row>
    <row r="473" spans="23:29" customFormat="1" x14ac:dyDescent="0.25">
      <c r="W473" s="37"/>
      <c r="X473" s="52"/>
      <c r="Y473" s="52"/>
      <c r="Z473" s="37"/>
      <c r="AA473" s="18"/>
      <c r="AB473" s="18"/>
      <c r="AC473" s="18"/>
    </row>
    <row r="474" spans="23:29" customFormat="1" x14ac:dyDescent="0.25">
      <c r="W474" s="37"/>
      <c r="X474" s="52"/>
      <c r="Y474" s="52"/>
      <c r="Z474" s="37"/>
      <c r="AA474" s="18"/>
      <c r="AB474" s="18"/>
      <c r="AC474" s="18"/>
    </row>
    <row r="475" spans="23:29" customFormat="1" x14ac:dyDescent="0.25">
      <c r="W475" s="37"/>
      <c r="X475" s="52"/>
      <c r="Y475" s="52"/>
      <c r="Z475" s="37"/>
      <c r="AA475" s="18"/>
      <c r="AB475" s="18"/>
      <c r="AC475" s="18"/>
    </row>
    <row r="476" spans="23:29" customFormat="1" x14ac:dyDescent="0.25">
      <c r="W476" s="37"/>
      <c r="X476" s="52"/>
      <c r="Y476" s="52"/>
      <c r="Z476" s="37"/>
      <c r="AA476" s="18"/>
      <c r="AB476" s="18"/>
      <c r="AC476" s="18"/>
    </row>
    <row r="477" spans="23:29" customFormat="1" x14ac:dyDescent="0.25">
      <c r="W477" s="37"/>
      <c r="X477" s="52"/>
      <c r="Y477" s="52"/>
      <c r="Z477" s="37"/>
      <c r="AA477" s="18"/>
      <c r="AB477" s="18"/>
      <c r="AC477" s="18"/>
    </row>
    <row r="478" spans="23:29" customFormat="1" x14ac:dyDescent="0.25">
      <c r="W478" s="37"/>
      <c r="X478" s="52"/>
      <c r="Y478" s="52"/>
      <c r="Z478" s="37"/>
      <c r="AA478" s="18"/>
      <c r="AB478" s="18"/>
      <c r="AC478" s="18"/>
    </row>
    <row r="479" spans="23:29" customFormat="1" x14ac:dyDescent="0.25">
      <c r="W479" s="37"/>
      <c r="X479" s="52"/>
      <c r="Y479" s="52"/>
      <c r="Z479" s="37"/>
      <c r="AA479" s="18"/>
      <c r="AB479" s="18"/>
      <c r="AC479" s="18"/>
    </row>
    <row r="480" spans="23:29" customFormat="1" x14ac:dyDescent="0.25">
      <c r="W480" s="37"/>
      <c r="X480" s="52"/>
      <c r="Y480" s="52"/>
      <c r="Z480" s="37"/>
      <c r="AA480" s="18"/>
      <c r="AB480" s="18"/>
      <c r="AC480" s="18"/>
    </row>
    <row r="481" spans="23:29" customFormat="1" x14ac:dyDescent="0.25">
      <c r="W481" s="37"/>
      <c r="X481" s="52"/>
      <c r="Y481" s="52"/>
      <c r="Z481" s="37"/>
      <c r="AA481" s="18"/>
      <c r="AB481" s="18"/>
      <c r="AC481" s="18"/>
    </row>
    <row r="482" spans="23:29" customFormat="1" x14ac:dyDescent="0.25">
      <c r="W482" s="37"/>
      <c r="X482" s="52"/>
      <c r="Y482" s="52"/>
      <c r="Z482" s="37"/>
      <c r="AA482" s="18"/>
      <c r="AB482" s="18"/>
      <c r="AC482" s="18"/>
    </row>
    <row r="483" spans="23:29" customFormat="1" x14ac:dyDescent="0.25">
      <c r="W483" s="37"/>
      <c r="X483" s="52"/>
      <c r="Y483" s="52"/>
      <c r="Z483" s="37"/>
      <c r="AA483" s="18"/>
      <c r="AB483" s="18"/>
      <c r="AC483" s="18"/>
    </row>
    <row r="484" spans="23:29" customFormat="1" x14ac:dyDescent="0.25">
      <c r="W484" s="37"/>
      <c r="X484" s="52"/>
      <c r="Y484" s="52"/>
      <c r="Z484" s="37"/>
      <c r="AA484" s="18"/>
      <c r="AB484" s="18"/>
      <c r="AC484" s="18"/>
    </row>
    <row r="485" spans="23:29" customFormat="1" x14ac:dyDescent="0.25">
      <c r="W485" s="37"/>
      <c r="X485" s="52"/>
      <c r="Y485" s="52"/>
      <c r="Z485" s="37"/>
      <c r="AA485" s="18"/>
      <c r="AB485" s="18"/>
      <c r="AC485" s="18"/>
    </row>
    <row r="486" spans="23:29" customFormat="1" x14ac:dyDescent="0.25">
      <c r="W486" s="37"/>
      <c r="X486" s="52"/>
      <c r="Y486" s="52"/>
      <c r="Z486" s="37"/>
      <c r="AA486" s="18"/>
      <c r="AB486" s="18"/>
      <c r="AC486" s="18"/>
    </row>
    <row r="487" spans="23:29" customFormat="1" x14ac:dyDescent="0.25">
      <c r="W487" s="37"/>
      <c r="X487" s="52"/>
      <c r="Y487" s="52"/>
      <c r="Z487" s="37"/>
      <c r="AA487" s="18"/>
      <c r="AB487" s="18"/>
      <c r="AC487" s="18"/>
    </row>
    <row r="488" spans="23:29" customFormat="1" x14ac:dyDescent="0.25">
      <c r="W488" s="37"/>
      <c r="X488" s="52"/>
      <c r="Y488" s="52"/>
      <c r="Z488" s="37"/>
      <c r="AA488" s="18"/>
      <c r="AB488" s="18"/>
      <c r="AC488" s="18"/>
    </row>
    <row r="489" spans="23:29" customFormat="1" x14ac:dyDescent="0.25">
      <c r="W489" s="37"/>
      <c r="X489" s="52"/>
      <c r="Y489" s="52"/>
      <c r="Z489" s="37"/>
      <c r="AA489" s="18"/>
      <c r="AB489" s="18"/>
      <c r="AC489" s="18"/>
    </row>
    <row r="490" spans="23:29" customFormat="1" x14ac:dyDescent="0.25">
      <c r="W490" s="37"/>
      <c r="X490" s="52"/>
      <c r="Y490" s="52"/>
      <c r="Z490" s="37"/>
      <c r="AA490" s="18"/>
      <c r="AB490" s="18"/>
      <c r="AC490" s="18"/>
    </row>
    <row r="491" spans="23:29" customFormat="1" x14ac:dyDescent="0.25">
      <c r="W491" s="37"/>
      <c r="X491" s="52"/>
      <c r="Y491" s="52"/>
      <c r="Z491" s="37"/>
      <c r="AA491" s="18"/>
      <c r="AB491" s="18"/>
      <c r="AC491" s="18"/>
    </row>
    <row r="492" spans="23:29" customFormat="1" x14ac:dyDescent="0.25">
      <c r="W492" s="37"/>
      <c r="X492" s="52"/>
      <c r="Y492" s="52"/>
      <c r="Z492" s="37"/>
      <c r="AA492" s="18"/>
      <c r="AB492" s="18"/>
      <c r="AC492" s="18"/>
    </row>
    <row r="493" spans="23:29" customFormat="1" x14ac:dyDescent="0.25">
      <c r="W493" s="37"/>
      <c r="X493" s="52"/>
      <c r="Y493" s="52"/>
      <c r="Z493" s="37"/>
      <c r="AA493" s="18"/>
      <c r="AB493" s="18"/>
      <c r="AC493" s="18"/>
    </row>
    <row r="494" spans="23:29" customFormat="1" x14ac:dyDescent="0.25">
      <c r="W494" s="37"/>
      <c r="X494" s="52"/>
      <c r="Y494" s="52"/>
      <c r="Z494" s="37"/>
      <c r="AA494" s="18"/>
      <c r="AB494" s="18"/>
      <c r="AC494" s="18"/>
    </row>
    <row r="495" spans="23:29" customFormat="1" x14ac:dyDescent="0.25">
      <c r="W495" s="37"/>
      <c r="X495" s="52"/>
      <c r="Y495" s="52"/>
      <c r="Z495" s="37"/>
      <c r="AA495" s="18"/>
      <c r="AB495" s="18"/>
      <c r="AC495" s="18"/>
    </row>
    <row r="496" spans="23:29" customFormat="1" x14ac:dyDescent="0.25">
      <c r="W496" s="37"/>
      <c r="X496" s="52"/>
      <c r="Y496" s="52"/>
      <c r="Z496" s="37"/>
      <c r="AA496" s="18"/>
      <c r="AB496" s="18"/>
      <c r="AC496" s="18"/>
    </row>
    <row r="497" spans="23:29" customFormat="1" x14ac:dyDescent="0.25">
      <c r="W497" s="37"/>
      <c r="X497" s="52"/>
      <c r="Y497" s="52"/>
      <c r="Z497" s="37"/>
      <c r="AA497" s="18"/>
      <c r="AB497" s="18"/>
      <c r="AC497" s="18"/>
    </row>
    <row r="498" spans="23:29" customFormat="1" x14ac:dyDescent="0.25">
      <c r="W498" s="37"/>
      <c r="X498" s="52"/>
      <c r="Y498" s="52"/>
      <c r="Z498" s="37"/>
      <c r="AA498" s="18"/>
      <c r="AB498" s="18"/>
      <c r="AC498" s="18"/>
    </row>
    <row r="499" spans="23:29" customFormat="1" x14ac:dyDescent="0.25">
      <c r="W499" s="37"/>
      <c r="X499" s="52"/>
      <c r="Y499" s="52"/>
      <c r="Z499" s="37"/>
      <c r="AA499" s="18"/>
      <c r="AB499" s="18"/>
      <c r="AC499" s="18"/>
    </row>
    <row r="500" spans="23:29" customFormat="1" x14ac:dyDescent="0.25">
      <c r="W500" s="37"/>
      <c r="X500" s="52"/>
      <c r="Y500" s="52"/>
      <c r="Z500" s="37"/>
      <c r="AA500" s="18"/>
      <c r="AB500" s="18"/>
      <c r="AC500" s="18"/>
    </row>
    <row r="501" spans="23:29" customFormat="1" x14ac:dyDescent="0.25">
      <c r="W501" s="37"/>
      <c r="X501" s="52"/>
      <c r="Y501" s="52"/>
      <c r="Z501" s="37"/>
      <c r="AA501" s="18"/>
      <c r="AB501" s="18"/>
      <c r="AC501" s="18"/>
    </row>
    <row r="502" spans="23:29" customFormat="1" x14ac:dyDescent="0.25">
      <c r="W502" s="37"/>
      <c r="X502" s="52"/>
      <c r="Y502" s="52"/>
      <c r="Z502" s="37"/>
      <c r="AA502" s="18"/>
      <c r="AB502" s="18"/>
      <c r="AC502" s="18"/>
    </row>
    <row r="503" spans="23:29" customFormat="1" x14ac:dyDescent="0.25">
      <c r="W503" s="37"/>
      <c r="X503" s="52"/>
      <c r="Y503" s="52"/>
      <c r="Z503" s="37"/>
      <c r="AA503" s="18"/>
      <c r="AB503" s="18"/>
      <c r="AC503" s="18"/>
    </row>
    <row r="504" spans="23:29" customFormat="1" x14ac:dyDescent="0.25">
      <c r="W504" s="37"/>
      <c r="X504" s="52"/>
      <c r="Y504" s="52"/>
      <c r="Z504" s="37"/>
      <c r="AA504" s="18"/>
      <c r="AB504" s="18"/>
      <c r="AC504" s="18"/>
    </row>
    <row r="505" spans="23:29" customFormat="1" x14ac:dyDescent="0.25">
      <c r="W505" s="37"/>
      <c r="X505" s="52"/>
      <c r="Y505" s="52"/>
      <c r="Z505" s="37"/>
      <c r="AA505" s="18"/>
      <c r="AB505" s="18"/>
      <c r="AC505" s="18"/>
    </row>
    <row r="506" spans="23:29" customFormat="1" x14ac:dyDescent="0.25">
      <c r="W506" s="37"/>
      <c r="X506" s="52"/>
      <c r="Y506" s="52"/>
      <c r="Z506" s="37"/>
      <c r="AA506" s="18"/>
      <c r="AB506" s="18"/>
      <c r="AC506" s="18"/>
    </row>
    <row r="507" spans="23:29" customFormat="1" x14ac:dyDescent="0.25">
      <c r="W507" s="37"/>
      <c r="X507" s="52"/>
      <c r="Y507" s="52"/>
      <c r="Z507" s="37"/>
      <c r="AA507" s="18"/>
      <c r="AB507" s="18"/>
      <c r="AC507" s="18"/>
    </row>
    <row r="508" spans="23:29" customFormat="1" x14ac:dyDescent="0.25">
      <c r="W508" s="37"/>
      <c r="X508" s="52"/>
      <c r="Y508" s="52"/>
      <c r="Z508" s="37"/>
      <c r="AA508" s="18"/>
      <c r="AB508" s="18"/>
      <c r="AC508" s="18"/>
    </row>
    <row r="509" spans="23:29" customFormat="1" x14ac:dyDescent="0.25">
      <c r="W509" s="37"/>
      <c r="X509" s="52"/>
      <c r="Y509" s="52"/>
      <c r="Z509" s="37"/>
      <c r="AA509" s="18"/>
      <c r="AB509" s="18"/>
      <c r="AC509" s="18"/>
    </row>
    <row r="510" spans="23:29" customFormat="1" x14ac:dyDescent="0.25">
      <c r="W510" s="37"/>
      <c r="X510" s="52"/>
      <c r="Y510" s="52"/>
      <c r="Z510" s="37"/>
      <c r="AA510" s="18"/>
      <c r="AB510" s="18"/>
      <c r="AC510" s="18"/>
    </row>
    <row r="511" spans="23:29" customFormat="1" x14ac:dyDescent="0.25">
      <c r="W511" s="37"/>
      <c r="X511" s="52"/>
      <c r="Y511" s="52"/>
      <c r="Z511" s="37"/>
      <c r="AA511" s="18"/>
      <c r="AB511" s="18"/>
      <c r="AC511" s="18"/>
    </row>
    <row r="512" spans="23:29" customFormat="1" x14ac:dyDescent="0.25">
      <c r="W512" s="37"/>
      <c r="X512" s="52"/>
      <c r="Y512" s="52"/>
      <c r="Z512" s="37"/>
      <c r="AA512" s="18"/>
      <c r="AB512" s="18"/>
      <c r="AC512" s="18"/>
    </row>
    <row r="513" spans="23:29" customFormat="1" x14ac:dyDescent="0.25">
      <c r="W513" s="37"/>
      <c r="X513" s="52"/>
      <c r="Y513" s="52"/>
      <c r="Z513" s="37"/>
      <c r="AA513" s="18"/>
      <c r="AB513" s="18"/>
      <c r="AC513" s="18"/>
    </row>
    <row r="514" spans="23:29" customFormat="1" x14ac:dyDescent="0.25">
      <c r="W514" s="37"/>
      <c r="X514" s="52"/>
      <c r="Y514" s="52"/>
      <c r="Z514" s="37"/>
      <c r="AA514" s="18"/>
      <c r="AB514" s="18"/>
      <c r="AC514" s="18"/>
    </row>
    <row r="515" spans="23:29" customFormat="1" x14ac:dyDescent="0.25">
      <c r="W515" s="37"/>
      <c r="X515" s="52"/>
      <c r="Y515" s="52"/>
      <c r="Z515" s="37"/>
      <c r="AA515" s="18"/>
      <c r="AB515" s="18"/>
      <c r="AC515" s="18"/>
    </row>
    <row r="516" spans="23:29" customFormat="1" x14ac:dyDescent="0.25">
      <c r="W516" s="37"/>
      <c r="X516" s="52"/>
      <c r="Y516" s="52"/>
      <c r="Z516" s="37"/>
      <c r="AA516" s="18"/>
      <c r="AB516" s="18"/>
      <c r="AC516" s="18"/>
    </row>
    <row r="517" spans="23:29" customFormat="1" x14ac:dyDescent="0.25">
      <c r="W517" s="37"/>
      <c r="X517" s="52"/>
      <c r="Y517" s="52"/>
      <c r="Z517" s="37"/>
      <c r="AA517" s="18"/>
      <c r="AB517" s="18"/>
      <c r="AC517" s="18"/>
    </row>
    <row r="518" spans="23:29" customFormat="1" x14ac:dyDescent="0.25">
      <c r="W518" s="37"/>
      <c r="X518" s="52"/>
      <c r="Y518" s="52"/>
      <c r="Z518" s="37"/>
      <c r="AA518" s="18"/>
      <c r="AB518" s="18"/>
      <c r="AC518" s="18"/>
    </row>
    <row r="519" spans="23:29" customFormat="1" x14ac:dyDescent="0.25">
      <c r="W519" s="37"/>
      <c r="X519" s="52"/>
      <c r="Y519" s="52"/>
      <c r="Z519" s="37"/>
      <c r="AA519" s="18"/>
      <c r="AB519" s="18"/>
      <c r="AC519" s="18"/>
    </row>
    <row r="520" spans="23:29" customFormat="1" x14ac:dyDescent="0.25">
      <c r="W520" s="37"/>
      <c r="X520" s="52"/>
      <c r="Y520" s="52"/>
      <c r="Z520" s="37"/>
      <c r="AA520" s="18"/>
      <c r="AB520" s="18"/>
      <c r="AC520" s="18"/>
    </row>
    <row r="521" spans="23:29" customFormat="1" x14ac:dyDescent="0.25">
      <c r="W521" s="37"/>
      <c r="X521" s="52"/>
      <c r="Y521" s="52"/>
      <c r="Z521" s="37"/>
      <c r="AA521" s="18"/>
      <c r="AB521" s="18"/>
      <c r="AC521" s="18"/>
    </row>
    <row r="522" spans="23:29" customFormat="1" x14ac:dyDescent="0.25">
      <c r="W522" s="37"/>
      <c r="X522" s="52"/>
      <c r="Y522" s="52"/>
      <c r="Z522" s="37"/>
      <c r="AA522" s="18"/>
      <c r="AB522" s="18"/>
      <c r="AC522" s="18"/>
    </row>
    <row r="523" spans="23:29" customFormat="1" x14ac:dyDescent="0.25">
      <c r="W523" s="37"/>
      <c r="X523" s="52"/>
      <c r="Y523" s="52"/>
      <c r="Z523" s="37"/>
      <c r="AA523" s="18"/>
      <c r="AB523" s="18"/>
      <c r="AC523" s="18"/>
    </row>
    <row r="524" spans="23:29" customFormat="1" x14ac:dyDescent="0.25">
      <c r="W524" s="37"/>
      <c r="X524" s="52"/>
      <c r="Y524" s="52"/>
      <c r="Z524" s="37"/>
      <c r="AA524" s="18"/>
      <c r="AB524" s="18"/>
      <c r="AC524" s="18"/>
    </row>
    <row r="525" spans="23:29" customFormat="1" x14ac:dyDescent="0.25">
      <c r="W525" s="37"/>
      <c r="X525" s="52"/>
      <c r="Y525" s="52"/>
      <c r="Z525" s="37"/>
      <c r="AA525" s="18"/>
      <c r="AB525" s="18"/>
      <c r="AC525" s="18"/>
    </row>
    <row r="526" spans="23:29" customFormat="1" x14ac:dyDescent="0.25">
      <c r="W526" s="37"/>
      <c r="X526" s="52"/>
      <c r="Y526" s="52"/>
      <c r="Z526" s="37"/>
      <c r="AA526" s="18"/>
      <c r="AB526" s="18"/>
      <c r="AC526" s="18"/>
    </row>
    <row r="527" spans="23:29" customFormat="1" x14ac:dyDescent="0.25">
      <c r="W527" s="37"/>
      <c r="X527" s="52"/>
      <c r="Y527" s="52"/>
      <c r="Z527" s="37"/>
      <c r="AA527" s="18"/>
      <c r="AB527" s="18"/>
      <c r="AC527" s="18"/>
    </row>
    <row r="528" spans="23:29" customFormat="1" x14ac:dyDescent="0.25">
      <c r="W528" s="37"/>
      <c r="X528" s="52"/>
      <c r="Y528" s="52"/>
      <c r="Z528" s="37"/>
      <c r="AA528" s="18"/>
      <c r="AB528" s="18"/>
      <c r="AC528" s="18"/>
    </row>
    <row r="529" spans="23:29" customFormat="1" x14ac:dyDescent="0.25">
      <c r="W529" s="37"/>
      <c r="X529" s="52"/>
      <c r="Y529" s="52"/>
      <c r="Z529" s="37"/>
      <c r="AA529" s="18"/>
      <c r="AB529" s="18"/>
      <c r="AC529" s="18"/>
    </row>
    <row r="530" spans="23:29" customFormat="1" x14ac:dyDescent="0.25">
      <c r="W530" s="37"/>
      <c r="X530" s="52"/>
      <c r="Y530" s="52"/>
      <c r="Z530" s="37"/>
      <c r="AA530" s="18"/>
      <c r="AB530" s="18"/>
      <c r="AC530" s="18"/>
    </row>
    <row r="531" spans="23:29" customFormat="1" x14ac:dyDescent="0.25">
      <c r="W531" s="37"/>
      <c r="X531" s="52"/>
      <c r="Y531" s="52"/>
      <c r="Z531" s="37"/>
      <c r="AA531" s="18"/>
      <c r="AB531" s="18"/>
      <c r="AC531" s="18"/>
    </row>
    <row r="532" spans="23:29" customFormat="1" x14ac:dyDescent="0.25">
      <c r="W532" s="37"/>
      <c r="X532" s="52"/>
      <c r="Y532" s="52"/>
      <c r="Z532" s="37"/>
      <c r="AA532" s="18"/>
      <c r="AB532" s="18"/>
      <c r="AC532" s="18"/>
    </row>
    <row r="533" spans="23:29" customFormat="1" x14ac:dyDescent="0.25">
      <c r="W533" s="37"/>
      <c r="X533" s="52"/>
      <c r="Y533" s="52"/>
      <c r="Z533" s="37"/>
      <c r="AA533" s="18"/>
      <c r="AB533" s="18"/>
      <c r="AC533" s="18"/>
    </row>
    <row r="534" spans="23:29" customFormat="1" x14ac:dyDescent="0.25">
      <c r="W534" s="37"/>
      <c r="X534" s="52"/>
      <c r="Y534" s="52"/>
      <c r="Z534" s="37"/>
      <c r="AA534" s="18"/>
      <c r="AB534" s="18"/>
      <c r="AC534" s="18"/>
    </row>
    <row r="535" spans="23:29" customFormat="1" x14ac:dyDescent="0.25">
      <c r="W535" s="37"/>
      <c r="X535" s="52"/>
      <c r="Y535" s="52"/>
      <c r="Z535" s="37"/>
      <c r="AA535" s="18"/>
      <c r="AB535" s="18"/>
      <c r="AC535" s="18"/>
    </row>
    <row r="536" spans="23:29" customFormat="1" x14ac:dyDescent="0.25">
      <c r="W536" s="37"/>
      <c r="X536" s="52"/>
      <c r="Y536" s="52"/>
      <c r="Z536" s="37"/>
      <c r="AA536" s="18"/>
      <c r="AB536" s="18"/>
      <c r="AC536" s="18"/>
    </row>
    <row r="537" spans="23:29" customFormat="1" x14ac:dyDescent="0.25">
      <c r="W537" s="37"/>
      <c r="X537" s="52"/>
      <c r="Y537" s="52"/>
      <c r="Z537" s="37"/>
      <c r="AA537" s="18"/>
      <c r="AB537" s="18"/>
      <c r="AC537" s="18"/>
    </row>
    <row r="538" spans="23:29" customFormat="1" x14ac:dyDescent="0.25">
      <c r="W538" s="37"/>
      <c r="X538" s="52"/>
      <c r="Y538" s="52"/>
      <c r="Z538" s="37"/>
      <c r="AA538" s="18"/>
      <c r="AB538" s="18"/>
      <c r="AC538" s="18"/>
    </row>
    <row r="539" spans="23:29" customFormat="1" x14ac:dyDescent="0.25">
      <c r="W539" s="37"/>
      <c r="X539" s="52"/>
      <c r="Y539" s="52"/>
      <c r="Z539" s="37"/>
      <c r="AA539" s="18"/>
      <c r="AB539" s="18"/>
      <c r="AC539" s="18"/>
    </row>
    <row r="540" spans="23:29" customFormat="1" x14ac:dyDescent="0.25">
      <c r="W540" s="37"/>
      <c r="X540" s="52"/>
      <c r="Y540" s="52"/>
      <c r="Z540" s="37"/>
      <c r="AA540" s="18"/>
      <c r="AB540" s="18"/>
      <c r="AC540" s="18"/>
    </row>
    <row r="541" spans="23:29" customFormat="1" x14ac:dyDescent="0.25">
      <c r="W541" s="37"/>
      <c r="X541" s="52"/>
      <c r="Y541" s="52"/>
      <c r="Z541" s="37"/>
      <c r="AA541" s="18"/>
      <c r="AB541" s="18"/>
      <c r="AC541" s="18"/>
    </row>
    <row r="542" spans="23:29" customFormat="1" x14ac:dyDescent="0.25">
      <c r="W542" s="37"/>
      <c r="X542" s="52"/>
      <c r="Y542" s="52"/>
      <c r="Z542" s="37"/>
      <c r="AA542" s="18"/>
      <c r="AB542" s="18"/>
      <c r="AC542" s="18"/>
    </row>
    <row r="543" spans="23:29" customFormat="1" x14ac:dyDescent="0.25">
      <c r="W543" s="37"/>
      <c r="X543" s="52"/>
      <c r="Y543" s="52"/>
      <c r="Z543" s="37"/>
      <c r="AA543" s="18"/>
      <c r="AB543" s="18"/>
      <c r="AC543" s="18"/>
    </row>
    <row r="544" spans="23:29" customFormat="1" x14ac:dyDescent="0.25">
      <c r="W544" s="37"/>
      <c r="X544" s="52"/>
      <c r="Y544" s="52"/>
      <c r="Z544" s="37"/>
      <c r="AA544" s="18"/>
      <c r="AB544" s="18"/>
      <c r="AC544" s="18"/>
    </row>
    <row r="545" spans="23:29" customFormat="1" x14ac:dyDescent="0.25">
      <c r="W545" s="37"/>
      <c r="X545" s="52"/>
      <c r="Y545" s="52"/>
      <c r="Z545" s="37"/>
      <c r="AA545" s="18"/>
      <c r="AB545" s="18"/>
      <c r="AC545" s="18"/>
    </row>
    <row r="546" spans="23:29" customFormat="1" x14ac:dyDescent="0.25">
      <c r="W546" s="37"/>
      <c r="X546" s="52"/>
      <c r="Y546" s="52"/>
      <c r="Z546" s="37"/>
      <c r="AA546" s="18"/>
      <c r="AB546" s="18"/>
      <c r="AC546" s="18"/>
    </row>
    <row r="547" spans="23:29" customFormat="1" x14ac:dyDescent="0.25">
      <c r="W547" s="37"/>
      <c r="X547" s="52"/>
      <c r="Y547" s="52"/>
      <c r="Z547" s="37"/>
      <c r="AA547" s="18"/>
      <c r="AB547" s="18"/>
      <c r="AC547" s="18"/>
    </row>
    <row r="548" spans="23:29" customFormat="1" x14ac:dyDescent="0.25">
      <c r="W548" s="37"/>
      <c r="X548" s="52"/>
      <c r="Y548" s="52"/>
      <c r="Z548" s="37"/>
      <c r="AA548" s="18"/>
      <c r="AB548" s="18"/>
      <c r="AC548" s="18"/>
    </row>
    <row r="549" spans="23:29" customFormat="1" x14ac:dyDescent="0.25">
      <c r="W549" s="37"/>
      <c r="X549" s="52"/>
      <c r="Y549" s="52"/>
      <c r="Z549" s="37"/>
      <c r="AA549" s="18"/>
      <c r="AB549" s="18"/>
      <c r="AC549" s="18"/>
    </row>
    <row r="550" spans="23:29" customFormat="1" x14ac:dyDescent="0.25">
      <c r="W550" s="37"/>
      <c r="X550" s="52"/>
      <c r="Y550" s="52"/>
      <c r="Z550" s="37"/>
      <c r="AA550" s="18"/>
      <c r="AB550" s="18"/>
      <c r="AC550" s="18"/>
    </row>
    <row r="551" spans="23:29" customFormat="1" x14ac:dyDescent="0.25">
      <c r="W551" s="37"/>
      <c r="X551" s="52"/>
      <c r="Y551" s="52"/>
      <c r="Z551" s="37"/>
      <c r="AA551" s="18"/>
      <c r="AB551" s="18"/>
      <c r="AC551" s="18"/>
    </row>
    <row r="552" spans="23:29" customFormat="1" x14ac:dyDescent="0.25">
      <c r="W552" s="37"/>
      <c r="X552" s="52"/>
      <c r="Y552" s="52"/>
      <c r="Z552" s="37"/>
      <c r="AA552" s="18"/>
      <c r="AB552" s="18"/>
      <c r="AC552" s="18"/>
    </row>
    <row r="553" spans="23:29" customFormat="1" x14ac:dyDescent="0.25">
      <c r="W553" s="37"/>
      <c r="X553" s="52"/>
      <c r="Y553" s="52"/>
      <c r="Z553" s="37"/>
      <c r="AA553" s="18"/>
      <c r="AB553" s="18"/>
      <c r="AC553" s="18"/>
    </row>
    <row r="554" spans="23:29" customFormat="1" x14ac:dyDescent="0.25">
      <c r="W554" s="37"/>
      <c r="X554" s="52"/>
      <c r="Y554" s="52"/>
      <c r="Z554" s="37"/>
      <c r="AA554" s="18"/>
      <c r="AB554" s="18"/>
      <c r="AC554" s="18"/>
    </row>
    <row r="555" spans="23:29" customFormat="1" x14ac:dyDescent="0.25">
      <c r="W555" s="37"/>
      <c r="X555" s="52"/>
      <c r="Y555" s="52"/>
      <c r="Z555" s="37"/>
      <c r="AA555" s="18"/>
      <c r="AB555" s="18"/>
      <c r="AC555" s="18"/>
    </row>
    <row r="556" spans="23:29" customFormat="1" x14ac:dyDescent="0.25">
      <c r="W556" s="37"/>
      <c r="X556" s="52"/>
      <c r="Y556" s="52"/>
      <c r="Z556" s="37"/>
      <c r="AA556" s="18"/>
      <c r="AB556" s="18"/>
      <c r="AC556" s="18"/>
    </row>
    <row r="557" spans="23:29" customFormat="1" x14ac:dyDescent="0.25">
      <c r="W557" s="37"/>
      <c r="X557" s="52"/>
      <c r="Y557" s="52"/>
      <c r="Z557" s="37"/>
      <c r="AA557" s="18"/>
      <c r="AB557" s="18"/>
      <c r="AC557" s="18"/>
    </row>
    <row r="558" spans="23:29" customFormat="1" x14ac:dyDescent="0.25">
      <c r="W558" s="37"/>
      <c r="X558" s="52"/>
      <c r="Y558" s="52"/>
      <c r="Z558" s="37"/>
      <c r="AA558" s="18"/>
      <c r="AB558" s="18"/>
      <c r="AC558" s="18"/>
    </row>
    <row r="559" spans="23:29" customFormat="1" x14ac:dyDescent="0.25">
      <c r="W559" s="37"/>
      <c r="X559" s="52"/>
      <c r="Y559" s="52"/>
      <c r="Z559" s="37"/>
      <c r="AA559" s="18"/>
      <c r="AB559" s="18"/>
      <c r="AC559" s="18"/>
    </row>
    <row r="560" spans="23:29" customFormat="1" x14ac:dyDescent="0.25">
      <c r="W560" s="37"/>
      <c r="X560" s="52"/>
      <c r="Y560" s="52"/>
      <c r="Z560" s="37"/>
      <c r="AA560" s="18"/>
      <c r="AB560" s="18"/>
      <c r="AC560" s="18"/>
    </row>
    <row r="561" spans="23:29" customFormat="1" x14ac:dyDescent="0.25">
      <c r="W561" s="37"/>
      <c r="X561" s="52"/>
      <c r="Y561" s="52"/>
      <c r="Z561" s="37"/>
      <c r="AA561" s="18"/>
      <c r="AB561" s="18"/>
      <c r="AC561" s="18"/>
    </row>
    <row r="562" spans="23:29" customFormat="1" x14ac:dyDescent="0.25">
      <c r="W562" s="37"/>
      <c r="X562" s="52"/>
      <c r="Y562" s="52"/>
      <c r="Z562" s="37"/>
      <c r="AA562" s="18"/>
      <c r="AB562" s="18"/>
      <c r="AC562" s="18"/>
    </row>
    <row r="563" spans="23:29" customFormat="1" x14ac:dyDescent="0.25">
      <c r="W563" s="37"/>
      <c r="X563" s="52"/>
      <c r="Y563" s="52"/>
      <c r="Z563" s="37"/>
      <c r="AA563" s="18"/>
      <c r="AB563" s="18"/>
      <c r="AC563" s="18"/>
    </row>
    <row r="564" spans="23:29" customFormat="1" x14ac:dyDescent="0.25">
      <c r="W564" s="37"/>
      <c r="X564" s="52"/>
      <c r="Y564" s="52"/>
      <c r="Z564" s="37"/>
      <c r="AA564" s="18"/>
      <c r="AB564" s="18"/>
      <c r="AC564" s="18"/>
    </row>
    <row r="565" spans="23:29" customFormat="1" x14ac:dyDescent="0.25">
      <c r="W565" s="37"/>
      <c r="X565" s="52"/>
      <c r="Y565" s="52"/>
      <c r="Z565" s="37"/>
      <c r="AA565" s="18"/>
      <c r="AB565" s="18"/>
      <c r="AC565" s="18"/>
    </row>
    <row r="566" spans="23:29" customFormat="1" x14ac:dyDescent="0.25">
      <c r="W566" s="37"/>
      <c r="X566" s="52"/>
      <c r="Y566" s="52"/>
      <c r="Z566" s="37"/>
      <c r="AA566" s="18"/>
      <c r="AB566" s="18"/>
      <c r="AC566" s="18"/>
    </row>
    <row r="567" spans="23:29" customFormat="1" x14ac:dyDescent="0.25">
      <c r="W567" s="37"/>
      <c r="X567" s="52"/>
      <c r="Y567" s="52"/>
      <c r="Z567" s="37"/>
      <c r="AA567" s="18"/>
      <c r="AB567" s="18"/>
      <c r="AC567" s="18"/>
    </row>
    <row r="568" spans="23:29" customFormat="1" x14ac:dyDescent="0.25">
      <c r="W568" s="37"/>
      <c r="X568" s="52"/>
      <c r="Y568" s="52"/>
      <c r="Z568" s="37"/>
      <c r="AA568" s="18"/>
      <c r="AB568" s="18"/>
      <c r="AC568" s="18"/>
    </row>
    <row r="569" spans="23:29" customFormat="1" x14ac:dyDescent="0.25">
      <c r="W569" s="37"/>
      <c r="X569" s="52"/>
      <c r="Y569" s="52"/>
      <c r="Z569" s="37"/>
      <c r="AA569" s="18"/>
      <c r="AB569" s="18"/>
      <c r="AC569" s="18"/>
    </row>
    <row r="570" spans="23:29" customFormat="1" x14ac:dyDescent="0.25">
      <c r="W570" s="37"/>
      <c r="X570" s="52"/>
      <c r="Y570" s="52"/>
      <c r="Z570" s="37"/>
      <c r="AA570" s="18"/>
      <c r="AB570" s="18"/>
      <c r="AC570" s="18"/>
    </row>
    <row r="571" spans="23:29" customFormat="1" x14ac:dyDescent="0.25">
      <c r="W571" s="37"/>
      <c r="X571" s="52"/>
      <c r="Y571" s="52"/>
      <c r="Z571" s="37"/>
      <c r="AA571" s="18"/>
      <c r="AB571" s="18"/>
      <c r="AC571" s="18"/>
    </row>
    <row r="572" spans="23:29" customFormat="1" x14ac:dyDescent="0.25">
      <c r="W572" s="37"/>
      <c r="X572" s="52"/>
      <c r="Y572" s="52"/>
      <c r="Z572" s="37"/>
      <c r="AA572" s="18"/>
      <c r="AB572" s="18"/>
      <c r="AC572" s="18"/>
    </row>
    <row r="573" spans="23:29" customFormat="1" x14ac:dyDescent="0.25">
      <c r="W573" s="37"/>
      <c r="X573" s="52"/>
      <c r="Y573" s="52"/>
      <c r="Z573" s="37"/>
      <c r="AA573" s="18"/>
      <c r="AB573" s="18"/>
      <c r="AC573" s="18"/>
    </row>
    <row r="574" spans="23:29" customFormat="1" x14ac:dyDescent="0.25">
      <c r="W574" s="37"/>
      <c r="X574" s="52"/>
      <c r="Y574" s="52"/>
      <c r="Z574" s="37"/>
      <c r="AA574" s="18"/>
      <c r="AB574" s="18"/>
      <c r="AC574" s="18"/>
    </row>
    <row r="575" spans="23:29" customFormat="1" x14ac:dyDescent="0.25">
      <c r="W575" s="37"/>
      <c r="X575" s="52"/>
      <c r="Y575" s="52"/>
      <c r="Z575" s="37"/>
      <c r="AA575" s="18"/>
      <c r="AB575" s="18"/>
      <c r="AC575" s="18"/>
    </row>
    <row r="576" spans="23:29" customFormat="1" x14ac:dyDescent="0.25">
      <c r="W576" s="37"/>
      <c r="X576" s="52"/>
      <c r="Y576" s="52"/>
      <c r="Z576" s="37"/>
      <c r="AA576" s="18"/>
      <c r="AB576" s="18"/>
      <c r="AC576" s="18"/>
    </row>
    <row r="577" spans="23:29" customFormat="1" x14ac:dyDescent="0.25">
      <c r="W577" s="37"/>
      <c r="X577" s="52"/>
      <c r="Y577" s="52"/>
      <c r="Z577" s="37"/>
      <c r="AA577" s="18"/>
      <c r="AB577" s="18"/>
      <c r="AC577" s="18"/>
    </row>
    <row r="578" spans="23:29" customFormat="1" x14ac:dyDescent="0.25">
      <c r="W578" s="37"/>
      <c r="X578" s="52"/>
      <c r="Y578" s="52"/>
      <c r="Z578" s="37"/>
      <c r="AA578" s="18"/>
      <c r="AB578" s="18"/>
      <c r="AC578" s="18"/>
    </row>
    <row r="579" spans="23:29" customFormat="1" x14ac:dyDescent="0.25">
      <c r="W579" s="37"/>
      <c r="X579" s="52"/>
      <c r="Y579" s="52"/>
      <c r="Z579" s="37"/>
      <c r="AA579" s="18"/>
      <c r="AB579" s="18"/>
      <c r="AC579" s="18"/>
    </row>
    <row r="580" spans="23:29" customFormat="1" x14ac:dyDescent="0.25">
      <c r="W580" s="37"/>
      <c r="X580" s="52"/>
      <c r="Y580" s="52"/>
      <c r="Z580" s="37"/>
      <c r="AA580" s="18"/>
      <c r="AB580" s="18"/>
      <c r="AC580" s="18"/>
    </row>
    <row r="581" spans="23:29" customFormat="1" x14ac:dyDescent="0.25">
      <c r="W581" s="37"/>
      <c r="X581" s="52"/>
      <c r="Y581" s="52"/>
      <c r="Z581" s="37"/>
      <c r="AA581" s="18"/>
      <c r="AB581" s="18"/>
      <c r="AC581" s="18"/>
    </row>
    <row r="582" spans="23:29" customFormat="1" x14ac:dyDescent="0.25">
      <c r="W582" s="37"/>
      <c r="X582" s="52"/>
      <c r="Y582" s="52"/>
      <c r="Z582" s="37"/>
      <c r="AA582" s="18"/>
      <c r="AB582" s="18"/>
      <c r="AC582" s="18"/>
    </row>
    <row r="583" spans="23:29" customFormat="1" x14ac:dyDescent="0.25">
      <c r="W583" s="37"/>
      <c r="X583" s="52"/>
      <c r="Y583" s="52"/>
      <c r="Z583" s="37"/>
      <c r="AA583" s="18"/>
      <c r="AB583" s="18"/>
      <c r="AC583" s="18"/>
    </row>
    <row r="584" spans="23:29" customFormat="1" x14ac:dyDescent="0.25">
      <c r="W584" s="37"/>
      <c r="X584" s="52"/>
      <c r="Y584" s="52"/>
      <c r="Z584" s="37"/>
      <c r="AA584" s="18"/>
      <c r="AB584" s="18"/>
      <c r="AC584" s="18"/>
    </row>
    <row r="585" spans="23:29" customFormat="1" x14ac:dyDescent="0.25">
      <c r="W585" s="37"/>
      <c r="X585" s="52"/>
      <c r="Y585" s="52"/>
      <c r="Z585" s="37"/>
      <c r="AA585" s="18"/>
      <c r="AB585" s="18"/>
      <c r="AC585" s="18"/>
    </row>
    <row r="586" spans="23:29" customFormat="1" x14ac:dyDescent="0.25">
      <c r="W586" s="37"/>
      <c r="X586" s="52"/>
      <c r="Y586" s="52"/>
      <c r="Z586" s="37"/>
      <c r="AA586" s="18"/>
      <c r="AB586" s="18"/>
      <c r="AC586" s="18"/>
    </row>
    <row r="587" spans="23:29" customFormat="1" x14ac:dyDescent="0.25">
      <c r="W587" s="37"/>
      <c r="X587" s="52"/>
      <c r="Y587" s="52"/>
      <c r="Z587" s="37"/>
      <c r="AA587" s="18"/>
      <c r="AB587" s="18"/>
      <c r="AC587" s="18"/>
    </row>
    <row r="588" spans="23:29" customFormat="1" x14ac:dyDescent="0.25">
      <c r="W588" s="37"/>
      <c r="X588" s="52"/>
      <c r="Y588" s="52"/>
      <c r="Z588" s="37"/>
      <c r="AA588" s="18"/>
      <c r="AB588" s="18"/>
      <c r="AC588" s="18"/>
    </row>
    <row r="589" spans="23:29" customFormat="1" x14ac:dyDescent="0.25">
      <c r="W589" s="37"/>
      <c r="X589" s="52"/>
      <c r="Y589" s="52"/>
      <c r="Z589" s="37"/>
      <c r="AA589" s="18"/>
      <c r="AB589" s="18"/>
      <c r="AC589" s="18"/>
    </row>
    <row r="590" spans="23:29" customFormat="1" x14ac:dyDescent="0.25">
      <c r="W590" s="37"/>
      <c r="X590" s="52"/>
      <c r="Y590" s="52"/>
      <c r="Z590" s="37"/>
      <c r="AA590" s="18"/>
      <c r="AB590" s="18"/>
      <c r="AC590" s="18"/>
    </row>
    <row r="591" spans="23:29" customFormat="1" x14ac:dyDescent="0.25">
      <c r="W591" s="37"/>
      <c r="X591" s="52"/>
      <c r="Y591" s="52"/>
      <c r="Z591" s="37"/>
      <c r="AA591" s="18"/>
      <c r="AB591" s="18"/>
      <c r="AC591" s="18"/>
    </row>
    <row r="592" spans="23:29" customFormat="1" x14ac:dyDescent="0.25">
      <c r="W592" s="37"/>
      <c r="X592" s="52"/>
      <c r="Y592" s="52"/>
      <c r="Z592" s="37"/>
      <c r="AA592" s="18"/>
      <c r="AB592" s="18"/>
      <c r="AC592" s="18"/>
    </row>
    <row r="593" spans="23:29" customFormat="1" x14ac:dyDescent="0.25">
      <c r="W593" s="37"/>
      <c r="X593" s="52"/>
      <c r="Y593" s="52"/>
      <c r="Z593" s="37"/>
      <c r="AA593" s="18"/>
      <c r="AB593" s="18"/>
      <c r="AC593" s="18"/>
    </row>
    <row r="594" spans="23:29" customFormat="1" x14ac:dyDescent="0.25">
      <c r="W594" s="37"/>
      <c r="X594" s="52"/>
      <c r="Y594" s="52"/>
      <c r="Z594" s="37"/>
      <c r="AA594" s="18"/>
      <c r="AB594" s="18"/>
      <c r="AC594" s="18"/>
    </row>
    <row r="595" spans="23:29" customFormat="1" x14ac:dyDescent="0.25">
      <c r="W595" s="37"/>
      <c r="X595" s="52"/>
      <c r="Y595" s="52"/>
      <c r="Z595" s="37"/>
      <c r="AA595" s="18"/>
      <c r="AB595" s="18"/>
      <c r="AC595" s="18"/>
    </row>
    <row r="596" spans="23:29" customFormat="1" x14ac:dyDescent="0.25">
      <c r="W596" s="37"/>
      <c r="X596" s="52"/>
      <c r="Y596" s="52"/>
      <c r="Z596" s="37"/>
      <c r="AA596" s="18"/>
      <c r="AB596" s="18"/>
      <c r="AC596" s="18"/>
    </row>
    <row r="597" spans="23:29" customFormat="1" x14ac:dyDescent="0.25">
      <c r="W597" s="37"/>
      <c r="X597" s="52"/>
      <c r="Y597" s="52"/>
      <c r="Z597" s="37"/>
      <c r="AA597" s="18"/>
      <c r="AB597" s="18"/>
      <c r="AC597" s="18"/>
    </row>
    <row r="598" spans="23:29" customFormat="1" x14ac:dyDescent="0.25">
      <c r="W598" s="37"/>
      <c r="X598" s="52"/>
      <c r="Y598" s="52"/>
      <c r="Z598" s="37"/>
      <c r="AA598" s="18"/>
      <c r="AB598" s="18"/>
      <c r="AC598" s="18"/>
    </row>
    <row r="599" spans="23:29" customFormat="1" x14ac:dyDescent="0.25">
      <c r="W599" s="37"/>
      <c r="X599" s="52"/>
      <c r="Y599" s="52"/>
      <c r="Z599" s="37"/>
      <c r="AA599" s="18"/>
      <c r="AB599" s="18"/>
      <c r="AC599" s="18"/>
    </row>
    <row r="600" spans="23:29" customFormat="1" x14ac:dyDescent="0.25">
      <c r="W600" s="37"/>
      <c r="X600" s="52"/>
      <c r="Y600" s="52"/>
      <c r="Z600" s="37"/>
      <c r="AA600" s="18"/>
      <c r="AB600" s="18"/>
      <c r="AC600" s="18"/>
    </row>
    <row r="601" spans="23:29" customFormat="1" x14ac:dyDescent="0.25">
      <c r="W601" s="37"/>
      <c r="X601" s="52"/>
      <c r="Y601" s="52"/>
      <c r="Z601" s="37"/>
      <c r="AA601" s="18"/>
      <c r="AB601" s="18"/>
      <c r="AC601" s="18"/>
    </row>
    <row r="602" spans="23:29" customFormat="1" x14ac:dyDescent="0.25">
      <c r="W602" s="37"/>
      <c r="X602" s="52"/>
      <c r="Y602" s="52"/>
      <c r="Z602" s="37"/>
      <c r="AA602" s="18"/>
      <c r="AB602" s="18"/>
      <c r="AC602" s="18"/>
    </row>
    <row r="603" spans="23:29" customFormat="1" x14ac:dyDescent="0.25">
      <c r="W603" s="37"/>
      <c r="X603" s="52"/>
      <c r="Y603" s="52"/>
      <c r="Z603" s="37"/>
      <c r="AA603" s="18"/>
      <c r="AB603" s="18"/>
      <c r="AC603" s="18"/>
    </row>
    <row r="604" spans="23:29" customFormat="1" x14ac:dyDescent="0.25">
      <c r="W604" s="37"/>
      <c r="X604" s="52"/>
      <c r="Y604" s="52"/>
      <c r="Z604" s="37"/>
      <c r="AA604" s="18"/>
      <c r="AB604" s="18"/>
      <c r="AC604" s="18"/>
    </row>
    <row r="605" spans="23:29" customFormat="1" x14ac:dyDescent="0.25">
      <c r="W605" s="37"/>
      <c r="X605" s="52"/>
      <c r="Y605" s="52"/>
      <c r="Z605" s="37"/>
      <c r="AA605" s="18"/>
      <c r="AB605" s="18"/>
      <c r="AC605" s="18"/>
    </row>
    <row r="606" spans="23:29" customFormat="1" x14ac:dyDescent="0.25">
      <c r="W606" s="37"/>
      <c r="X606" s="52"/>
      <c r="Y606" s="52"/>
      <c r="Z606" s="37"/>
      <c r="AA606" s="18"/>
      <c r="AB606" s="18"/>
      <c r="AC606" s="18"/>
    </row>
    <row r="607" spans="23:29" customFormat="1" x14ac:dyDescent="0.25">
      <c r="W607" s="37"/>
      <c r="X607" s="52"/>
      <c r="Y607" s="52"/>
      <c r="Z607" s="37"/>
      <c r="AA607" s="18"/>
      <c r="AB607" s="18"/>
      <c r="AC607" s="18"/>
    </row>
    <row r="608" spans="23:29" customFormat="1" x14ac:dyDescent="0.25">
      <c r="W608" s="37"/>
      <c r="X608" s="52"/>
      <c r="Y608" s="52"/>
      <c r="Z608" s="37"/>
      <c r="AA608" s="18"/>
      <c r="AB608" s="18"/>
      <c r="AC608" s="18"/>
    </row>
    <row r="609" spans="23:29" customFormat="1" x14ac:dyDescent="0.25">
      <c r="W609" s="37"/>
      <c r="X609" s="52"/>
      <c r="Y609" s="52"/>
      <c r="Z609" s="37"/>
      <c r="AA609" s="18"/>
      <c r="AB609" s="18"/>
      <c r="AC609" s="18"/>
    </row>
    <row r="610" spans="23:29" customFormat="1" x14ac:dyDescent="0.25">
      <c r="W610" s="37"/>
      <c r="X610" s="52"/>
      <c r="Y610" s="52"/>
      <c r="Z610" s="37"/>
      <c r="AA610" s="18"/>
      <c r="AB610" s="18"/>
      <c r="AC610" s="18"/>
    </row>
    <row r="611" spans="23:29" customFormat="1" x14ac:dyDescent="0.25">
      <c r="W611" s="37"/>
      <c r="X611" s="52"/>
      <c r="Y611" s="52"/>
      <c r="Z611" s="37"/>
      <c r="AA611" s="18"/>
      <c r="AB611" s="18"/>
      <c r="AC611" s="18"/>
    </row>
    <row r="612" spans="23:29" customFormat="1" x14ac:dyDescent="0.25">
      <c r="W612" s="37"/>
      <c r="X612" s="52"/>
      <c r="Y612" s="52"/>
      <c r="Z612" s="37"/>
      <c r="AA612" s="18"/>
      <c r="AB612" s="18"/>
      <c r="AC612" s="18"/>
    </row>
    <row r="613" spans="23:29" customFormat="1" x14ac:dyDescent="0.25">
      <c r="W613" s="37"/>
      <c r="X613" s="52"/>
      <c r="Y613" s="52"/>
      <c r="Z613" s="37"/>
      <c r="AA613" s="18"/>
      <c r="AB613" s="18"/>
      <c r="AC613" s="18"/>
    </row>
    <row r="614" spans="23:29" customFormat="1" x14ac:dyDescent="0.25">
      <c r="W614" s="37"/>
      <c r="X614" s="52"/>
      <c r="Y614" s="52"/>
      <c r="Z614" s="37"/>
      <c r="AA614" s="18"/>
      <c r="AB614" s="18"/>
      <c r="AC614" s="18"/>
    </row>
    <row r="615" spans="23:29" customFormat="1" x14ac:dyDescent="0.25">
      <c r="W615" s="37"/>
      <c r="X615" s="52"/>
      <c r="Y615" s="52"/>
      <c r="Z615" s="37"/>
      <c r="AA615" s="18"/>
      <c r="AB615" s="18"/>
      <c r="AC615" s="18"/>
    </row>
    <row r="616" spans="23:29" customFormat="1" x14ac:dyDescent="0.25">
      <c r="W616" s="37"/>
      <c r="X616" s="52"/>
      <c r="Y616" s="52"/>
      <c r="Z616" s="37"/>
      <c r="AA616" s="18"/>
      <c r="AB616" s="18"/>
      <c r="AC616" s="18"/>
    </row>
    <row r="617" spans="23:29" customFormat="1" x14ac:dyDescent="0.25">
      <c r="W617" s="37"/>
      <c r="X617" s="52"/>
      <c r="Y617" s="52"/>
      <c r="Z617" s="37"/>
      <c r="AA617" s="18"/>
      <c r="AB617" s="18"/>
      <c r="AC617" s="18"/>
    </row>
    <row r="618" spans="23:29" customFormat="1" x14ac:dyDescent="0.25">
      <c r="W618" s="37"/>
      <c r="X618" s="52"/>
      <c r="Y618" s="52"/>
      <c r="Z618" s="37"/>
      <c r="AA618" s="18"/>
      <c r="AB618" s="18"/>
      <c r="AC618" s="18"/>
    </row>
    <row r="619" spans="23:29" customFormat="1" x14ac:dyDescent="0.25">
      <c r="W619" s="37"/>
      <c r="X619" s="52"/>
      <c r="Y619" s="52"/>
      <c r="Z619" s="37"/>
      <c r="AA619" s="18"/>
      <c r="AB619" s="18"/>
      <c r="AC619" s="18"/>
    </row>
    <row r="620" spans="23:29" customFormat="1" x14ac:dyDescent="0.25">
      <c r="W620" s="37"/>
      <c r="X620" s="52"/>
      <c r="Y620" s="52"/>
      <c r="Z620" s="37"/>
      <c r="AA620" s="18"/>
      <c r="AB620" s="18"/>
      <c r="AC620" s="18"/>
    </row>
    <row r="621" spans="23:29" customFormat="1" x14ac:dyDescent="0.25">
      <c r="W621" s="37"/>
      <c r="X621" s="52"/>
      <c r="Y621" s="52"/>
      <c r="Z621" s="37"/>
      <c r="AA621" s="18"/>
      <c r="AB621" s="18"/>
      <c r="AC621" s="18"/>
    </row>
    <row r="622" spans="23:29" customFormat="1" x14ac:dyDescent="0.25">
      <c r="W622" s="37"/>
      <c r="X622" s="52"/>
      <c r="Y622" s="52"/>
      <c r="Z622" s="37"/>
      <c r="AA622" s="18"/>
      <c r="AB622" s="18"/>
      <c r="AC622" s="18"/>
    </row>
    <row r="623" spans="23:29" customFormat="1" x14ac:dyDescent="0.25">
      <c r="W623" s="37"/>
      <c r="X623" s="52"/>
      <c r="Y623" s="52"/>
      <c r="Z623" s="37"/>
      <c r="AA623" s="18"/>
      <c r="AB623" s="18"/>
      <c r="AC623" s="18"/>
    </row>
    <row r="624" spans="23:29" customFormat="1" x14ac:dyDescent="0.25">
      <c r="W624" s="37"/>
      <c r="X624" s="52"/>
      <c r="Y624" s="52"/>
      <c r="Z624" s="37"/>
      <c r="AA624" s="18"/>
      <c r="AB624" s="18"/>
      <c r="AC624" s="18"/>
    </row>
    <row r="625" spans="23:29" customFormat="1" x14ac:dyDescent="0.25">
      <c r="W625" s="37"/>
      <c r="X625" s="52"/>
      <c r="Y625" s="52"/>
      <c r="Z625" s="37"/>
      <c r="AA625" s="18"/>
      <c r="AB625" s="18"/>
      <c r="AC625" s="18"/>
    </row>
    <row r="626" spans="23:29" customFormat="1" x14ac:dyDescent="0.25">
      <c r="W626" s="37"/>
      <c r="X626" s="52"/>
      <c r="Y626" s="52"/>
      <c r="Z626" s="37"/>
      <c r="AA626" s="18"/>
      <c r="AB626" s="18"/>
      <c r="AC626" s="18"/>
    </row>
    <row r="627" spans="23:29" customFormat="1" x14ac:dyDescent="0.25">
      <c r="W627" s="37"/>
      <c r="X627" s="52"/>
      <c r="Y627" s="52"/>
      <c r="Z627" s="37"/>
      <c r="AA627" s="18"/>
      <c r="AB627" s="18"/>
      <c r="AC627" s="18"/>
    </row>
    <row r="628" spans="23:29" customFormat="1" x14ac:dyDescent="0.25">
      <c r="W628" s="37"/>
      <c r="X628" s="52"/>
      <c r="Y628" s="52"/>
      <c r="Z628" s="37"/>
      <c r="AA628" s="18"/>
      <c r="AB628" s="18"/>
      <c r="AC628" s="18"/>
    </row>
    <row r="629" spans="23:29" customFormat="1" x14ac:dyDescent="0.25">
      <c r="W629" s="37"/>
      <c r="X629" s="52"/>
      <c r="Y629" s="52"/>
      <c r="Z629" s="37"/>
      <c r="AA629" s="18"/>
      <c r="AB629" s="18"/>
      <c r="AC629" s="18"/>
    </row>
    <row r="630" spans="23:29" customFormat="1" x14ac:dyDescent="0.25">
      <c r="W630" s="37"/>
      <c r="X630" s="52"/>
      <c r="Y630" s="52"/>
      <c r="Z630" s="37"/>
      <c r="AA630" s="18"/>
      <c r="AB630" s="18"/>
      <c r="AC630" s="18"/>
    </row>
    <row r="631" spans="23:29" customFormat="1" x14ac:dyDescent="0.25">
      <c r="W631" s="37"/>
      <c r="X631" s="52"/>
      <c r="Y631" s="52"/>
      <c r="Z631" s="37"/>
      <c r="AA631" s="18"/>
      <c r="AB631" s="18"/>
      <c r="AC631" s="18"/>
    </row>
    <row r="632" spans="23:29" customFormat="1" x14ac:dyDescent="0.25">
      <c r="W632" s="37"/>
      <c r="X632" s="52"/>
      <c r="Y632" s="52"/>
      <c r="Z632" s="37"/>
      <c r="AA632" s="18"/>
      <c r="AB632" s="18"/>
      <c r="AC632" s="18"/>
    </row>
    <row r="633" spans="23:29" customFormat="1" x14ac:dyDescent="0.25">
      <c r="W633" s="37"/>
      <c r="X633" s="52"/>
      <c r="Y633" s="52"/>
      <c r="Z633" s="37"/>
      <c r="AA633" s="18"/>
      <c r="AB633" s="18"/>
      <c r="AC633" s="18"/>
    </row>
    <row r="634" spans="23:29" customFormat="1" x14ac:dyDescent="0.25">
      <c r="W634" s="37"/>
      <c r="X634" s="52"/>
      <c r="Y634" s="52"/>
      <c r="Z634" s="37"/>
      <c r="AA634" s="18"/>
      <c r="AB634" s="18"/>
      <c r="AC634" s="18"/>
    </row>
    <row r="635" spans="23:29" customFormat="1" x14ac:dyDescent="0.25">
      <c r="W635" s="37"/>
      <c r="X635" s="52"/>
      <c r="Y635" s="52"/>
      <c r="Z635" s="37"/>
      <c r="AA635" s="18"/>
      <c r="AB635" s="18"/>
      <c r="AC635" s="18"/>
    </row>
    <row r="636" spans="23:29" customFormat="1" x14ac:dyDescent="0.25">
      <c r="W636" s="37"/>
      <c r="X636" s="52"/>
      <c r="Y636" s="52"/>
      <c r="Z636" s="37"/>
      <c r="AA636" s="18"/>
      <c r="AB636" s="18"/>
      <c r="AC636" s="18"/>
    </row>
    <row r="637" spans="23:29" customFormat="1" x14ac:dyDescent="0.25">
      <c r="W637" s="37"/>
      <c r="X637" s="52"/>
      <c r="Y637" s="52"/>
      <c r="Z637" s="37"/>
      <c r="AA637" s="18"/>
      <c r="AB637" s="18"/>
      <c r="AC637" s="18"/>
    </row>
    <row r="638" spans="23:29" customFormat="1" x14ac:dyDescent="0.25">
      <c r="W638" s="37"/>
      <c r="X638" s="52"/>
      <c r="Y638" s="52"/>
      <c r="Z638" s="37"/>
      <c r="AA638" s="18"/>
      <c r="AB638" s="18"/>
      <c r="AC638" s="18"/>
    </row>
    <row r="639" spans="23:29" customFormat="1" x14ac:dyDescent="0.25">
      <c r="W639" s="37"/>
      <c r="X639" s="52"/>
      <c r="Y639" s="52"/>
      <c r="Z639" s="37"/>
      <c r="AA639" s="18"/>
      <c r="AB639" s="18"/>
      <c r="AC639" s="18"/>
    </row>
    <row r="640" spans="23:29" customFormat="1" x14ac:dyDescent="0.25">
      <c r="W640" s="37"/>
      <c r="X640" s="52"/>
      <c r="Y640" s="52"/>
      <c r="Z640" s="37"/>
      <c r="AA640" s="18"/>
      <c r="AB640" s="18"/>
      <c r="AC640" s="18"/>
    </row>
    <row r="641" spans="23:29" customFormat="1" x14ac:dyDescent="0.25">
      <c r="W641" s="37"/>
      <c r="X641" s="52"/>
      <c r="Y641" s="52"/>
      <c r="Z641" s="37"/>
      <c r="AA641" s="18"/>
      <c r="AB641" s="18"/>
      <c r="AC641" s="18"/>
    </row>
    <row r="642" spans="23:29" customFormat="1" x14ac:dyDescent="0.25">
      <c r="W642" s="37"/>
      <c r="X642" s="52"/>
      <c r="Y642" s="52"/>
      <c r="Z642" s="37"/>
      <c r="AA642" s="18"/>
      <c r="AB642" s="18"/>
      <c r="AC642" s="18"/>
    </row>
    <row r="643" spans="23:29" customFormat="1" x14ac:dyDescent="0.25">
      <c r="W643" s="37"/>
      <c r="X643" s="52"/>
      <c r="Y643" s="52"/>
      <c r="Z643" s="37"/>
      <c r="AA643" s="18"/>
      <c r="AB643" s="18"/>
      <c r="AC643" s="18"/>
    </row>
    <row r="644" spans="23:29" customFormat="1" x14ac:dyDescent="0.25">
      <c r="W644" s="37"/>
      <c r="X644" s="52"/>
      <c r="Y644" s="52"/>
      <c r="Z644" s="37"/>
      <c r="AA644" s="18"/>
      <c r="AB644" s="18"/>
      <c r="AC644" s="18"/>
    </row>
    <row r="645" spans="23:29" customFormat="1" x14ac:dyDescent="0.25">
      <c r="W645" s="37"/>
      <c r="X645" s="52"/>
      <c r="Y645" s="52"/>
      <c r="Z645" s="37"/>
      <c r="AA645" s="18"/>
      <c r="AB645" s="18"/>
      <c r="AC645" s="18"/>
    </row>
    <row r="646" spans="23:29" customFormat="1" x14ac:dyDescent="0.25">
      <c r="W646" s="37"/>
      <c r="X646" s="52"/>
      <c r="Y646" s="52"/>
      <c r="Z646" s="37"/>
      <c r="AA646" s="18"/>
      <c r="AB646" s="18"/>
      <c r="AC646" s="18"/>
    </row>
    <row r="647" spans="23:29" customFormat="1" x14ac:dyDescent="0.25">
      <c r="W647" s="37"/>
      <c r="X647" s="52"/>
      <c r="Y647" s="52"/>
      <c r="Z647" s="37"/>
      <c r="AA647" s="18"/>
      <c r="AB647" s="18"/>
      <c r="AC647" s="18"/>
    </row>
    <row r="648" spans="23:29" customFormat="1" x14ac:dyDescent="0.25">
      <c r="W648" s="37"/>
      <c r="X648" s="52"/>
      <c r="Y648" s="52"/>
      <c r="Z648" s="37"/>
      <c r="AA648" s="18"/>
      <c r="AB648" s="18"/>
      <c r="AC648" s="18"/>
    </row>
    <row r="649" spans="23:29" customFormat="1" x14ac:dyDescent="0.25">
      <c r="W649" s="37"/>
      <c r="X649" s="52"/>
      <c r="Y649" s="52"/>
      <c r="Z649" s="37"/>
      <c r="AA649" s="18"/>
      <c r="AB649" s="18"/>
      <c r="AC649" s="18"/>
    </row>
    <row r="650" spans="23:29" customFormat="1" x14ac:dyDescent="0.25">
      <c r="W650" s="37"/>
      <c r="X650" s="52"/>
      <c r="Y650" s="52"/>
      <c r="Z650" s="37"/>
      <c r="AA650" s="18"/>
      <c r="AB650" s="18"/>
      <c r="AC650" s="18"/>
    </row>
    <row r="651" spans="23:29" customFormat="1" x14ac:dyDescent="0.25">
      <c r="W651" s="37"/>
      <c r="X651" s="52"/>
      <c r="Y651" s="52"/>
      <c r="Z651" s="37"/>
      <c r="AA651" s="18"/>
      <c r="AB651" s="18"/>
      <c r="AC651" s="18"/>
    </row>
    <row r="652" spans="23:29" customFormat="1" x14ac:dyDescent="0.25">
      <c r="W652" s="37"/>
      <c r="X652" s="52"/>
      <c r="Y652" s="52"/>
      <c r="Z652" s="37"/>
      <c r="AA652" s="18"/>
      <c r="AB652" s="18"/>
      <c r="AC652" s="18"/>
    </row>
    <row r="653" spans="23:29" customFormat="1" x14ac:dyDescent="0.25">
      <c r="W653" s="37"/>
      <c r="X653" s="52"/>
      <c r="Y653" s="52"/>
      <c r="Z653" s="37"/>
      <c r="AA653" s="18"/>
      <c r="AB653" s="18"/>
      <c r="AC653" s="18"/>
    </row>
    <row r="654" spans="23:29" customFormat="1" x14ac:dyDescent="0.25">
      <c r="W654" s="37"/>
      <c r="X654" s="52"/>
      <c r="Y654" s="52"/>
      <c r="Z654" s="37"/>
      <c r="AA654" s="18"/>
      <c r="AB654" s="18"/>
      <c r="AC654" s="18"/>
    </row>
    <row r="655" spans="23:29" customFormat="1" x14ac:dyDescent="0.25">
      <c r="W655" s="37"/>
      <c r="X655" s="52"/>
      <c r="Y655" s="52"/>
      <c r="Z655" s="37"/>
      <c r="AA655" s="18"/>
      <c r="AB655" s="18"/>
      <c r="AC655" s="18"/>
    </row>
    <row r="656" spans="23:29" customFormat="1" x14ac:dyDescent="0.25">
      <c r="W656" s="37"/>
      <c r="X656" s="52"/>
      <c r="Y656" s="52"/>
      <c r="Z656" s="37"/>
      <c r="AA656" s="18"/>
      <c r="AB656" s="18"/>
      <c r="AC656" s="18"/>
    </row>
    <row r="657" spans="23:29" customFormat="1" x14ac:dyDescent="0.25">
      <c r="W657" s="37"/>
      <c r="X657" s="52"/>
      <c r="Y657" s="52"/>
      <c r="Z657" s="37"/>
      <c r="AA657" s="18"/>
      <c r="AB657" s="18"/>
      <c r="AC657" s="18"/>
    </row>
    <row r="658" spans="23:29" customFormat="1" x14ac:dyDescent="0.25">
      <c r="W658" s="37"/>
      <c r="X658" s="52"/>
      <c r="Y658" s="52"/>
      <c r="Z658" s="37"/>
      <c r="AA658" s="18"/>
      <c r="AB658" s="18"/>
      <c r="AC658" s="18"/>
    </row>
    <row r="659" spans="23:29" customFormat="1" x14ac:dyDescent="0.25">
      <c r="W659" s="37"/>
      <c r="X659" s="52"/>
      <c r="Y659" s="52"/>
      <c r="Z659" s="37"/>
      <c r="AA659" s="18"/>
      <c r="AB659" s="18"/>
      <c r="AC659" s="18"/>
    </row>
    <row r="660" spans="23:29" customFormat="1" x14ac:dyDescent="0.25">
      <c r="W660" s="37"/>
      <c r="X660" s="52"/>
      <c r="Y660" s="52"/>
      <c r="Z660" s="37"/>
      <c r="AA660" s="18"/>
      <c r="AB660" s="18"/>
      <c r="AC660" s="18"/>
    </row>
    <row r="661" spans="23:29" customFormat="1" x14ac:dyDescent="0.25">
      <c r="W661" s="37"/>
      <c r="X661" s="52"/>
      <c r="Y661" s="52"/>
      <c r="Z661" s="37"/>
      <c r="AA661" s="18"/>
      <c r="AB661" s="18"/>
      <c r="AC661" s="18"/>
    </row>
    <row r="662" spans="23:29" customFormat="1" x14ac:dyDescent="0.25">
      <c r="W662" s="37"/>
      <c r="X662" s="52"/>
      <c r="Y662" s="52"/>
      <c r="Z662" s="37"/>
      <c r="AA662" s="18"/>
      <c r="AB662" s="18"/>
      <c r="AC662" s="18"/>
    </row>
    <row r="663" spans="23:29" customFormat="1" x14ac:dyDescent="0.25">
      <c r="W663" s="37"/>
      <c r="X663" s="52"/>
      <c r="Y663" s="52"/>
      <c r="Z663" s="37"/>
      <c r="AA663" s="18"/>
      <c r="AB663" s="18"/>
      <c r="AC663" s="18"/>
    </row>
    <row r="664" spans="23:29" customFormat="1" x14ac:dyDescent="0.25">
      <c r="W664" s="37"/>
      <c r="X664" s="52"/>
      <c r="Y664" s="52"/>
      <c r="Z664" s="37"/>
      <c r="AA664" s="18"/>
      <c r="AB664" s="18"/>
      <c r="AC664" s="18"/>
    </row>
    <row r="665" spans="23:29" customFormat="1" x14ac:dyDescent="0.25">
      <c r="W665" s="37"/>
      <c r="X665" s="52"/>
      <c r="Y665" s="52"/>
      <c r="Z665" s="37"/>
      <c r="AA665" s="18"/>
      <c r="AB665" s="18"/>
      <c r="AC665" s="18"/>
    </row>
    <row r="666" spans="23:29" customFormat="1" x14ac:dyDescent="0.25">
      <c r="W666" s="37"/>
      <c r="X666" s="52"/>
      <c r="Y666" s="52"/>
      <c r="Z666" s="37"/>
      <c r="AA666" s="18"/>
      <c r="AB666" s="18"/>
      <c r="AC666" s="18"/>
    </row>
    <row r="667" spans="23:29" customFormat="1" x14ac:dyDescent="0.25">
      <c r="W667" s="37"/>
      <c r="X667" s="52"/>
      <c r="Y667" s="52"/>
      <c r="Z667" s="37"/>
      <c r="AA667" s="18"/>
      <c r="AB667" s="18"/>
      <c r="AC667" s="18"/>
    </row>
    <row r="668" spans="23:29" customFormat="1" x14ac:dyDescent="0.25">
      <c r="W668" s="37"/>
      <c r="X668" s="52"/>
      <c r="Y668" s="52"/>
      <c r="Z668" s="37"/>
      <c r="AA668" s="18"/>
      <c r="AB668" s="18"/>
      <c r="AC668" s="18"/>
    </row>
    <row r="669" spans="23:29" customFormat="1" x14ac:dyDescent="0.25">
      <c r="W669" s="37"/>
      <c r="X669" s="52"/>
      <c r="Y669" s="52"/>
      <c r="Z669" s="37"/>
      <c r="AA669" s="18"/>
      <c r="AB669" s="18"/>
      <c r="AC669" s="18"/>
    </row>
    <row r="670" spans="23:29" customFormat="1" x14ac:dyDescent="0.25">
      <c r="W670" s="37"/>
      <c r="X670" s="52"/>
      <c r="Y670" s="52"/>
      <c r="Z670" s="37"/>
      <c r="AA670" s="18"/>
      <c r="AB670" s="18"/>
      <c r="AC670" s="18"/>
    </row>
    <row r="671" spans="23:29" customFormat="1" x14ac:dyDescent="0.25">
      <c r="W671" s="37"/>
      <c r="X671" s="52"/>
      <c r="Y671" s="52"/>
      <c r="Z671" s="37"/>
      <c r="AA671" s="18"/>
      <c r="AB671" s="18"/>
      <c r="AC671" s="18"/>
    </row>
    <row r="672" spans="23:29" customFormat="1" x14ac:dyDescent="0.25">
      <c r="W672" s="37"/>
      <c r="X672" s="52"/>
      <c r="Y672" s="52"/>
      <c r="Z672" s="37"/>
      <c r="AA672" s="18"/>
      <c r="AB672" s="18"/>
      <c r="AC672" s="18"/>
    </row>
    <row r="673" spans="23:29" customFormat="1" x14ac:dyDescent="0.25">
      <c r="W673" s="37"/>
      <c r="X673" s="52"/>
      <c r="Y673" s="52"/>
      <c r="Z673" s="37"/>
      <c r="AA673" s="18"/>
      <c r="AB673" s="18"/>
      <c r="AC673" s="18"/>
    </row>
    <row r="674" spans="23:29" customFormat="1" x14ac:dyDescent="0.25">
      <c r="W674" s="37"/>
      <c r="X674" s="52"/>
      <c r="Y674" s="52"/>
      <c r="Z674" s="37"/>
      <c r="AA674" s="18"/>
      <c r="AB674" s="18"/>
      <c r="AC674" s="18"/>
    </row>
    <row r="675" spans="23:29" customFormat="1" x14ac:dyDescent="0.25">
      <c r="W675" s="37"/>
      <c r="X675" s="52"/>
      <c r="Y675" s="52"/>
      <c r="Z675" s="37"/>
      <c r="AA675" s="18"/>
      <c r="AB675" s="18"/>
      <c r="AC675" s="18"/>
    </row>
    <row r="676" spans="23:29" customFormat="1" x14ac:dyDescent="0.25">
      <c r="W676" s="37"/>
      <c r="X676" s="52"/>
      <c r="Y676" s="52"/>
      <c r="Z676" s="37"/>
      <c r="AA676" s="18"/>
      <c r="AB676" s="18"/>
      <c r="AC676" s="18"/>
    </row>
    <row r="677" spans="23:29" customFormat="1" x14ac:dyDescent="0.25">
      <c r="W677" s="37"/>
      <c r="X677" s="52"/>
      <c r="Y677" s="52"/>
      <c r="Z677" s="37"/>
      <c r="AA677" s="18"/>
      <c r="AB677" s="18"/>
      <c r="AC677" s="18"/>
    </row>
    <row r="678" spans="23:29" customFormat="1" x14ac:dyDescent="0.25">
      <c r="W678" s="37"/>
      <c r="X678" s="52"/>
      <c r="Y678" s="52"/>
      <c r="Z678" s="37"/>
      <c r="AA678" s="18"/>
      <c r="AB678" s="18"/>
      <c r="AC678" s="18"/>
    </row>
    <row r="679" spans="23:29" customFormat="1" x14ac:dyDescent="0.25">
      <c r="W679" s="37"/>
      <c r="X679" s="52"/>
      <c r="Y679" s="52"/>
      <c r="Z679" s="37"/>
      <c r="AA679" s="18"/>
      <c r="AB679" s="18"/>
      <c r="AC679" s="18"/>
    </row>
    <row r="680" spans="23:29" customFormat="1" x14ac:dyDescent="0.25">
      <c r="W680" s="37"/>
      <c r="X680" s="52"/>
      <c r="Y680" s="52"/>
      <c r="Z680" s="37"/>
      <c r="AA680" s="18"/>
      <c r="AB680" s="18"/>
      <c r="AC680" s="18"/>
    </row>
    <row r="681" spans="23:29" customFormat="1" x14ac:dyDescent="0.25">
      <c r="W681" s="37"/>
      <c r="X681" s="52"/>
      <c r="Y681" s="52"/>
      <c r="Z681" s="37"/>
      <c r="AA681" s="18"/>
      <c r="AB681" s="18"/>
      <c r="AC681" s="18"/>
    </row>
    <row r="682" spans="23:29" customFormat="1" x14ac:dyDescent="0.25">
      <c r="W682" s="37"/>
      <c r="X682" s="52"/>
      <c r="Y682" s="52"/>
      <c r="Z682" s="37"/>
      <c r="AA682" s="18"/>
      <c r="AB682" s="18"/>
      <c r="AC682" s="18"/>
    </row>
    <row r="683" spans="23:29" customFormat="1" x14ac:dyDescent="0.25">
      <c r="W683" s="37"/>
      <c r="X683" s="52"/>
      <c r="Y683" s="52"/>
      <c r="Z683" s="37"/>
      <c r="AA683" s="18"/>
      <c r="AB683" s="18"/>
      <c r="AC683" s="18"/>
    </row>
    <row r="684" spans="23:29" customFormat="1" x14ac:dyDescent="0.25">
      <c r="W684" s="37"/>
      <c r="X684" s="52"/>
      <c r="Y684" s="52"/>
      <c r="Z684" s="37"/>
      <c r="AA684" s="18"/>
      <c r="AB684" s="18"/>
      <c r="AC684" s="18"/>
    </row>
    <row r="685" spans="23:29" customFormat="1" x14ac:dyDescent="0.25">
      <c r="W685" s="37"/>
      <c r="X685" s="52"/>
      <c r="Y685" s="52"/>
      <c r="Z685" s="37"/>
      <c r="AA685" s="18"/>
      <c r="AB685" s="18"/>
      <c r="AC685" s="18"/>
    </row>
    <row r="686" spans="23:29" customFormat="1" x14ac:dyDescent="0.25">
      <c r="W686" s="37"/>
      <c r="X686" s="52"/>
      <c r="Y686" s="52"/>
      <c r="Z686" s="37"/>
      <c r="AA686" s="18"/>
      <c r="AB686" s="18"/>
      <c r="AC686" s="18"/>
    </row>
    <row r="687" spans="23:29" customFormat="1" x14ac:dyDescent="0.25">
      <c r="W687" s="37"/>
      <c r="X687" s="52"/>
      <c r="Y687" s="52"/>
      <c r="Z687" s="37"/>
      <c r="AA687" s="18"/>
      <c r="AB687" s="18"/>
      <c r="AC687" s="18"/>
    </row>
    <row r="688" spans="23:29" customFormat="1" x14ac:dyDescent="0.25">
      <c r="W688" s="37"/>
      <c r="X688" s="52"/>
      <c r="Y688" s="52"/>
      <c r="Z688" s="37"/>
      <c r="AA688" s="18"/>
      <c r="AB688" s="18"/>
      <c r="AC688" s="18"/>
    </row>
    <row r="689" spans="23:29" customFormat="1" x14ac:dyDescent="0.25">
      <c r="W689" s="37"/>
      <c r="X689" s="52"/>
      <c r="Y689" s="52"/>
      <c r="Z689" s="37"/>
      <c r="AA689" s="18"/>
      <c r="AB689" s="18"/>
      <c r="AC689" s="18"/>
    </row>
    <row r="690" spans="23:29" customFormat="1" x14ac:dyDescent="0.25">
      <c r="W690" s="37"/>
      <c r="X690" s="52"/>
      <c r="Y690" s="52"/>
      <c r="Z690" s="37"/>
      <c r="AA690" s="18"/>
      <c r="AB690" s="18"/>
      <c r="AC690" s="18"/>
    </row>
    <row r="691" spans="23:29" customFormat="1" x14ac:dyDescent="0.25">
      <c r="W691" s="37"/>
      <c r="X691" s="52"/>
      <c r="Y691" s="52"/>
      <c r="Z691" s="37"/>
      <c r="AA691" s="18"/>
      <c r="AB691" s="18"/>
      <c r="AC691" s="18"/>
    </row>
    <row r="692" spans="23:29" customFormat="1" x14ac:dyDescent="0.25">
      <c r="W692" s="37"/>
      <c r="X692" s="52"/>
      <c r="Y692" s="52"/>
      <c r="Z692" s="37"/>
      <c r="AA692" s="18"/>
      <c r="AB692" s="18"/>
      <c r="AC692" s="18"/>
    </row>
    <row r="693" spans="23:29" customFormat="1" x14ac:dyDescent="0.25">
      <c r="W693" s="37"/>
      <c r="X693" s="52"/>
      <c r="Y693" s="52"/>
      <c r="Z693" s="37"/>
      <c r="AA693" s="18"/>
      <c r="AB693" s="18"/>
      <c r="AC693" s="18"/>
    </row>
    <row r="694" spans="23:29" customFormat="1" x14ac:dyDescent="0.25">
      <c r="W694" s="37"/>
      <c r="X694" s="52"/>
      <c r="Y694" s="52"/>
      <c r="Z694" s="37"/>
      <c r="AA694" s="18"/>
      <c r="AB694" s="18"/>
      <c r="AC694" s="18"/>
    </row>
    <row r="695" spans="23:29" customFormat="1" x14ac:dyDescent="0.25">
      <c r="W695" s="37"/>
      <c r="X695" s="52"/>
      <c r="Y695" s="52"/>
      <c r="Z695" s="37"/>
      <c r="AA695" s="18"/>
      <c r="AB695" s="18"/>
      <c r="AC695" s="18"/>
    </row>
    <row r="696" spans="23:29" customFormat="1" x14ac:dyDescent="0.25">
      <c r="W696" s="37"/>
      <c r="X696" s="52"/>
      <c r="Y696" s="52"/>
      <c r="Z696" s="37"/>
      <c r="AA696" s="18"/>
      <c r="AB696" s="18"/>
      <c r="AC696" s="18"/>
    </row>
    <row r="697" spans="23:29" customFormat="1" x14ac:dyDescent="0.25">
      <c r="W697" s="37"/>
      <c r="X697" s="52"/>
      <c r="Y697" s="52"/>
      <c r="Z697" s="37"/>
      <c r="AA697" s="18"/>
      <c r="AB697" s="18"/>
      <c r="AC697" s="18"/>
    </row>
    <row r="698" spans="23:29" customFormat="1" x14ac:dyDescent="0.25">
      <c r="W698" s="37"/>
      <c r="X698" s="52"/>
      <c r="Y698" s="52"/>
      <c r="Z698" s="37"/>
      <c r="AA698" s="18"/>
      <c r="AB698" s="18"/>
      <c r="AC698" s="18"/>
    </row>
    <row r="699" spans="23:29" customFormat="1" x14ac:dyDescent="0.25">
      <c r="W699" s="37"/>
      <c r="X699" s="52"/>
      <c r="Y699" s="52"/>
      <c r="Z699" s="37"/>
      <c r="AA699" s="18"/>
      <c r="AB699" s="18"/>
      <c r="AC699" s="18"/>
    </row>
    <row r="700" spans="23:29" customFormat="1" x14ac:dyDescent="0.25">
      <c r="W700" s="37"/>
      <c r="X700" s="52"/>
      <c r="Y700" s="52"/>
      <c r="Z700" s="37"/>
      <c r="AA700" s="18"/>
      <c r="AB700" s="18"/>
      <c r="AC700" s="18"/>
    </row>
    <row r="701" spans="23:29" customFormat="1" x14ac:dyDescent="0.25">
      <c r="W701" s="37"/>
      <c r="X701" s="52"/>
      <c r="Y701" s="52"/>
      <c r="Z701" s="37"/>
      <c r="AA701" s="18"/>
      <c r="AB701" s="18"/>
      <c r="AC701" s="18"/>
    </row>
    <row r="702" spans="23:29" customFormat="1" x14ac:dyDescent="0.25">
      <c r="W702" s="37"/>
      <c r="X702" s="52"/>
      <c r="Y702" s="52"/>
      <c r="Z702" s="37"/>
      <c r="AA702" s="18"/>
      <c r="AB702" s="18"/>
      <c r="AC702" s="18"/>
    </row>
    <row r="703" spans="23:29" customFormat="1" x14ac:dyDescent="0.25">
      <c r="W703" s="37"/>
      <c r="X703" s="52"/>
      <c r="Y703" s="52"/>
      <c r="Z703" s="37"/>
      <c r="AA703" s="18"/>
      <c r="AB703" s="18"/>
      <c r="AC703" s="18"/>
    </row>
    <row r="704" spans="23:29" customFormat="1" x14ac:dyDescent="0.25">
      <c r="W704" s="37"/>
      <c r="X704" s="52"/>
      <c r="Y704" s="52"/>
      <c r="Z704" s="37"/>
      <c r="AA704" s="18"/>
      <c r="AB704" s="18"/>
      <c r="AC704" s="18"/>
    </row>
    <row r="705" spans="23:29" customFormat="1" x14ac:dyDescent="0.25">
      <c r="W705" s="37"/>
      <c r="X705" s="52"/>
      <c r="Y705" s="52"/>
      <c r="Z705" s="37"/>
      <c r="AA705" s="18"/>
      <c r="AB705" s="18"/>
      <c r="AC705" s="18"/>
    </row>
    <row r="706" spans="23:29" customFormat="1" x14ac:dyDescent="0.25">
      <c r="W706" s="37"/>
      <c r="X706" s="52"/>
      <c r="Y706" s="52"/>
      <c r="Z706" s="37"/>
      <c r="AA706" s="18"/>
      <c r="AB706" s="18"/>
      <c r="AC706" s="18"/>
    </row>
    <row r="707" spans="23:29" customFormat="1" x14ac:dyDescent="0.25">
      <c r="W707" s="37"/>
      <c r="X707" s="52"/>
      <c r="Y707" s="52"/>
      <c r="Z707" s="37"/>
      <c r="AA707" s="18"/>
      <c r="AB707" s="18"/>
      <c r="AC707" s="18"/>
    </row>
    <row r="708" spans="23:29" customFormat="1" x14ac:dyDescent="0.25">
      <c r="W708" s="37"/>
      <c r="X708" s="52"/>
      <c r="Y708" s="52"/>
      <c r="Z708" s="37"/>
      <c r="AA708" s="18"/>
      <c r="AB708" s="18"/>
      <c r="AC708" s="18"/>
    </row>
    <row r="709" spans="23:29" customFormat="1" x14ac:dyDescent="0.25">
      <c r="W709" s="37"/>
      <c r="X709" s="52"/>
      <c r="Y709" s="52"/>
      <c r="Z709" s="37"/>
      <c r="AA709" s="18"/>
      <c r="AB709" s="18"/>
      <c r="AC709" s="18"/>
    </row>
    <row r="710" spans="23:29" customFormat="1" x14ac:dyDescent="0.25">
      <c r="W710" s="37"/>
      <c r="X710" s="52"/>
      <c r="Y710" s="52"/>
      <c r="Z710" s="37"/>
      <c r="AA710" s="18"/>
      <c r="AB710" s="18"/>
      <c r="AC710" s="18"/>
    </row>
    <row r="711" spans="23:29" customFormat="1" x14ac:dyDescent="0.25">
      <c r="W711" s="37"/>
      <c r="X711" s="52"/>
      <c r="Y711" s="52"/>
      <c r="Z711" s="37"/>
      <c r="AA711" s="18"/>
      <c r="AB711" s="18"/>
      <c r="AC711" s="18"/>
    </row>
    <row r="712" spans="23:29" customFormat="1" x14ac:dyDescent="0.25">
      <c r="W712" s="37"/>
      <c r="X712" s="52"/>
      <c r="Y712" s="52"/>
      <c r="Z712" s="37"/>
      <c r="AA712" s="18"/>
      <c r="AB712" s="18"/>
      <c r="AC712" s="18"/>
    </row>
    <row r="713" spans="23:29" customFormat="1" x14ac:dyDescent="0.25">
      <c r="W713" s="37"/>
      <c r="X713" s="52"/>
      <c r="Y713" s="52"/>
      <c r="Z713" s="37"/>
      <c r="AA713" s="18"/>
      <c r="AB713" s="18"/>
      <c r="AC713" s="18"/>
    </row>
    <row r="714" spans="23:29" customFormat="1" x14ac:dyDescent="0.25">
      <c r="W714" s="37"/>
      <c r="X714" s="52"/>
      <c r="Y714" s="52"/>
      <c r="Z714" s="37"/>
      <c r="AA714" s="18"/>
      <c r="AB714" s="18"/>
      <c r="AC714" s="18"/>
    </row>
    <row r="715" spans="23:29" customFormat="1" x14ac:dyDescent="0.25">
      <c r="W715" s="37"/>
      <c r="X715" s="52"/>
      <c r="Y715" s="52"/>
      <c r="Z715" s="37"/>
      <c r="AA715" s="18"/>
      <c r="AB715" s="18"/>
      <c r="AC715" s="18"/>
    </row>
    <row r="716" spans="23:29" customFormat="1" x14ac:dyDescent="0.25">
      <c r="W716" s="37"/>
      <c r="X716" s="52"/>
      <c r="Y716" s="52"/>
      <c r="Z716" s="37"/>
      <c r="AA716" s="18"/>
      <c r="AB716" s="18"/>
      <c r="AC716" s="18"/>
    </row>
    <row r="717" spans="23:29" customFormat="1" x14ac:dyDescent="0.25">
      <c r="W717" s="37"/>
      <c r="X717" s="52"/>
      <c r="Y717" s="52"/>
      <c r="Z717" s="37"/>
      <c r="AA717" s="18"/>
      <c r="AB717" s="18"/>
      <c r="AC717" s="18"/>
    </row>
    <row r="718" spans="23:29" customFormat="1" x14ac:dyDescent="0.25">
      <c r="W718" s="37"/>
      <c r="X718" s="52"/>
      <c r="Y718" s="52"/>
      <c r="Z718" s="37"/>
      <c r="AA718" s="18"/>
      <c r="AB718" s="18"/>
      <c r="AC718" s="18"/>
    </row>
    <row r="719" spans="23:29" customFormat="1" x14ac:dyDescent="0.25">
      <c r="W719" s="37"/>
      <c r="X719" s="52"/>
      <c r="Y719" s="52"/>
      <c r="Z719" s="37"/>
      <c r="AA719" s="18"/>
      <c r="AB719" s="18"/>
      <c r="AC719" s="18"/>
    </row>
    <row r="720" spans="23:29" customFormat="1" x14ac:dyDescent="0.25">
      <c r="W720" s="37"/>
      <c r="X720" s="52"/>
      <c r="Y720" s="52"/>
      <c r="Z720" s="37"/>
      <c r="AA720" s="18"/>
      <c r="AB720" s="18"/>
      <c r="AC720" s="18"/>
    </row>
    <row r="721" spans="23:29" customFormat="1" x14ac:dyDescent="0.25">
      <c r="W721" s="37"/>
      <c r="X721" s="52"/>
      <c r="Y721" s="52"/>
      <c r="Z721" s="37"/>
      <c r="AA721" s="18"/>
      <c r="AB721" s="18"/>
      <c r="AC721" s="18"/>
    </row>
    <row r="722" spans="23:29" customFormat="1" x14ac:dyDescent="0.25">
      <c r="W722" s="37"/>
      <c r="X722" s="52"/>
      <c r="Y722" s="52"/>
      <c r="Z722" s="37"/>
      <c r="AA722" s="18"/>
      <c r="AB722" s="18"/>
      <c r="AC722" s="18"/>
    </row>
    <row r="723" spans="23:29" customFormat="1" x14ac:dyDescent="0.25">
      <c r="W723" s="37"/>
      <c r="X723" s="52"/>
      <c r="Y723" s="52"/>
      <c r="Z723" s="37"/>
      <c r="AA723" s="18"/>
      <c r="AB723" s="18"/>
      <c r="AC723" s="18"/>
    </row>
    <row r="724" spans="23:29" customFormat="1" x14ac:dyDescent="0.25">
      <c r="W724" s="37"/>
      <c r="X724" s="52"/>
      <c r="Y724" s="52"/>
      <c r="Z724" s="37"/>
      <c r="AA724" s="18"/>
      <c r="AB724" s="18"/>
      <c r="AC724" s="18"/>
    </row>
    <row r="725" spans="23:29" customFormat="1" x14ac:dyDescent="0.25">
      <c r="W725" s="37"/>
      <c r="X725" s="52"/>
      <c r="Y725" s="52"/>
      <c r="Z725" s="37"/>
      <c r="AA725" s="18"/>
      <c r="AB725" s="18"/>
      <c r="AC725" s="18"/>
    </row>
    <row r="726" spans="23:29" customFormat="1" x14ac:dyDescent="0.25">
      <c r="W726" s="37"/>
      <c r="X726" s="52"/>
      <c r="Y726" s="52"/>
      <c r="Z726" s="37"/>
      <c r="AA726" s="18"/>
      <c r="AB726" s="18"/>
      <c r="AC726" s="18"/>
    </row>
    <row r="727" spans="23:29" customFormat="1" x14ac:dyDescent="0.25">
      <c r="W727" s="37"/>
      <c r="X727" s="52"/>
      <c r="Y727" s="52"/>
      <c r="Z727" s="37"/>
      <c r="AA727" s="18"/>
      <c r="AB727" s="18"/>
      <c r="AC727" s="18"/>
    </row>
    <row r="728" spans="23:29" customFormat="1" x14ac:dyDescent="0.25">
      <c r="W728" s="37"/>
      <c r="X728" s="52"/>
      <c r="Y728" s="52"/>
      <c r="Z728" s="37"/>
      <c r="AA728" s="18"/>
      <c r="AB728" s="18"/>
      <c r="AC728" s="18"/>
    </row>
    <row r="729" spans="23:29" customFormat="1" x14ac:dyDescent="0.25">
      <c r="W729" s="37"/>
      <c r="X729" s="52"/>
      <c r="Y729" s="52"/>
      <c r="Z729" s="37"/>
      <c r="AA729" s="18"/>
      <c r="AB729" s="18"/>
      <c r="AC729" s="18"/>
    </row>
    <row r="730" spans="23:29" customFormat="1" x14ac:dyDescent="0.25">
      <c r="W730" s="37"/>
      <c r="X730" s="52"/>
      <c r="Y730" s="52"/>
      <c r="Z730" s="37"/>
      <c r="AA730" s="18"/>
      <c r="AB730" s="18"/>
      <c r="AC730" s="18"/>
    </row>
    <row r="731" spans="23:29" customFormat="1" x14ac:dyDescent="0.25">
      <c r="W731" s="37"/>
      <c r="X731" s="52"/>
      <c r="Y731" s="52"/>
      <c r="Z731" s="37"/>
      <c r="AA731" s="18"/>
      <c r="AB731" s="18"/>
      <c r="AC731" s="18"/>
    </row>
    <row r="732" spans="23:29" customFormat="1" x14ac:dyDescent="0.25">
      <c r="W732" s="37"/>
      <c r="X732" s="52"/>
      <c r="Y732" s="52"/>
      <c r="Z732" s="37"/>
      <c r="AA732" s="18"/>
      <c r="AB732" s="18"/>
      <c r="AC732" s="18"/>
    </row>
    <row r="733" spans="23:29" customFormat="1" x14ac:dyDescent="0.25">
      <c r="W733" s="37"/>
      <c r="X733" s="52"/>
      <c r="Y733" s="52"/>
      <c r="Z733" s="37"/>
      <c r="AA733" s="18"/>
      <c r="AB733" s="18"/>
      <c r="AC733" s="18"/>
    </row>
    <row r="734" spans="23:29" customFormat="1" x14ac:dyDescent="0.25">
      <c r="W734" s="37"/>
      <c r="X734" s="52"/>
      <c r="Y734" s="52"/>
      <c r="Z734" s="37"/>
      <c r="AA734" s="18"/>
      <c r="AB734" s="18"/>
      <c r="AC734" s="18"/>
    </row>
    <row r="735" spans="23:29" customFormat="1" x14ac:dyDescent="0.25">
      <c r="W735" s="37"/>
      <c r="X735" s="52"/>
      <c r="Y735" s="52"/>
      <c r="Z735" s="37"/>
      <c r="AA735" s="18"/>
      <c r="AB735" s="18"/>
      <c r="AC735" s="18"/>
    </row>
    <row r="736" spans="23:29" customFormat="1" x14ac:dyDescent="0.25">
      <c r="W736" s="37"/>
      <c r="X736" s="52"/>
      <c r="Y736" s="52"/>
      <c r="Z736" s="37"/>
      <c r="AA736" s="18"/>
      <c r="AB736" s="18"/>
      <c r="AC736" s="18"/>
    </row>
    <row r="737" spans="23:29" customFormat="1" x14ac:dyDescent="0.25">
      <c r="W737" s="37"/>
      <c r="X737" s="52"/>
      <c r="Y737" s="52"/>
      <c r="Z737" s="37"/>
      <c r="AA737" s="18"/>
      <c r="AB737" s="18"/>
      <c r="AC737" s="18"/>
    </row>
    <row r="738" spans="23:29" customFormat="1" x14ac:dyDescent="0.25">
      <c r="W738" s="37"/>
      <c r="X738" s="52"/>
      <c r="Y738" s="52"/>
      <c r="Z738" s="37"/>
      <c r="AA738" s="18"/>
      <c r="AB738" s="18"/>
      <c r="AC738" s="18"/>
    </row>
    <row r="739" spans="23:29" customFormat="1" x14ac:dyDescent="0.25">
      <c r="W739" s="37"/>
      <c r="X739" s="52"/>
      <c r="Y739" s="52"/>
      <c r="Z739" s="37"/>
      <c r="AA739" s="18"/>
      <c r="AB739" s="18"/>
      <c r="AC739" s="18"/>
    </row>
    <row r="740" spans="23:29" customFormat="1" x14ac:dyDescent="0.25">
      <c r="W740" s="37"/>
      <c r="X740" s="52"/>
      <c r="Y740" s="52"/>
      <c r="Z740" s="37"/>
      <c r="AA740" s="18"/>
      <c r="AB740" s="18"/>
      <c r="AC740" s="18"/>
    </row>
    <row r="741" spans="23:29" customFormat="1" x14ac:dyDescent="0.25">
      <c r="W741" s="37"/>
      <c r="X741" s="52"/>
      <c r="Y741" s="52"/>
      <c r="Z741" s="37"/>
      <c r="AA741" s="18"/>
      <c r="AB741" s="18"/>
      <c r="AC741" s="18"/>
    </row>
    <row r="742" spans="23:29" customFormat="1" x14ac:dyDescent="0.25">
      <c r="W742" s="37"/>
      <c r="X742" s="52"/>
      <c r="Y742" s="52"/>
      <c r="Z742" s="37"/>
      <c r="AA742" s="18"/>
      <c r="AB742" s="18"/>
      <c r="AC742" s="18"/>
    </row>
    <row r="743" spans="23:29" customFormat="1" x14ac:dyDescent="0.25">
      <c r="W743" s="37"/>
      <c r="X743" s="52"/>
      <c r="Y743" s="52"/>
      <c r="Z743" s="37"/>
      <c r="AA743" s="18"/>
      <c r="AB743" s="18"/>
      <c r="AC743" s="18"/>
    </row>
    <row r="744" spans="23:29" customFormat="1" x14ac:dyDescent="0.25">
      <c r="W744" s="37"/>
      <c r="X744" s="52"/>
      <c r="Y744" s="52"/>
      <c r="Z744" s="37"/>
      <c r="AA744" s="18"/>
      <c r="AB744" s="18"/>
      <c r="AC744" s="18"/>
    </row>
    <row r="745" spans="23:29" customFormat="1" x14ac:dyDescent="0.25">
      <c r="W745" s="37"/>
      <c r="X745" s="52"/>
      <c r="Y745" s="52"/>
      <c r="Z745" s="37"/>
      <c r="AA745" s="18"/>
      <c r="AB745" s="18"/>
      <c r="AC745" s="18"/>
    </row>
    <row r="746" spans="23:29" customFormat="1" x14ac:dyDescent="0.25">
      <c r="W746" s="37"/>
      <c r="X746" s="52"/>
      <c r="Y746" s="52"/>
      <c r="Z746" s="37"/>
      <c r="AA746" s="18"/>
      <c r="AB746" s="18"/>
      <c r="AC746" s="18"/>
    </row>
    <row r="747" spans="23:29" customFormat="1" x14ac:dyDescent="0.25">
      <c r="W747" s="37"/>
      <c r="X747" s="52"/>
      <c r="Y747" s="52"/>
      <c r="Z747" s="37"/>
      <c r="AA747" s="18"/>
      <c r="AB747" s="18"/>
      <c r="AC747" s="18"/>
    </row>
    <row r="748" spans="23:29" customFormat="1" x14ac:dyDescent="0.25">
      <c r="W748" s="37"/>
      <c r="X748" s="52"/>
      <c r="Y748" s="52"/>
      <c r="Z748" s="37"/>
      <c r="AA748" s="18"/>
      <c r="AB748" s="18"/>
      <c r="AC748" s="18"/>
    </row>
    <row r="749" spans="23:29" customFormat="1" x14ac:dyDescent="0.25">
      <c r="W749" s="37"/>
      <c r="X749" s="52"/>
      <c r="Y749" s="52"/>
      <c r="Z749" s="37"/>
      <c r="AA749" s="18"/>
      <c r="AB749" s="18"/>
      <c r="AC749" s="18"/>
    </row>
    <row r="750" spans="23:29" customFormat="1" x14ac:dyDescent="0.25">
      <c r="W750" s="37"/>
      <c r="X750" s="52"/>
      <c r="Y750" s="52"/>
      <c r="Z750" s="37"/>
      <c r="AA750" s="18"/>
      <c r="AB750" s="18"/>
      <c r="AC750" s="18"/>
    </row>
    <row r="751" spans="23:29" customFormat="1" x14ac:dyDescent="0.25">
      <c r="W751" s="37"/>
      <c r="X751" s="52"/>
      <c r="Y751" s="52"/>
      <c r="Z751" s="37"/>
      <c r="AA751" s="18"/>
      <c r="AB751" s="18"/>
      <c r="AC751" s="18"/>
    </row>
    <row r="752" spans="23:29" customFormat="1" x14ac:dyDescent="0.25">
      <c r="W752" s="37"/>
      <c r="X752" s="52"/>
      <c r="Y752" s="52"/>
      <c r="Z752" s="37"/>
      <c r="AA752" s="18"/>
      <c r="AB752" s="18"/>
      <c r="AC752" s="18"/>
    </row>
    <row r="753" spans="23:29" customFormat="1" x14ac:dyDescent="0.25">
      <c r="W753" s="37"/>
      <c r="X753" s="52"/>
      <c r="Y753" s="52"/>
      <c r="Z753" s="37"/>
      <c r="AA753" s="18"/>
      <c r="AB753" s="18"/>
      <c r="AC753" s="18"/>
    </row>
    <row r="754" spans="23:29" customFormat="1" x14ac:dyDescent="0.25">
      <c r="W754" s="37"/>
      <c r="X754" s="52"/>
      <c r="Y754" s="52"/>
      <c r="Z754" s="37"/>
      <c r="AA754" s="18"/>
      <c r="AB754" s="18"/>
      <c r="AC754" s="18"/>
    </row>
    <row r="755" spans="23:29" customFormat="1" x14ac:dyDescent="0.25">
      <c r="W755" s="37"/>
      <c r="X755" s="52"/>
      <c r="Y755" s="52"/>
      <c r="Z755" s="37"/>
      <c r="AA755" s="18"/>
      <c r="AB755" s="18"/>
      <c r="AC755" s="18"/>
    </row>
    <row r="756" spans="23:29" customFormat="1" x14ac:dyDescent="0.25">
      <c r="W756" s="37"/>
      <c r="X756" s="52"/>
      <c r="Y756" s="52"/>
      <c r="Z756" s="37"/>
      <c r="AA756" s="18"/>
      <c r="AB756" s="18"/>
      <c r="AC756" s="18"/>
    </row>
    <row r="757" spans="23:29" customFormat="1" x14ac:dyDescent="0.25">
      <c r="W757" s="37"/>
      <c r="X757" s="52"/>
      <c r="Y757" s="52"/>
      <c r="Z757" s="37"/>
      <c r="AA757" s="18"/>
      <c r="AB757" s="18"/>
      <c r="AC757" s="18"/>
    </row>
    <row r="758" spans="23:29" customFormat="1" x14ac:dyDescent="0.25">
      <c r="W758" s="37"/>
      <c r="X758" s="52"/>
      <c r="Y758" s="52"/>
      <c r="Z758" s="37"/>
      <c r="AA758" s="18"/>
      <c r="AB758" s="18"/>
      <c r="AC758" s="18"/>
    </row>
    <row r="759" spans="23:29" customFormat="1" x14ac:dyDescent="0.25">
      <c r="W759" s="37"/>
      <c r="X759" s="52"/>
      <c r="Y759" s="52"/>
      <c r="Z759" s="37"/>
      <c r="AA759" s="18"/>
      <c r="AB759" s="18"/>
      <c r="AC759" s="18"/>
    </row>
    <row r="760" spans="23:29" customFormat="1" x14ac:dyDescent="0.25">
      <c r="W760" s="37"/>
      <c r="X760" s="52"/>
      <c r="Y760" s="52"/>
      <c r="Z760" s="37"/>
      <c r="AA760" s="18"/>
      <c r="AB760" s="18"/>
      <c r="AC760" s="18"/>
    </row>
    <row r="761" spans="23:29" customFormat="1" x14ac:dyDescent="0.25">
      <c r="W761" s="37"/>
      <c r="X761" s="52"/>
      <c r="Y761" s="52"/>
      <c r="Z761" s="37"/>
      <c r="AA761" s="18"/>
      <c r="AB761" s="18"/>
      <c r="AC761" s="18"/>
    </row>
    <row r="762" spans="23:29" customFormat="1" x14ac:dyDescent="0.25">
      <c r="W762" s="37"/>
      <c r="X762" s="52"/>
      <c r="Y762" s="52"/>
      <c r="Z762" s="37"/>
      <c r="AA762" s="18"/>
      <c r="AB762" s="18"/>
      <c r="AC762" s="18"/>
    </row>
    <row r="763" spans="23:29" customFormat="1" x14ac:dyDescent="0.25">
      <c r="W763" s="37"/>
      <c r="X763" s="52"/>
      <c r="Y763" s="52"/>
      <c r="Z763" s="37"/>
      <c r="AA763" s="18"/>
      <c r="AB763" s="18"/>
      <c r="AC763" s="18"/>
    </row>
    <row r="764" spans="23:29" customFormat="1" x14ac:dyDescent="0.25">
      <c r="W764" s="37"/>
      <c r="X764" s="52"/>
      <c r="Y764" s="52"/>
      <c r="Z764" s="37"/>
      <c r="AA764" s="18"/>
      <c r="AB764" s="18"/>
      <c r="AC764" s="18"/>
    </row>
    <row r="765" spans="23:29" customFormat="1" x14ac:dyDescent="0.25">
      <c r="W765" s="37"/>
      <c r="X765" s="52"/>
      <c r="Y765" s="52"/>
      <c r="Z765" s="37"/>
      <c r="AA765" s="18"/>
      <c r="AB765" s="18"/>
      <c r="AC765" s="18"/>
    </row>
    <row r="766" spans="23:29" customFormat="1" x14ac:dyDescent="0.25">
      <c r="W766" s="37"/>
      <c r="X766" s="52"/>
      <c r="Y766" s="52"/>
      <c r="Z766" s="37"/>
      <c r="AA766" s="18"/>
      <c r="AB766" s="18"/>
      <c r="AC766" s="18"/>
    </row>
    <row r="767" spans="23:29" customFormat="1" x14ac:dyDescent="0.25">
      <c r="W767" s="37"/>
      <c r="X767" s="52"/>
      <c r="Y767" s="52"/>
      <c r="Z767" s="37"/>
      <c r="AA767" s="18"/>
      <c r="AB767" s="18"/>
      <c r="AC767" s="18"/>
    </row>
    <row r="768" spans="23:29" customFormat="1" x14ac:dyDescent="0.25">
      <c r="W768" s="37"/>
      <c r="X768" s="52"/>
      <c r="Y768" s="52"/>
      <c r="Z768" s="37"/>
      <c r="AA768" s="18"/>
      <c r="AB768" s="18"/>
      <c r="AC768" s="18"/>
    </row>
    <row r="769" spans="23:29" customFormat="1" x14ac:dyDescent="0.25">
      <c r="W769" s="37"/>
      <c r="X769" s="52"/>
      <c r="Y769" s="52"/>
      <c r="Z769" s="37"/>
      <c r="AA769" s="18"/>
      <c r="AB769" s="18"/>
      <c r="AC769" s="18"/>
    </row>
    <row r="770" spans="23:29" customFormat="1" x14ac:dyDescent="0.25">
      <c r="W770" s="37"/>
      <c r="X770" s="52"/>
      <c r="Y770" s="52"/>
      <c r="Z770" s="37"/>
      <c r="AA770" s="18"/>
      <c r="AB770" s="18"/>
      <c r="AC770" s="18"/>
    </row>
    <row r="771" spans="23:29" customFormat="1" x14ac:dyDescent="0.25">
      <c r="W771" s="37"/>
      <c r="X771" s="52"/>
      <c r="Y771" s="52"/>
      <c r="Z771" s="37"/>
      <c r="AA771" s="18"/>
      <c r="AB771" s="18"/>
      <c r="AC771" s="18"/>
    </row>
    <row r="772" spans="23:29" customFormat="1" x14ac:dyDescent="0.25">
      <c r="W772" s="37"/>
      <c r="X772" s="52"/>
      <c r="Y772" s="52"/>
      <c r="Z772" s="37"/>
      <c r="AA772" s="18"/>
      <c r="AB772" s="18"/>
      <c r="AC772" s="18"/>
    </row>
    <row r="773" spans="23:29" customFormat="1" x14ac:dyDescent="0.25">
      <c r="W773" s="37"/>
      <c r="X773" s="52"/>
      <c r="Y773" s="52"/>
      <c r="Z773" s="37"/>
      <c r="AA773" s="18"/>
      <c r="AB773" s="18"/>
      <c r="AC773" s="18"/>
    </row>
    <row r="774" spans="23:29" customFormat="1" x14ac:dyDescent="0.25">
      <c r="W774" s="37"/>
      <c r="X774" s="52"/>
      <c r="Y774" s="52"/>
      <c r="Z774" s="37"/>
      <c r="AA774" s="18"/>
      <c r="AB774" s="18"/>
      <c r="AC774" s="18"/>
    </row>
    <row r="775" spans="23:29" customFormat="1" x14ac:dyDescent="0.25">
      <c r="W775" s="37"/>
      <c r="X775" s="52"/>
      <c r="Y775" s="52"/>
      <c r="Z775" s="37"/>
      <c r="AA775" s="18"/>
      <c r="AB775" s="18"/>
      <c r="AC775" s="18"/>
    </row>
    <row r="776" spans="23:29" customFormat="1" x14ac:dyDescent="0.25">
      <c r="W776" s="37"/>
      <c r="X776" s="52"/>
      <c r="Y776" s="52"/>
      <c r="Z776" s="37"/>
      <c r="AA776" s="18"/>
      <c r="AB776" s="18"/>
      <c r="AC776" s="18"/>
    </row>
    <row r="777" spans="23:29" customFormat="1" x14ac:dyDescent="0.25">
      <c r="W777" s="37"/>
      <c r="X777" s="52"/>
      <c r="Y777" s="52"/>
      <c r="Z777" s="37"/>
      <c r="AA777" s="18"/>
      <c r="AB777" s="18"/>
      <c r="AC777" s="18"/>
    </row>
    <row r="778" spans="23:29" customFormat="1" x14ac:dyDescent="0.25">
      <c r="W778" s="37"/>
      <c r="X778" s="52"/>
      <c r="Y778" s="52"/>
      <c r="Z778" s="37"/>
      <c r="AA778" s="18"/>
      <c r="AB778" s="18"/>
      <c r="AC778" s="18"/>
    </row>
    <row r="779" spans="23:29" customFormat="1" x14ac:dyDescent="0.25">
      <c r="W779" s="37"/>
      <c r="X779" s="52"/>
      <c r="Y779" s="52"/>
      <c r="Z779" s="37"/>
      <c r="AA779" s="18"/>
      <c r="AB779" s="18"/>
      <c r="AC779" s="18"/>
    </row>
    <row r="780" spans="23:29" customFormat="1" x14ac:dyDescent="0.25">
      <c r="W780" s="37"/>
      <c r="X780" s="52"/>
      <c r="Y780" s="52"/>
      <c r="Z780" s="37"/>
      <c r="AA780" s="18"/>
      <c r="AB780" s="18"/>
      <c r="AC780" s="18"/>
    </row>
    <row r="781" spans="23:29" customFormat="1" x14ac:dyDescent="0.25">
      <c r="W781" s="37"/>
      <c r="X781" s="52"/>
      <c r="Y781" s="52"/>
      <c r="Z781" s="37"/>
      <c r="AA781" s="18"/>
      <c r="AB781" s="18"/>
      <c r="AC781" s="18"/>
    </row>
    <row r="782" spans="23:29" customFormat="1" x14ac:dyDescent="0.25">
      <c r="W782" s="37"/>
      <c r="X782" s="52"/>
      <c r="Y782" s="52"/>
      <c r="Z782" s="37"/>
      <c r="AA782" s="18"/>
      <c r="AB782" s="18"/>
      <c r="AC782" s="18"/>
    </row>
    <row r="783" spans="23:29" customFormat="1" x14ac:dyDescent="0.25">
      <c r="W783" s="37"/>
      <c r="X783" s="52"/>
      <c r="Y783" s="52"/>
      <c r="Z783" s="37"/>
      <c r="AA783" s="18"/>
      <c r="AB783" s="18"/>
      <c r="AC783" s="18"/>
    </row>
    <row r="784" spans="23:29" customFormat="1" x14ac:dyDescent="0.25">
      <c r="W784" s="37"/>
      <c r="X784" s="52"/>
      <c r="Y784" s="52"/>
      <c r="Z784" s="37"/>
      <c r="AA784" s="18"/>
      <c r="AB784" s="18"/>
      <c r="AC784" s="18"/>
    </row>
    <row r="785" spans="23:29" customFormat="1" x14ac:dyDescent="0.25">
      <c r="W785" s="37"/>
      <c r="X785" s="52"/>
      <c r="Y785" s="52"/>
      <c r="Z785" s="37"/>
      <c r="AA785" s="18"/>
      <c r="AB785" s="18"/>
      <c r="AC785" s="18"/>
    </row>
    <row r="786" spans="23:29" customFormat="1" x14ac:dyDescent="0.25">
      <c r="W786" s="37"/>
      <c r="X786" s="52"/>
      <c r="Y786" s="52"/>
      <c r="Z786" s="37"/>
      <c r="AA786" s="18"/>
      <c r="AB786" s="18"/>
      <c r="AC786" s="18"/>
    </row>
    <row r="787" spans="23:29" customFormat="1" x14ac:dyDescent="0.25">
      <c r="W787" s="37"/>
      <c r="X787" s="52"/>
      <c r="Y787" s="52"/>
      <c r="Z787" s="37"/>
      <c r="AA787" s="18"/>
      <c r="AB787" s="18"/>
      <c r="AC787" s="18"/>
    </row>
    <row r="788" spans="23:29" customFormat="1" x14ac:dyDescent="0.25">
      <c r="W788" s="37"/>
      <c r="X788" s="52"/>
      <c r="Y788" s="52"/>
      <c r="Z788" s="37"/>
      <c r="AA788" s="18"/>
      <c r="AB788" s="18"/>
      <c r="AC788" s="18"/>
    </row>
    <row r="789" spans="23:29" customFormat="1" x14ac:dyDescent="0.25">
      <c r="W789" s="37"/>
      <c r="X789" s="52"/>
      <c r="Y789" s="52"/>
      <c r="Z789" s="37"/>
      <c r="AA789" s="18"/>
      <c r="AB789" s="18"/>
      <c r="AC789" s="18"/>
    </row>
    <row r="790" spans="23:29" customFormat="1" x14ac:dyDescent="0.25">
      <c r="W790" s="37"/>
      <c r="X790" s="52"/>
      <c r="Y790" s="52"/>
      <c r="Z790" s="37"/>
      <c r="AA790" s="18"/>
      <c r="AB790" s="18"/>
      <c r="AC790" s="18"/>
    </row>
    <row r="791" spans="23:29" customFormat="1" x14ac:dyDescent="0.25">
      <c r="W791" s="37"/>
      <c r="X791" s="52"/>
      <c r="Y791" s="52"/>
      <c r="Z791" s="37"/>
      <c r="AA791" s="18"/>
      <c r="AB791" s="18"/>
      <c r="AC791" s="18"/>
    </row>
    <row r="792" spans="23:29" customFormat="1" x14ac:dyDescent="0.25">
      <c r="W792" s="37"/>
      <c r="X792" s="52"/>
      <c r="Y792" s="52"/>
      <c r="Z792" s="37"/>
      <c r="AA792" s="18"/>
      <c r="AB792" s="18"/>
      <c r="AC792" s="18"/>
    </row>
    <row r="793" spans="23:29" customFormat="1" x14ac:dyDescent="0.25">
      <c r="W793" s="37"/>
      <c r="X793" s="52"/>
      <c r="Y793" s="52"/>
      <c r="Z793" s="37"/>
      <c r="AA793" s="18"/>
      <c r="AB793" s="18"/>
      <c r="AC793" s="18"/>
    </row>
    <row r="794" spans="23:29" customFormat="1" x14ac:dyDescent="0.25">
      <c r="W794" s="37"/>
      <c r="X794" s="52"/>
      <c r="Y794" s="52"/>
      <c r="Z794" s="37"/>
      <c r="AA794" s="18"/>
      <c r="AB794" s="18"/>
      <c r="AC794" s="18"/>
    </row>
    <row r="795" spans="23:29" customFormat="1" x14ac:dyDescent="0.25">
      <c r="W795" s="37"/>
      <c r="X795" s="52"/>
      <c r="Y795" s="52"/>
      <c r="Z795" s="37"/>
      <c r="AA795" s="18"/>
      <c r="AB795" s="18"/>
      <c r="AC795" s="18"/>
    </row>
    <row r="796" spans="23:29" customFormat="1" x14ac:dyDescent="0.25">
      <c r="W796" s="37"/>
      <c r="X796" s="52"/>
      <c r="Y796" s="52"/>
      <c r="Z796" s="37"/>
      <c r="AA796" s="18"/>
      <c r="AB796" s="18"/>
      <c r="AC796" s="18"/>
    </row>
    <row r="797" spans="23:29" customFormat="1" x14ac:dyDescent="0.25">
      <c r="W797" s="37"/>
      <c r="X797" s="52"/>
      <c r="Y797" s="52"/>
      <c r="Z797" s="37"/>
      <c r="AA797" s="18"/>
      <c r="AB797" s="18"/>
      <c r="AC797" s="18"/>
    </row>
    <row r="798" spans="23:29" customFormat="1" x14ac:dyDescent="0.25">
      <c r="W798" s="37"/>
      <c r="X798" s="52"/>
      <c r="Y798" s="52"/>
      <c r="Z798" s="37"/>
      <c r="AA798" s="18"/>
      <c r="AB798" s="18"/>
      <c r="AC798" s="18"/>
    </row>
    <row r="799" spans="23:29" customFormat="1" x14ac:dyDescent="0.25">
      <c r="W799" s="37"/>
      <c r="X799" s="52"/>
      <c r="Y799" s="52"/>
      <c r="Z799" s="37"/>
      <c r="AA799" s="18"/>
      <c r="AB799" s="18"/>
      <c r="AC799" s="18"/>
    </row>
    <row r="800" spans="23:29" customFormat="1" x14ac:dyDescent="0.25">
      <c r="W800" s="37"/>
      <c r="X800" s="52"/>
      <c r="Y800" s="52"/>
      <c r="Z800" s="37"/>
      <c r="AA800" s="18"/>
      <c r="AB800" s="18"/>
      <c r="AC800" s="18"/>
    </row>
    <row r="801" spans="23:29" customFormat="1" x14ac:dyDescent="0.25">
      <c r="W801" s="37"/>
      <c r="X801" s="52"/>
      <c r="Y801" s="52"/>
      <c r="Z801" s="37"/>
      <c r="AA801" s="18"/>
      <c r="AB801" s="18"/>
      <c r="AC801" s="18"/>
    </row>
    <row r="802" spans="23:29" customFormat="1" x14ac:dyDescent="0.25">
      <c r="W802" s="37"/>
      <c r="X802" s="52"/>
      <c r="Y802" s="52"/>
      <c r="Z802" s="37"/>
      <c r="AA802" s="18"/>
      <c r="AB802" s="18"/>
      <c r="AC802" s="18"/>
    </row>
    <row r="803" spans="23:29" customFormat="1" x14ac:dyDescent="0.25">
      <c r="W803" s="37"/>
      <c r="X803" s="52"/>
      <c r="Y803" s="52"/>
      <c r="Z803" s="37"/>
      <c r="AA803" s="18"/>
      <c r="AB803" s="18"/>
      <c r="AC803" s="18"/>
    </row>
    <row r="804" spans="23:29" customFormat="1" x14ac:dyDescent="0.25">
      <c r="W804" s="37"/>
      <c r="X804" s="52"/>
      <c r="Y804" s="52"/>
      <c r="Z804" s="37"/>
      <c r="AA804" s="18"/>
      <c r="AB804" s="18"/>
      <c r="AC804" s="18"/>
    </row>
    <row r="805" spans="23:29" customFormat="1" x14ac:dyDescent="0.25">
      <c r="W805" s="37"/>
      <c r="X805" s="52"/>
      <c r="Y805" s="52"/>
      <c r="Z805" s="37"/>
      <c r="AA805" s="18"/>
      <c r="AB805" s="18"/>
      <c r="AC805" s="18"/>
    </row>
    <row r="806" spans="23:29" customFormat="1" x14ac:dyDescent="0.25">
      <c r="W806" s="37"/>
      <c r="X806" s="52"/>
      <c r="Y806" s="52"/>
      <c r="Z806" s="37"/>
      <c r="AA806" s="18"/>
      <c r="AB806" s="18"/>
      <c r="AC806" s="18"/>
    </row>
    <row r="807" spans="23:29" customFormat="1" x14ac:dyDescent="0.25">
      <c r="W807" s="37"/>
      <c r="X807" s="52"/>
      <c r="Y807" s="52"/>
      <c r="Z807" s="37"/>
      <c r="AA807" s="18"/>
      <c r="AB807" s="18"/>
      <c r="AC807" s="18"/>
    </row>
    <row r="808" spans="23:29" customFormat="1" x14ac:dyDescent="0.25">
      <c r="W808" s="37"/>
      <c r="X808" s="52"/>
      <c r="Y808" s="52"/>
      <c r="Z808" s="37"/>
      <c r="AA808" s="18"/>
      <c r="AB808" s="18"/>
      <c r="AC808" s="18"/>
    </row>
    <row r="809" spans="23:29" customFormat="1" x14ac:dyDescent="0.25">
      <c r="W809" s="37"/>
      <c r="X809" s="52"/>
      <c r="Y809" s="52"/>
      <c r="Z809" s="37"/>
      <c r="AA809" s="18"/>
      <c r="AB809" s="18"/>
      <c r="AC809" s="18"/>
    </row>
    <row r="810" spans="23:29" customFormat="1" x14ac:dyDescent="0.25">
      <c r="W810" s="37"/>
      <c r="X810" s="52"/>
      <c r="Y810" s="52"/>
      <c r="Z810" s="37"/>
      <c r="AA810" s="18"/>
      <c r="AB810" s="18"/>
      <c r="AC810" s="18"/>
    </row>
    <row r="811" spans="23:29" customFormat="1" x14ac:dyDescent="0.25">
      <c r="W811" s="37"/>
      <c r="X811" s="52"/>
      <c r="Y811" s="52"/>
      <c r="Z811" s="37"/>
      <c r="AA811" s="18"/>
      <c r="AB811" s="18"/>
      <c r="AC811" s="18"/>
    </row>
    <row r="812" spans="23:29" customFormat="1" x14ac:dyDescent="0.25">
      <c r="W812" s="37"/>
      <c r="X812" s="52"/>
      <c r="Y812" s="52"/>
      <c r="Z812" s="37"/>
      <c r="AA812" s="18"/>
      <c r="AB812" s="18"/>
      <c r="AC812" s="18"/>
    </row>
    <row r="813" spans="23:29" customFormat="1" x14ac:dyDescent="0.25">
      <c r="W813" s="37"/>
      <c r="X813" s="52"/>
      <c r="Y813" s="52"/>
      <c r="Z813" s="37"/>
      <c r="AA813" s="18"/>
      <c r="AB813" s="18"/>
      <c r="AC813" s="18"/>
    </row>
    <row r="814" spans="23:29" customFormat="1" x14ac:dyDescent="0.25">
      <c r="W814" s="37"/>
      <c r="X814" s="52"/>
      <c r="Y814" s="52"/>
      <c r="Z814" s="37"/>
      <c r="AA814" s="18"/>
      <c r="AB814" s="18"/>
      <c r="AC814" s="18"/>
    </row>
    <row r="815" spans="23:29" customFormat="1" x14ac:dyDescent="0.25">
      <c r="W815" s="37"/>
      <c r="X815" s="52"/>
      <c r="Y815" s="52"/>
      <c r="Z815" s="37"/>
      <c r="AA815" s="18"/>
      <c r="AB815" s="18"/>
      <c r="AC815" s="18"/>
    </row>
    <row r="816" spans="23:29" customFormat="1" x14ac:dyDescent="0.25">
      <c r="W816" s="37"/>
      <c r="X816" s="52"/>
      <c r="Y816" s="52"/>
      <c r="Z816" s="37"/>
      <c r="AA816" s="18"/>
      <c r="AB816" s="18"/>
      <c r="AC816" s="18"/>
    </row>
    <row r="817" spans="23:29" customFormat="1" x14ac:dyDescent="0.25">
      <c r="W817" s="37"/>
      <c r="X817" s="52"/>
      <c r="Y817" s="52"/>
      <c r="Z817" s="37"/>
      <c r="AA817" s="18"/>
      <c r="AB817" s="18"/>
      <c r="AC817" s="18"/>
    </row>
    <row r="818" spans="23:29" customFormat="1" x14ac:dyDescent="0.25">
      <c r="W818" s="37"/>
      <c r="X818" s="52"/>
      <c r="Y818" s="52"/>
      <c r="Z818" s="37"/>
      <c r="AA818" s="18"/>
      <c r="AB818" s="18"/>
      <c r="AC818" s="18"/>
    </row>
    <row r="819" spans="23:29" customFormat="1" x14ac:dyDescent="0.25">
      <c r="W819" s="37"/>
      <c r="X819" s="52"/>
      <c r="Y819" s="52"/>
      <c r="Z819" s="37"/>
      <c r="AA819" s="18"/>
      <c r="AB819" s="18"/>
      <c r="AC819" s="18"/>
    </row>
    <row r="820" spans="23:29" customFormat="1" x14ac:dyDescent="0.25">
      <c r="W820" s="37"/>
      <c r="X820" s="52"/>
      <c r="Y820" s="52"/>
      <c r="Z820" s="37"/>
      <c r="AA820" s="18"/>
      <c r="AB820" s="18"/>
      <c r="AC820" s="18"/>
    </row>
    <row r="821" spans="23:29" customFormat="1" x14ac:dyDescent="0.25">
      <c r="W821" s="37"/>
      <c r="X821" s="52"/>
      <c r="Y821" s="52"/>
      <c r="Z821" s="37"/>
      <c r="AA821" s="18"/>
      <c r="AB821" s="18"/>
      <c r="AC821" s="18"/>
    </row>
    <row r="822" spans="23:29" customFormat="1" x14ac:dyDescent="0.25">
      <c r="W822" s="37"/>
      <c r="X822" s="52"/>
      <c r="Y822" s="52"/>
      <c r="Z822" s="37"/>
      <c r="AA822" s="18"/>
      <c r="AB822" s="18"/>
      <c r="AC822" s="18"/>
    </row>
    <row r="823" spans="23:29" customFormat="1" x14ac:dyDescent="0.25">
      <c r="W823" s="37"/>
      <c r="X823" s="52"/>
      <c r="Y823" s="52"/>
      <c r="Z823" s="37"/>
      <c r="AA823" s="18"/>
      <c r="AB823" s="18"/>
      <c r="AC823" s="18"/>
    </row>
    <row r="824" spans="23:29" customFormat="1" x14ac:dyDescent="0.25">
      <c r="W824" s="37"/>
      <c r="X824" s="52"/>
      <c r="Y824" s="52"/>
      <c r="Z824" s="37"/>
      <c r="AA824" s="18"/>
      <c r="AB824" s="18"/>
      <c r="AC824" s="18"/>
    </row>
    <row r="825" spans="23:29" customFormat="1" x14ac:dyDescent="0.25">
      <c r="W825" s="37"/>
      <c r="X825" s="52"/>
      <c r="Y825" s="52"/>
      <c r="Z825" s="37"/>
      <c r="AA825" s="18"/>
      <c r="AB825" s="18"/>
      <c r="AC825" s="18"/>
    </row>
    <row r="826" spans="23:29" customFormat="1" x14ac:dyDescent="0.25">
      <c r="W826" s="37"/>
      <c r="X826" s="52"/>
      <c r="Y826" s="52"/>
      <c r="Z826" s="37"/>
      <c r="AA826" s="18"/>
      <c r="AB826" s="18"/>
      <c r="AC826" s="18"/>
    </row>
    <row r="827" spans="23:29" customFormat="1" x14ac:dyDescent="0.25">
      <c r="W827" s="37"/>
      <c r="X827" s="52"/>
      <c r="Y827" s="52"/>
      <c r="Z827" s="37"/>
      <c r="AA827" s="18"/>
      <c r="AB827" s="18"/>
      <c r="AC827" s="18"/>
    </row>
    <row r="828" spans="23:29" customFormat="1" x14ac:dyDescent="0.25">
      <c r="W828" s="37"/>
      <c r="X828" s="52"/>
      <c r="Y828" s="52"/>
      <c r="Z828" s="37"/>
      <c r="AA828" s="18"/>
      <c r="AB828" s="18"/>
      <c r="AC828" s="18"/>
    </row>
    <row r="829" spans="23:29" customFormat="1" x14ac:dyDescent="0.25">
      <c r="W829" s="37"/>
      <c r="X829" s="52"/>
      <c r="Y829" s="52"/>
      <c r="Z829" s="37"/>
      <c r="AA829" s="18"/>
      <c r="AB829" s="18"/>
      <c r="AC829" s="18"/>
    </row>
    <row r="830" spans="23:29" customFormat="1" x14ac:dyDescent="0.25">
      <c r="W830" s="37"/>
      <c r="X830" s="52"/>
      <c r="Y830" s="52"/>
      <c r="Z830" s="37"/>
      <c r="AA830" s="18"/>
      <c r="AB830" s="18"/>
      <c r="AC830" s="18"/>
    </row>
    <row r="831" spans="23:29" customFormat="1" x14ac:dyDescent="0.25">
      <c r="W831" s="37"/>
      <c r="X831" s="52"/>
      <c r="Y831" s="52"/>
      <c r="Z831" s="37"/>
      <c r="AA831" s="18"/>
      <c r="AB831" s="18"/>
      <c r="AC831" s="18"/>
    </row>
    <row r="832" spans="23:29" customFormat="1" x14ac:dyDescent="0.25">
      <c r="W832" s="37"/>
      <c r="X832" s="52"/>
      <c r="Y832" s="52"/>
      <c r="Z832" s="37"/>
      <c r="AA832" s="18"/>
      <c r="AB832" s="18"/>
      <c r="AC832" s="18"/>
    </row>
    <row r="833" spans="23:29" customFormat="1" x14ac:dyDescent="0.25">
      <c r="W833" s="37"/>
      <c r="X833" s="52"/>
      <c r="Y833" s="52"/>
      <c r="Z833" s="37"/>
      <c r="AA833" s="18"/>
      <c r="AB833" s="18"/>
      <c r="AC833" s="18"/>
    </row>
    <row r="834" spans="23:29" customFormat="1" x14ac:dyDescent="0.25">
      <c r="W834" s="37"/>
      <c r="X834" s="52"/>
      <c r="Y834" s="52"/>
      <c r="Z834" s="37"/>
      <c r="AA834" s="18"/>
      <c r="AB834" s="18"/>
      <c r="AC834" s="18"/>
    </row>
    <row r="835" spans="23:29" customFormat="1" x14ac:dyDescent="0.25">
      <c r="W835" s="37"/>
      <c r="X835" s="52"/>
      <c r="Y835" s="52"/>
      <c r="Z835" s="37"/>
      <c r="AA835" s="18"/>
      <c r="AB835" s="18"/>
      <c r="AC835" s="18"/>
    </row>
    <row r="836" spans="23:29" customFormat="1" x14ac:dyDescent="0.25">
      <c r="W836" s="37"/>
      <c r="X836" s="52"/>
      <c r="Y836" s="52"/>
      <c r="Z836" s="37"/>
      <c r="AA836" s="18"/>
      <c r="AB836" s="18"/>
      <c r="AC836" s="18"/>
    </row>
    <row r="837" spans="23:29" customFormat="1" x14ac:dyDescent="0.25">
      <c r="W837" s="37"/>
      <c r="X837" s="52"/>
      <c r="Y837" s="52"/>
      <c r="Z837" s="37"/>
      <c r="AA837" s="18"/>
      <c r="AB837" s="18"/>
      <c r="AC837" s="18"/>
    </row>
    <row r="838" spans="23:29" customFormat="1" x14ac:dyDescent="0.25">
      <c r="W838" s="37"/>
      <c r="X838" s="52"/>
      <c r="Y838" s="52"/>
      <c r="Z838" s="37"/>
      <c r="AA838" s="18"/>
      <c r="AB838" s="18"/>
      <c r="AC838" s="18"/>
    </row>
    <row r="839" spans="23:29" customFormat="1" x14ac:dyDescent="0.25">
      <c r="W839" s="37"/>
      <c r="X839" s="52"/>
      <c r="Y839" s="52"/>
      <c r="Z839" s="37"/>
      <c r="AA839" s="18"/>
      <c r="AB839" s="18"/>
      <c r="AC839" s="18"/>
    </row>
    <row r="840" spans="23:29" customFormat="1" x14ac:dyDescent="0.25">
      <c r="W840" s="37"/>
      <c r="X840" s="52"/>
      <c r="Y840" s="52"/>
      <c r="Z840" s="37"/>
      <c r="AA840" s="18"/>
      <c r="AB840" s="18"/>
      <c r="AC840" s="18"/>
    </row>
    <row r="841" spans="23:29" customFormat="1" x14ac:dyDescent="0.25">
      <c r="W841" s="37"/>
      <c r="X841" s="52"/>
      <c r="Y841" s="52"/>
      <c r="Z841" s="37"/>
      <c r="AA841" s="18"/>
      <c r="AB841" s="18"/>
      <c r="AC841" s="18"/>
    </row>
    <row r="842" spans="23:29" customFormat="1" x14ac:dyDescent="0.25">
      <c r="W842" s="37"/>
      <c r="X842" s="52"/>
      <c r="Y842" s="52"/>
      <c r="Z842" s="37"/>
      <c r="AA842" s="18"/>
      <c r="AB842" s="18"/>
      <c r="AC842" s="18"/>
    </row>
    <row r="843" spans="23:29" customFormat="1" x14ac:dyDescent="0.25">
      <c r="W843" s="37"/>
      <c r="X843" s="52"/>
      <c r="Y843" s="52"/>
      <c r="Z843" s="37"/>
      <c r="AA843" s="18"/>
      <c r="AB843" s="18"/>
      <c r="AC843" s="18"/>
    </row>
    <row r="844" spans="23:29" customFormat="1" x14ac:dyDescent="0.25">
      <c r="W844" s="37"/>
      <c r="X844" s="52"/>
      <c r="Y844" s="52"/>
      <c r="Z844" s="37"/>
      <c r="AA844" s="18"/>
      <c r="AB844" s="18"/>
      <c r="AC844" s="18"/>
    </row>
    <row r="845" spans="23:29" customFormat="1" x14ac:dyDescent="0.25">
      <c r="W845" s="37"/>
      <c r="X845" s="52"/>
      <c r="Y845" s="52"/>
      <c r="Z845" s="37"/>
      <c r="AA845" s="18"/>
      <c r="AB845" s="18"/>
      <c r="AC845" s="18"/>
    </row>
    <row r="846" spans="23:29" customFormat="1" x14ac:dyDescent="0.25">
      <c r="W846" s="37"/>
      <c r="X846" s="52"/>
      <c r="Y846" s="52"/>
      <c r="Z846" s="37"/>
      <c r="AA846" s="18"/>
      <c r="AB846" s="18"/>
      <c r="AC846" s="18"/>
    </row>
    <row r="847" spans="23:29" customFormat="1" x14ac:dyDescent="0.25">
      <c r="W847" s="37"/>
      <c r="X847" s="52"/>
      <c r="Y847" s="52"/>
      <c r="Z847" s="37"/>
      <c r="AA847" s="18"/>
      <c r="AB847" s="18"/>
      <c r="AC847" s="18"/>
    </row>
    <row r="848" spans="23:29" customFormat="1" x14ac:dyDescent="0.25">
      <c r="W848" s="37"/>
      <c r="X848" s="52"/>
      <c r="Y848" s="52"/>
      <c r="Z848" s="37"/>
      <c r="AA848" s="18"/>
      <c r="AB848" s="18"/>
      <c r="AC848" s="18"/>
    </row>
    <row r="849" spans="23:29" customFormat="1" x14ac:dyDescent="0.25">
      <c r="W849" s="37"/>
      <c r="X849" s="52"/>
      <c r="Y849" s="52"/>
      <c r="Z849" s="37"/>
      <c r="AA849" s="18"/>
      <c r="AB849" s="18"/>
      <c r="AC849" s="18"/>
    </row>
    <row r="850" spans="23:29" customFormat="1" x14ac:dyDescent="0.25">
      <c r="W850" s="37"/>
      <c r="X850" s="52"/>
      <c r="Y850" s="52"/>
      <c r="Z850" s="37"/>
      <c r="AA850" s="18"/>
      <c r="AB850" s="18"/>
      <c r="AC850" s="18"/>
    </row>
    <row r="851" spans="23:29" customFormat="1" x14ac:dyDescent="0.25">
      <c r="W851" s="37"/>
      <c r="X851" s="52"/>
      <c r="Y851" s="52"/>
      <c r="Z851" s="37"/>
      <c r="AA851" s="18"/>
      <c r="AB851" s="18"/>
      <c r="AC851" s="18"/>
    </row>
    <row r="852" spans="23:29" customFormat="1" x14ac:dyDescent="0.25">
      <c r="W852" s="37"/>
      <c r="X852" s="52"/>
      <c r="Y852" s="52"/>
      <c r="Z852" s="37"/>
      <c r="AA852" s="18"/>
      <c r="AB852" s="18"/>
      <c r="AC852" s="18"/>
    </row>
    <row r="853" spans="23:29" customFormat="1" x14ac:dyDescent="0.25">
      <c r="W853" s="37"/>
      <c r="X853" s="52"/>
      <c r="Y853" s="52"/>
      <c r="Z853" s="37"/>
      <c r="AA853" s="18"/>
      <c r="AB853" s="18"/>
      <c r="AC853" s="18"/>
    </row>
    <row r="854" spans="23:29" customFormat="1" x14ac:dyDescent="0.25">
      <c r="W854" s="37"/>
      <c r="X854" s="52"/>
      <c r="Y854" s="52"/>
      <c r="Z854" s="37"/>
      <c r="AA854" s="18"/>
      <c r="AB854" s="18"/>
      <c r="AC854" s="18"/>
    </row>
    <row r="855" spans="23:29" customFormat="1" x14ac:dyDescent="0.25">
      <c r="W855" s="37"/>
      <c r="X855" s="52"/>
      <c r="Y855" s="52"/>
      <c r="Z855" s="37"/>
      <c r="AA855" s="18"/>
      <c r="AB855" s="18"/>
      <c r="AC855" s="18"/>
    </row>
    <row r="856" spans="23:29" customFormat="1" x14ac:dyDescent="0.25">
      <c r="W856" s="37"/>
      <c r="X856" s="52"/>
      <c r="Y856" s="52"/>
      <c r="Z856" s="37"/>
      <c r="AA856" s="18"/>
      <c r="AB856" s="18"/>
      <c r="AC856" s="18"/>
    </row>
    <row r="857" spans="23:29" customFormat="1" x14ac:dyDescent="0.25">
      <c r="W857" s="37"/>
      <c r="X857" s="52"/>
      <c r="Y857" s="52"/>
      <c r="Z857" s="37"/>
      <c r="AA857" s="18"/>
      <c r="AB857" s="18"/>
      <c r="AC857" s="18"/>
    </row>
    <row r="858" spans="23:29" customFormat="1" x14ac:dyDescent="0.25">
      <c r="W858" s="37"/>
      <c r="X858" s="52"/>
      <c r="Y858" s="52"/>
      <c r="Z858" s="37"/>
      <c r="AA858" s="18"/>
      <c r="AB858" s="18"/>
      <c r="AC858" s="18"/>
    </row>
    <row r="859" spans="23:29" customFormat="1" x14ac:dyDescent="0.25">
      <c r="W859" s="37"/>
      <c r="X859" s="52"/>
      <c r="Y859" s="52"/>
      <c r="Z859" s="37"/>
      <c r="AA859" s="18"/>
      <c r="AB859" s="18"/>
      <c r="AC859" s="18"/>
    </row>
    <row r="860" spans="23:29" customFormat="1" x14ac:dyDescent="0.25">
      <c r="W860" s="37"/>
      <c r="X860" s="52"/>
      <c r="Y860" s="52"/>
      <c r="Z860" s="37"/>
      <c r="AA860" s="18"/>
      <c r="AB860" s="18"/>
      <c r="AC860" s="18"/>
    </row>
    <row r="861" spans="23:29" customFormat="1" x14ac:dyDescent="0.25">
      <c r="W861" s="37"/>
      <c r="X861" s="52"/>
      <c r="Y861" s="52"/>
      <c r="Z861" s="37"/>
      <c r="AA861" s="18"/>
      <c r="AB861" s="18"/>
      <c r="AC861" s="18"/>
    </row>
    <row r="862" spans="23:29" customFormat="1" x14ac:dyDescent="0.25">
      <c r="W862" s="37"/>
      <c r="X862" s="52"/>
      <c r="Y862" s="52"/>
      <c r="Z862" s="37"/>
      <c r="AA862" s="18"/>
      <c r="AB862" s="18"/>
      <c r="AC862" s="18"/>
    </row>
    <row r="863" spans="23:29" customFormat="1" x14ac:dyDescent="0.25">
      <c r="W863" s="37"/>
      <c r="X863" s="52"/>
      <c r="Y863" s="52"/>
      <c r="Z863" s="37"/>
      <c r="AA863" s="18"/>
      <c r="AB863" s="18"/>
      <c r="AC863" s="18"/>
    </row>
    <row r="864" spans="23:29" customFormat="1" x14ac:dyDescent="0.25">
      <c r="W864" s="37"/>
      <c r="X864" s="52"/>
      <c r="Y864" s="52"/>
      <c r="Z864" s="37"/>
      <c r="AA864" s="18"/>
      <c r="AB864" s="18"/>
      <c r="AC864" s="18"/>
    </row>
    <row r="865" spans="23:29" customFormat="1" x14ac:dyDescent="0.25">
      <c r="W865" s="37"/>
      <c r="X865" s="52"/>
      <c r="Y865" s="52"/>
      <c r="Z865" s="37"/>
      <c r="AA865" s="18"/>
      <c r="AB865" s="18"/>
      <c r="AC865" s="18"/>
    </row>
    <row r="866" spans="23:29" customFormat="1" x14ac:dyDescent="0.25">
      <c r="W866" s="37"/>
      <c r="X866" s="52"/>
      <c r="Y866" s="52"/>
      <c r="Z866" s="37"/>
      <c r="AA866" s="18"/>
      <c r="AB866" s="18"/>
      <c r="AC866" s="18"/>
    </row>
    <row r="867" spans="23:29" customFormat="1" x14ac:dyDescent="0.25">
      <c r="W867" s="37"/>
      <c r="X867" s="52"/>
      <c r="Y867" s="52"/>
      <c r="Z867" s="37"/>
      <c r="AA867" s="18"/>
      <c r="AB867" s="18"/>
      <c r="AC867" s="18"/>
    </row>
    <row r="868" spans="23:29" customFormat="1" x14ac:dyDescent="0.25">
      <c r="W868" s="37"/>
      <c r="X868" s="52"/>
      <c r="Y868" s="52"/>
      <c r="Z868" s="37"/>
      <c r="AA868" s="18"/>
      <c r="AB868" s="18"/>
      <c r="AC868" s="18"/>
    </row>
    <row r="869" spans="23:29" customFormat="1" x14ac:dyDescent="0.25">
      <c r="W869" s="37"/>
      <c r="X869" s="52"/>
      <c r="Y869" s="52"/>
      <c r="Z869" s="37"/>
      <c r="AA869" s="18"/>
      <c r="AB869" s="18"/>
      <c r="AC869" s="18"/>
    </row>
    <row r="870" spans="23:29" customFormat="1" x14ac:dyDescent="0.25">
      <c r="W870" s="37"/>
      <c r="X870" s="52"/>
      <c r="Y870" s="52"/>
      <c r="Z870" s="37"/>
      <c r="AA870" s="18"/>
      <c r="AB870" s="18"/>
      <c r="AC870" s="18"/>
    </row>
    <row r="871" spans="23:29" customFormat="1" x14ac:dyDescent="0.25">
      <c r="W871" s="37"/>
      <c r="X871" s="52"/>
      <c r="Y871" s="52"/>
      <c r="Z871" s="37"/>
      <c r="AA871" s="18"/>
      <c r="AB871" s="18"/>
      <c r="AC871" s="18"/>
    </row>
    <row r="872" spans="23:29" customFormat="1" x14ac:dyDescent="0.25">
      <c r="W872" s="37"/>
      <c r="X872" s="52"/>
      <c r="Y872" s="52"/>
      <c r="Z872" s="37"/>
      <c r="AA872" s="18"/>
      <c r="AB872" s="18"/>
      <c r="AC872" s="18"/>
    </row>
    <row r="873" spans="23:29" customFormat="1" x14ac:dyDescent="0.25">
      <c r="W873" s="37"/>
      <c r="X873" s="52"/>
      <c r="Y873" s="52"/>
      <c r="Z873" s="37"/>
      <c r="AA873" s="18"/>
      <c r="AB873" s="18"/>
      <c r="AC873" s="18"/>
    </row>
    <row r="874" spans="23:29" customFormat="1" x14ac:dyDescent="0.25">
      <c r="W874" s="37"/>
      <c r="X874" s="52"/>
      <c r="Y874" s="52"/>
      <c r="Z874" s="37"/>
      <c r="AA874" s="18"/>
      <c r="AB874" s="18"/>
      <c r="AC874" s="18"/>
    </row>
  </sheetData>
  <mergeCells count="8">
    <mergeCell ref="W31:Y31"/>
    <mergeCell ref="W32:Z32"/>
    <mergeCell ref="A1:AI1"/>
    <mergeCell ref="FO2:FQ2"/>
    <mergeCell ref="AA18:AC18"/>
    <mergeCell ref="FC27:FE27"/>
    <mergeCell ref="A28:B28"/>
    <mergeCell ref="FC28:F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ЦМУ</vt:lpstr>
      <vt:lpstr>Программ</vt:lpstr>
      <vt:lpstr>ИГ</vt:lpstr>
      <vt:lpstr>ОКМЭЦ(2)</vt:lpstr>
      <vt:lpstr>ИТ</vt:lpstr>
      <vt:lpstr>ИСиБД</vt:lpstr>
      <vt:lpstr>КПиЯП</vt:lpstr>
      <vt:lpstr>ЭПОСТ(2)</vt:lpstr>
      <vt:lpstr>ТА</vt:lpstr>
      <vt:lpstr>ООП</vt:lpstr>
      <vt:lpstr>УПпоИТ</vt:lpstr>
      <vt:lpstr>Лист5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2015-01-21T10:12:25Z</dcterms:created>
  <dcterms:modified xsi:type="dcterms:W3CDTF">2026-06-24T11:36:42Z</dcterms:modified>
</cp:coreProperties>
</file>